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ata\Lefo\Dev\3 GDPptGenerator\AAA Files for demo\Input files\"/>
    </mc:Choice>
  </mc:AlternateContent>
  <xr:revisionPtr revIDLastSave="0" documentId="13_ncr:1_{4FCC7AAF-295E-4FA7-9241-153A2C798C0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oesNotMatter" sheetId="1" r:id="rId1"/>
  </sheets>
  <definedNames>
    <definedName name="_xlnm._FilterDatabase" localSheetId="0" hidden="1">DoesNotMatter!$A$2:$I$46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8" i="1" s="1"/>
  <c r="D9" i="1" s="1"/>
  <c r="D10" i="1" s="1"/>
  <c r="D11" i="1" s="1"/>
  <c r="D12" i="1" s="1"/>
  <c r="D13" i="1" s="1"/>
  <c r="D14" i="1" s="1"/>
  <c r="C8" i="1"/>
  <c r="D6" i="1" l="1"/>
  <c r="E7" i="1"/>
  <c r="C9" i="1"/>
  <c r="C10" i="1" s="1"/>
  <c r="C11" i="1" s="1"/>
  <c r="C12" i="1" s="1"/>
  <c r="C13" i="1" s="1"/>
  <c r="C14" i="1" s="1"/>
  <c r="E8" i="1" l="1"/>
  <c r="E9" i="1" s="1"/>
  <c r="E10" i="1" s="1"/>
  <c r="E11" i="1" s="1"/>
  <c r="E12" i="1" s="1"/>
  <c r="E13" i="1" s="1"/>
  <c r="E14" i="1" s="1"/>
  <c r="F7" i="1"/>
  <c r="E6" i="1"/>
  <c r="C6" i="1"/>
  <c r="F8" i="1" l="1"/>
  <c r="F9" i="1" s="1"/>
  <c r="F10" i="1" s="1"/>
  <c r="F11" i="1" s="1"/>
  <c r="F12" i="1" s="1"/>
  <c r="F13" i="1" s="1"/>
  <c r="F14" i="1" s="1"/>
  <c r="G7" i="1"/>
  <c r="F6" i="1"/>
  <c r="G8" i="1" l="1"/>
  <c r="G9" i="1" s="1"/>
  <c r="G10" i="1" s="1"/>
  <c r="G11" i="1" s="1"/>
  <c r="G12" i="1" s="1"/>
  <c r="G13" i="1" s="1"/>
  <c r="G14" i="1" s="1"/>
  <c r="H7" i="1"/>
  <c r="G6" i="1"/>
  <c r="H8" i="1" l="1"/>
  <c r="H9" i="1" s="1"/>
  <c r="H10" i="1" s="1"/>
  <c r="H11" i="1" s="1"/>
  <c r="H12" i="1" s="1"/>
  <c r="H13" i="1" s="1"/>
  <c r="H14" i="1" s="1"/>
  <c r="I7" i="1"/>
  <c r="H6" i="1"/>
  <c r="I8" i="1" l="1"/>
  <c r="I9" i="1" s="1"/>
  <c r="I10" i="1" s="1"/>
  <c r="I11" i="1" s="1"/>
  <c r="I12" i="1" s="1"/>
  <c r="I13" i="1" s="1"/>
  <c r="I14" i="1" s="1"/>
  <c r="C16" i="1" s="1"/>
  <c r="D16" i="1" l="1"/>
  <c r="C17" i="1"/>
  <c r="C18" i="1" s="1"/>
  <c r="C19" i="1" s="1"/>
  <c r="C20" i="1" s="1"/>
  <c r="C21" i="1" s="1"/>
  <c r="C22" i="1" s="1"/>
  <c r="C15" i="1"/>
  <c r="I6" i="1"/>
  <c r="E16" i="1" l="1"/>
  <c r="D17" i="1"/>
  <c r="D18" i="1" s="1"/>
  <c r="D19" i="1" s="1"/>
  <c r="D20" i="1" s="1"/>
  <c r="D21" i="1" s="1"/>
  <c r="D22" i="1" s="1"/>
  <c r="D15" i="1"/>
  <c r="E17" i="1" l="1"/>
  <c r="E18" i="1" s="1"/>
  <c r="E19" i="1" s="1"/>
  <c r="E20" i="1" s="1"/>
  <c r="E21" i="1" s="1"/>
  <c r="E22" i="1" s="1"/>
  <c r="F16" i="1"/>
  <c r="E15" i="1"/>
  <c r="G16" i="1" l="1"/>
  <c r="F17" i="1"/>
  <c r="F18" i="1" s="1"/>
  <c r="F19" i="1" s="1"/>
  <c r="F20" i="1" s="1"/>
  <c r="F21" i="1" s="1"/>
  <c r="F22" i="1" s="1"/>
  <c r="F15" i="1"/>
  <c r="H16" i="1" l="1"/>
  <c r="G17" i="1"/>
  <c r="G18" i="1" s="1"/>
  <c r="G19" i="1" s="1"/>
  <c r="G20" i="1" s="1"/>
  <c r="G21" i="1" s="1"/>
  <c r="G22" i="1" s="1"/>
  <c r="G15" i="1"/>
  <c r="H17" i="1" l="1"/>
  <c r="H18" i="1" s="1"/>
  <c r="H19" i="1" s="1"/>
  <c r="H20" i="1" s="1"/>
  <c r="H21" i="1" s="1"/>
  <c r="H22" i="1" s="1"/>
  <c r="I16" i="1"/>
  <c r="H15" i="1"/>
  <c r="I17" i="1" l="1"/>
  <c r="I18" i="1" s="1"/>
  <c r="I19" i="1" s="1"/>
  <c r="I20" i="1" s="1"/>
  <c r="I21" i="1" s="1"/>
  <c r="I22" i="1" s="1"/>
  <c r="C24" i="1" s="1"/>
  <c r="I15" i="1"/>
  <c r="D24" i="1" l="1"/>
  <c r="C25" i="1"/>
  <c r="C26" i="1" s="1"/>
  <c r="C27" i="1" s="1"/>
  <c r="C28" i="1" s="1"/>
  <c r="C29" i="1" s="1"/>
  <c r="C30" i="1" s="1"/>
  <c r="C23" i="1"/>
  <c r="D25" i="1" l="1"/>
  <c r="D26" i="1" s="1"/>
  <c r="D27" i="1" s="1"/>
  <c r="D28" i="1" s="1"/>
  <c r="D29" i="1" s="1"/>
  <c r="D30" i="1" s="1"/>
  <c r="E24" i="1"/>
  <c r="F24" i="1" l="1"/>
  <c r="E25" i="1"/>
  <c r="E26" i="1" s="1"/>
  <c r="E27" i="1" s="1"/>
  <c r="E28" i="1" s="1"/>
  <c r="E29" i="1" s="1"/>
  <c r="E30" i="1" s="1"/>
  <c r="E23" i="1"/>
  <c r="D23" i="1"/>
  <c r="F25" i="1" l="1"/>
  <c r="F26" i="1" s="1"/>
  <c r="F27" i="1" s="1"/>
  <c r="F28" i="1" s="1"/>
  <c r="F29" i="1" s="1"/>
  <c r="F30" i="1" s="1"/>
  <c r="G24" i="1"/>
  <c r="F23" i="1"/>
  <c r="H24" i="1" l="1"/>
  <c r="G25" i="1"/>
  <c r="G26" i="1" s="1"/>
  <c r="G27" i="1" s="1"/>
  <c r="G28" i="1" s="1"/>
  <c r="G29" i="1" s="1"/>
  <c r="G30" i="1" s="1"/>
  <c r="G23" i="1"/>
  <c r="I24" i="1" l="1"/>
  <c r="H25" i="1"/>
  <c r="H26" i="1" s="1"/>
  <c r="H27" i="1" s="1"/>
  <c r="H28" i="1" s="1"/>
  <c r="H29" i="1" s="1"/>
  <c r="H30" i="1" s="1"/>
  <c r="H23" i="1" s="1"/>
  <c r="I25" i="1" l="1"/>
  <c r="I26" i="1" s="1"/>
  <c r="I27" i="1" s="1"/>
  <c r="I28" i="1" s="1"/>
  <c r="I29" i="1" s="1"/>
  <c r="I30" i="1" s="1"/>
  <c r="C32" i="1" s="1"/>
  <c r="I23" i="1"/>
  <c r="C33" i="1" l="1"/>
  <c r="D32" i="1"/>
  <c r="D33" i="1" l="1"/>
  <c r="D34" i="1" s="1"/>
  <c r="D35" i="1" s="1"/>
  <c r="D36" i="1" s="1"/>
  <c r="D37" i="1" s="1"/>
  <c r="D38" i="1" s="1"/>
  <c r="E32" i="1"/>
  <c r="D31" i="1"/>
  <c r="C34" i="1"/>
  <c r="C35" i="1" s="1"/>
  <c r="C36" i="1" s="1"/>
  <c r="C37" i="1" s="1"/>
  <c r="C38" i="1" s="1"/>
  <c r="C31" i="1" l="1"/>
  <c r="F32" i="1"/>
  <c r="E33" i="1"/>
  <c r="E34" i="1" s="1"/>
  <c r="E35" i="1" s="1"/>
  <c r="E36" i="1" s="1"/>
  <c r="E37" i="1" s="1"/>
  <c r="E38" i="1" s="1"/>
  <c r="E31" i="1" l="1"/>
  <c r="G32" i="1"/>
  <c r="F33" i="1"/>
  <c r="F34" i="1" s="1"/>
  <c r="F35" i="1" s="1"/>
  <c r="F36" i="1" s="1"/>
  <c r="F37" i="1" s="1"/>
  <c r="F38" i="1" s="1"/>
  <c r="F31" i="1" l="1"/>
  <c r="H32" i="1"/>
  <c r="G33" i="1"/>
  <c r="G34" i="1" s="1"/>
  <c r="G35" i="1" s="1"/>
  <c r="G36" i="1" s="1"/>
  <c r="G37" i="1" s="1"/>
  <c r="G38" i="1" s="1"/>
  <c r="G31" i="1"/>
  <c r="H33" i="1" l="1"/>
  <c r="H34" i="1" s="1"/>
  <c r="H35" i="1" s="1"/>
  <c r="H36" i="1" s="1"/>
  <c r="H37" i="1" s="1"/>
  <c r="H38" i="1" s="1"/>
  <c r="I32" i="1"/>
  <c r="I33" i="1" s="1"/>
  <c r="I34" i="1" s="1"/>
  <c r="I35" i="1" s="1"/>
  <c r="I36" i="1" s="1"/>
  <c r="I37" i="1" s="1"/>
  <c r="I38" i="1" s="1"/>
  <c r="H31" i="1" l="1"/>
  <c r="I31" i="1"/>
  <c r="C40" i="1"/>
  <c r="C41" i="1" l="1"/>
  <c r="D40" i="1"/>
  <c r="D41" i="1" l="1"/>
  <c r="E40" i="1"/>
  <c r="C42" i="1"/>
  <c r="C43" i="1" s="1"/>
  <c r="C39" i="1"/>
  <c r="F40" i="1" l="1"/>
  <c r="E41" i="1"/>
  <c r="D42" i="1"/>
  <c r="D43" i="1" s="1"/>
  <c r="D39" i="1" l="1"/>
  <c r="E42" i="1"/>
  <c r="E43" i="1" s="1"/>
  <c r="G40" i="1"/>
  <c r="F41" i="1"/>
  <c r="H40" i="1" l="1"/>
  <c r="G41" i="1"/>
  <c r="F42" i="1"/>
  <c r="F43" i="1" s="1"/>
  <c r="F39" i="1"/>
  <c r="E39" i="1"/>
  <c r="G42" i="1" l="1"/>
  <c r="G43" i="1" s="1"/>
  <c r="G39" i="1"/>
  <c r="I40" i="1"/>
  <c r="I41" i="1" s="1"/>
  <c r="H41" i="1"/>
  <c r="H42" i="1" l="1"/>
  <c r="H43" i="1" s="1"/>
  <c r="I42" i="1"/>
  <c r="I43" i="1" s="1"/>
  <c r="C45" i="1" s="1"/>
  <c r="D45" i="1" l="1"/>
  <c r="C44" i="1"/>
  <c r="I39" i="1"/>
  <c r="H39" i="1"/>
  <c r="E45" i="1" l="1"/>
  <c r="D44" i="1"/>
  <c r="F45" i="1" l="1"/>
  <c r="E44" i="1"/>
  <c r="G45" i="1" l="1"/>
  <c r="F44" i="1"/>
  <c r="H45" i="1" l="1"/>
  <c r="G44" i="1"/>
  <c r="I45" i="1" l="1"/>
  <c r="I44" i="1" s="1"/>
  <c r="H44" i="1"/>
</calcChain>
</file>

<file path=xl/sharedStrings.xml><?xml version="1.0" encoding="utf-8"?>
<sst xmlns="http://schemas.openxmlformats.org/spreadsheetml/2006/main" count="55" uniqueCount="33">
  <si>
    <t>BUDGET 2026</t>
  </si>
  <si>
    <t>BDG26</t>
  </si>
  <si>
    <t>ORE</t>
  </si>
  <si>
    <t>ORE Totale</t>
  </si>
  <si>
    <t>Conventional and NGP Platform Engineering</t>
  </si>
  <si>
    <t xml:space="preserve"> Totale</t>
  </si>
  <si>
    <t>Consumer Electronic, Pharma and Energy Storage System Engineering</t>
  </si>
  <si>
    <t>Totale</t>
  </si>
  <si>
    <t>Business</t>
  </si>
  <si>
    <t>CATEGORIA</t>
  </si>
  <si>
    <t>INT</t>
  </si>
  <si>
    <t>EST</t>
  </si>
  <si>
    <t>TOB (MK, PK, MO)</t>
  </si>
  <si>
    <t>CLIENT MACH PRJ</t>
  </si>
  <si>
    <t>AS/REB/SERV</t>
  </si>
  <si>
    <t>FEASIBILITY</t>
  </si>
  <si>
    <t>TIPO MACCHINA</t>
  </si>
  <si>
    <t>PROD INDIRETTE</t>
  </si>
  <si>
    <t>IMPRODUTTIVE</t>
  </si>
  <si>
    <t>R&amp;D</t>
  </si>
  <si>
    <t>PHARMA (ex LPP)</t>
  </si>
  <si>
    <t>CONS.ELECTRONICS</t>
  </si>
  <si>
    <t>R&amp;D (CE)</t>
  </si>
  <si>
    <t>ESS</t>
  </si>
  <si>
    <t>R&amp;D (ESS)</t>
  </si>
  <si>
    <t>COFFEE</t>
  </si>
  <si>
    <t>CLIENT (KDP)</t>
  </si>
  <si>
    <t>TIPO MACCHINA (KDP)</t>
  </si>
  <si>
    <t>R&amp;D (KDP)</t>
  </si>
  <si>
    <t>CGO &amp; Other div</t>
  </si>
  <si>
    <t>R&amp;D CGO</t>
  </si>
  <si>
    <t>Totale complessivo</t>
  </si>
  <si>
    <t>R&amp;D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</si>
</sst>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€_-;\-* #,##0\ _€_-;_-* &quot;-&quot;\ _€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5" xfId="0" applyFont="1" applyFill="1" applyBorder="1"/>
    <xf numFmtId="0" fontId="3" fillId="2" borderId="5" xfId="0" applyFont="1" applyFill="1" applyBorder="1" applyAlignment="1">
      <alignment horizontal="center"/>
    </xf>
    <xf numFmtId="0" fontId="4" fillId="3" borderId="6" xfId="0" applyFont="1" applyFill="1" applyBorder="1"/>
    <xf numFmtId="0" fontId="5" fillId="4" borderId="5" xfId="0" applyFont="1" applyFill="1" applyBorder="1"/>
    <xf numFmtId="0" fontId="1" fillId="2" borderId="6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4" fillId="3" borderId="3" xfId="0" applyFont="1" applyFill="1" applyBorder="1"/>
    <xf numFmtId="0" fontId="0" fillId="4" borderId="0" xfId="0" applyFill="1"/>
    <xf numFmtId="0" fontId="1" fillId="2" borderId="3" xfId="0" applyFont="1" applyFill="1" applyBorder="1"/>
    <xf numFmtId="0" fontId="3" fillId="2" borderId="7" xfId="0" applyFont="1" applyFill="1" applyBorder="1"/>
    <xf numFmtId="0" fontId="3" fillId="2" borderId="7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64" fontId="4" fillId="3" borderId="7" xfId="0" applyNumberFormat="1" applyFont="1" applyFill="1" applyBorder="1" applyAlignment="1">
      <alignment horizontal="center"/>
    </xf>
    <xf numFmtId="164" fontId="6" fillId="4" borderId="7" xfId="0" applyNumberFormat="1" applyFont="1" applyFill="1" applyBorder="1" applyAlignment="1">
      <alignment horizontal="center"/>
    </xf>
    <xf numFmtId="164" fontId="4" fillId="2" borderId="7" xfId="0" applyNumberFormat="1" applyFont="1" applyFill="1" applyBorder="1" applyAlignment="1">
      <alignment horizontal="center"/>
    </xf>
    <xf numFmtId="164" fontId="4" fillId="2" borderId="7" xfId="0" applyNumberFormat="1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6"/>
  <sheetViews>
    <sheetView tabSelected="1" workbookViewId="0">
      <selection activeCell="X31" sqref="X31"/>
    </sheetView>
  </sheetViews>
  <sheetFormatPr defaultRowHeight="15" x14ac:dyDescent="0.25"/>
  <cols>
    <col min="2" max="2" width="21.140625" bestFit="1" customWidth="1"/>
  </cols>
  <sheetData>
    <row r="2" spans="1:9" x14ac:dyDescent="0.25">
      <c r="A2" s="1"/>
      <c r="B2" s="2"/>
      <c r="C2" s="3" t="s">
        <v>0</v>
      </c>
      <c r="D2" s="3"/>
      <c r="E2" s="3"/>
      <c r="F2" s="3"/>
      <c r="G2" s="3"/>
      <c r="H2" s="3"/>
      <c r="I2" s="4" t="s">
        <v>1</v>
      </c>
    </row>
    <row r="3" spans="1:9" x14ac:dyDescent="0.25">
      <c r="A3" s="5"/>
      <c r="B3" s="10"/>
      <c r="C3" s="15" t="s">
        <v>2</v>
      </c>
      <c r="D3" s="15"/>
      <c r="E3" s="15"/>
      <c r="F3" s="15"/>
      <c r="G3" s="15"/>
      <c r="H3" s="15"/>
      <c r="I3" s="16" t="s">
        <v>3</v>
      </c>
    </row>
    <row r="4" spans="1:9" x14ac:dyDescent="0.25">
      <c r="A4" s="5"/>
      <c r="B4" s="10"/>
      <c r="C4" s="25" t="s">
        <v>4</v>
      </c>
      <c r="D4" s="25"/>
      <c r="E4" s="17" t="s">
        <v>5</v>
      </c>
      <c r="F4" s="25" t="s">
        <v>6</v>
      </c>
      <c r="G4" s="25"/>
      <c r="H4" s="18" t="s">
        <v>7</v>
      </c>
      <c r="I4" s="16"/>
    </row>
    <row r="5" spans="1:9" x14ac:dyDescent="0.25">
      <c r="A5" s="6" t="s">
        <v>8</v>
      </c>
      <c r="B5" s="11" t="s">
        <v>9</v>
      </c>
      <c r="C5" s="19" t="s">
        <v>10</v>
      </c>
      <c r="D5" s="19" t="s">
        <v>11</v>
      </c>
      <c r="E5" s="17"/>
      <c r="F5" s="19" t="s">
        <v>10</v>
      </c>
      <c r="G5" s="19" t="s">
        <v>11</v>
      </c>
      <c r="H5" s="17"/>
      <c r="I5" s="20"/>
    </row>
    <row r="6" spans="1:9" x14ac:dyDescent="0.25">
      <c r="A6" s="7" t="s">
        <v>12</v>
      </c>
      <c r="B6" s="12"/>
      <c r="C6" s="21">
        <f>SUM(C7:C14)</f>
        <v>36</v>
      </c>
      <c r="D6" s="21">
        <f t="shared" ref="D6:I6" si="0">SUM(D7:D14)</f>
        <v>108</v>
      </c>
      <c r="E6" s="21">
        <f t="shared" si="0"/>
        <v>180</v>
      </c>
      <c r="F6" s="21">
        <f t="shared" si="0"/>
        <v>252</v>
      </c>
      <c r="G6" s="21">
        <f t="shared" si="0"/>
        <v>324</v>
      </c>
      <c r="H6" s="21">
        <f t="shared" si="0"/>
        <v>396</v>
      </c>
      <c r="I6" s="21">
        <f t="shared" si="0"/>
        <v>468</v>
      </c>
    </row>
    <row r="7" spans="1:9" x14ac:dyDescent="0.25">
      <c r="A7" s="8"/>
      <c r="B7" s="13" t="s">
        <v>13</v>
      </c>
      <c r="C7" s="22">
        <v>1</v>
      </c>
      <c r="D7" s="22">
        <f t="shared" ref="D7:I7" si="1">C7+9</f>
        <v>10</v>
      </c>
      <c r="E7" s="22">
        <f t="shared" si="1"/>
        <v>19</v>
      </c>
      <c r="F7" s="22">
        <f t="shared" si="1"/>
        <v>28</v>
      </c>
      <c r="G7" s="22">
        <f t="shared" si="1"/>
        <v>37</v>
      </c>
      <c r="H7" s="22">
        <f t="shared" si="1"/>
        <v>46</v>
      </c>
      <c r="I7" s="22">
        <f t="shared" si="1"/>
        <v>55</v>
      </c>
    </row>
    <row r="8" spans="1:9" x14ac:dyDescent="0.25">
      <c r="A8" s="8"/>
      <c r="B8" s="13" t="s">
        <v>14</v>
      </c>
      <c r="C8" s="22">
        <f>C7+1</f>
        <v>2</v>
      </c>
      <c r="D8" s="22">
        <f t="shared" ref="D8:D14" si="2">D7+1</f>
        <v>11</v>
      </c>
      <c r="E8" s="22">
        <f t="shared" ref="E8:E14" si="3">E7+1</f>
        <v>20</v>
      </c>
      <c r="F8" s="22">
        <f t="shared" ref="F8:F14" si="4">F7+1</f>
        <v>29</v>
      </c>
      <c r="G8" s="22">
        <f t="shared" ref="G8:G14" si="5">G7+1</f>
        <v>38</v>
      </c>
      <c r="H8" s="22">
        <f t="shared" ref="H8:H14" si="6">H7+1</f>
        <v>47</v>
      </c>
      <c r="I8" s="22">
        <f t="shared" ref="I8:I14" si="7">I7+1</f>
        <v>56</v>
      </c>
    </row>
    <row r="9" spans="1:9" x14ac:dyDescent="0.25">
      <c r="A9" s="8"/>
      <c r="B9" s="13" t="s">
        <v>15</v>
      </c>
      <c r="C9" s="22">
        <f t="shared" ref="C9:C14" si="8">C8+1</f>
        <v>3</v>
      </c>
      <c r="D9" s="22">
        <f t="shared" si="2"/>
        <v>12</v>
      </c>
      <c r="E9" s="22">
        <f t="shared" si="3"/>
        <v>21</v>
      </c>
      <c r="F9" s="22">
        <f t="shared" si="4"/>
        <v>30</v>
      </c>
      <c r="G9" s="22">
        <f t="shared" si="5"/>
        <v>39</v>
      </c>
      <c r="H9" s="22">
        <f t="shared" si="6"/>
        <v>48</v>
      </c>
      <c r="I9" s="22">
        <f t="shared" si="7"/>
        <v>57</v>
      </c>
    </row>
    <row r="10" spans="1:9" x14ac:dyDescent="0.25">
      <c r="A10" s="8"/>
      <c r="B10" s="13" t="s">
        <v>16</v>
      </c>
      <c r="C10" s="22">
        <f t="shared" si="8"/>
        <v>4</v>
      </c>
      <c r="D10" s="22">
        <f t="shared" si="2"/>
        <v>13</v>
      </c>
      <c r="E10" s="22">
        <f t="shared" si="3"/>
        <v>22</v>
      </c>
      <c r="F10" s="22">
        <f t="shared" si="4"/>
        <v>31</v>
      </c>
      <c r="G10" s="22">
        <f t="shared" si="5"/>
        <v>40</v>
      </c>
      <c r="H10" s="22">
        <f t="shared" si="6"/>
        <v>49</v>
      </c>
      <c r="I10" s="22">
        <f t="shared" si="7"/>
        <v>58</v>
      </c>
    </row>
    <row r="11" spans="1:9" x14ac:dyDescent="0.25">
      <c r="A11" s="8"/>
      <c r="B11" s="13" t="s">
        <v>17</v>
      </c>
      <c r="C11" s="22">
        <f t="shared" si="8"/>
        <v>5</v>
      </c>
      <c r="D11" s="22">
        <f t="shared" si="2"/>
        <v>14</v>
      </c>
      <c r="E11" s="22">
        <f t="shared" si="3"/>
        <v>23</v>
      </c>
      <c r="F11" s="22">
        <f t="shared" si="4"/>
        <v>32</v>
      </c>
      <c r="G11" s="22">
        <f t="shared" si="5"/>
        <v>41</v>
      </c>
      <c r="H11" s="22">
        <f t="shared" si="6"/>
        <v>50</v>
      </c>
      <c r="I11" s="22">
        <f t="shared" si="7"/>
        <v>59</v>
      </c>
    </row>
    <row r="12" spans="1:9" x14ac:dyDescent="0.25">
      <c r="A12" s="8"/>
      <c r="B12" s="13" t="s">
        <v>18</v>
      </c>
      <c r="C12" s="22">
        <f t="shared" si="8"/>
        <v>6</v>
      </c>
      <c r="D12" s="22">
        <f t="shared" si="2"/>
        <v>15</v>
      </c>
      <c r="E12" s="22">
        <f t="shared" si="3"/>
        <v>24</v>
      </c>
      <c r="F12" s="22">
        <f t="shared" si="4"/>
        <v>33</v>
      </c>
      <c r="G12" s="22">
        <f t="shared" si="5"/>
        <v>42</v>
      </c>
      <c r="H12" s="22">
        <f t="shared" si="6"/>
        <v>51</v>
      </c>
      <c r="I12" s="22">
        <f t="shared" si="7"/>
        <v>60</v>
      </c>
    </row>
    <row r="13" spans="1:9" x14ac:dyDescent="0.25">
      <c r="A13" s="8"/>
      <c r="B13" s="13" t="s">
        <v>19</v>
      </c>
      <c r="C13" s="22">
        <f t="shared" si="8"/>
        <v>7</v>
      </c>
      <c r="D13" s="22">
        <f t="shared" si="2"/>
        <v>16</v>
      </c>
      <c r="E13" s="22">
        <f t="shared" si="3"/>
        <v>25</v>
      </c>
      <c r="F13" s="22">
        <f t="shared" si="4"/>
        <v>34</v>
      </c>
      <c r="G13" s="22">
        <f t="shared" si="5"/>
        <v>43</v>
      </c>
      <c r="H13" s="22">
        <f t="shared" si="6"/>
        <v>52</v>
      </c>
      <c r="I13" s="22">
        <f t="shared" si="7"/>
        <v>61</v>
      </c>
    </row>
    <row r="14" spans="1:9" x14ac:dyDescent="0.25">
      <c r="A14" s="8"/>
      <c r="B14" s="13" t="s">
        <v>32</v>
      </c>
      <c r="C14" s="22">
        <f t="shared" si="8"/>
        <v>8</v>
      </c>
      <c r="D14" s="22">
        <f t="shared" si="2"/>
        <v>17</v>
      </c>
      <c r="E14" s="22">
        <f t="shared" si="3"/>
        <v>26</v>
      </c>
      <c r="F14" s="22">
        <f t="shared" si="4"/>
        <v>35</v>
      </c>
      <c r="G14" s="22">
        <f t="shared" si="5"/>
        <v>44</v>
      </c>
      <c r="H14" s="22">
        <f t="shared" si="6"/>
        <v>53</v>
      </c>
      <c r="I14" s="22">
        <f t="shared" si="7"/>
        <v>62</v>
      </c>
    </row>
    <row r="15" spans="1:9" x14ac:dyDescent="0.25">
      <c r="A15" s="7" t="s">
        <v>20</v>
      </c>
      <c r="B15" s="12"/>
      <c r="C15" s="21">
        <f>SUM(C16:C22)</f>
        <v>462</v>
      </c>
      <c r="D15" s="21">
        <f t="shared" ref="D15:I15" si="9">SUM(D16:D22)</f>
        <v>511</v>
      </c>
      <c r="E15" s="21">
        <f t="shared" si="9"/>
        <v>560</v>
      </c>
      <c r="F15" s="21">
        <f t="shared" si="9"/>
        <v>609</v>
      </c>
      <c r="G15" s="21">
        <f t="shared" si="9"/>
        <v>658</v>
      </c>
      <c r="H15" s="21">
        <f t="shared" si="9"/>
        <v>707</v>
      </c>
      <c r="I15" s="21">
        <f t="shared" si="9"/>
        <v>756</v>
      </c>
    </row>
    <row r="16" spans="1:9" x14ac:dyDescent="0.25">
      <c r="A16" s="8"/>
      <c r="B16" s="13" t="s">
        <v>13</v>
      </c>
      <c r="C16" s="22">
        <f>I14+1</f>
        <v>63</v>
      </c>
      <c r="D16" s="22">
        <f>C16+7</f>
        <v>70</v>
      </c>
      <c r="E16" s="22">
        <f t="shared" ref="E16:I16" si="10">D16+7</f>
        <v>77</v>
      </c>
      <c r="F16" s="22">
        <f t="shared" si="10"/>
        <v>84</v>
      </c>
      <c r="G16" s="22">
        <f t="shared" si="10"/>
        <v>91</v>
      </c>
      <c r="H16" s="22">
        <f t="shared" si="10"/>
        <v>98</v>
      </c>
      <c r="I16" s="22">
        <f t="shared" si="10"/>
        <v>105</v>
      </c>
    </row>
    <row r="17" spans="1:9" x14ac:dyDescent="0.25">
      <c r="A17" s="8"/>
      <c r="B17" s="13" t="s">
        <v>14</v>
      </c>
      <c r="C17" s="22">
        <f t="shared" ref="C17:C22" si="11">C16+1</f>
        <v>64</v>
      </c>
      <c r="D17" s="22">
        <f t="shared" ref="D17:D22" si="12">D16+1</f>
        <v>71</v>
      </c>
      <c r="E17" s="22">
        <f t="shared" ref="E17:E22" si="13">E16+1</f>
        <v>78</v>
      </c>
      <c r="F17" s="22">
        <f t="shared" ref="F17:F22" si="14">F16+1</f>
        <v>85</v>
      </c>
      <c r="G17" s="22">
        <f t="shared" ref="G17:G22" si="15">G16+1</f>
        <v>92</v>
      </c>
      <c r="H17" s="22">
        <f t="shared" ref="H17:H22" si="16">H16+1</f>
        <v>99</v>
      </c>
      <c r="I17" s="22">
        <f t="shared" ref="I17:I22" si="17">I16+1</f>
        <v>106</v>
      </c>
    </row>
    <row r="18" spans="1:9" x14ac:dyDescent="0.25">
      <c r="A18" s="8"/>
      <c r="B18" s="13" t="s">
        <v>15</v>
      </c>
      <c r="C18" s="22">
        <f t="shared" si="11"/>
        <v>65</v>
      </c>
      <c r="D18" s="22">
        <f t="shared" si="12"/>
        <v>72</v>
      </c>
      <c r="E18" s="22">
        <f t="shared" si="13"/>
        <v>79</v>
      </c>
      <c r="F18" s="22">
        <f t="shared" si="14"/>
        <v>86</v>
      </c>
      <c r="G18" s="22">
        <f t="shared" si="15"/>
        <v>93</v>
      </c>
      <c r="H18" s="22">
        <f t="shared" si="16"/>
        <v>100</v>
      </c>
      <c r="I18" s="22">
        <f t="shared" si="17"/>
        <v>107</v>
      </c>
    </row>
    <row r="19" spans="1:9" x14ac:dyDescent="0.25">
      <c r="A19" s="8"/>
      <c r="B19" s="13" t="s">
        <v>16</v>
      </c>
      <c r="C19" s="22">
        <f t="shared" si="11"/>
        <v>66</v>
      </c>
      <c r="D19" s="22">
        <f t="shared" si="12"/>
        <v>73</v>
      </c>
      <c r="E19" s="22">
        <f t="shared" si="13"/>
        <v>80</v>
      </c>
      <c r="F19" s="22">
        <f t="shared" si="14"/>
        <v>87</v>
      </c>
      <c r="G19" s="22">
        <f t="shared" si="15"/>
        <v>94</v>
      </c>
      <c r="H19" s="22">
        <f t="shared" si="16"/>
        <v>101</v>
      </c>
      <c r="I19" s="22">
        <f t="shared" si="17"/>
        <v>108</v>
      </c>
    </row>
    <row r="20" spans="1:9" x14ac:dyDescent="0.25">
      <c r="A20" s="8"/>
      <c r="B20" s="13" t="s">
        <v>17</v>
      </c>
      <c r="C20" s="22">
        <f t="shared" si="11"/>
        <v>67</v>
      </c>
      <c r="D20" s="22">
        <f t="shared" si="12"/>
        <v>74</v>
      </c>
      <c r="E20" s="22">
        <f t="shared" si="13"/>
        <v>81</v>
      </c>
      <c r="F20" s="22">
        <f t="shared" si="14"/>
        <v>88</v>
      </c>
      <c r="G20" s="22">
        <f t="shared" si="15"/>
        <v>95</v>
      </c>
      <c r="H20" s="22">
        <f t="shared" si="16"/>
        <v>102</v>
      </c>
      <c r="I20" s="22">
        <f t="shared" si="17"/>
        <v>109</v>
      </c>
    </row>
    <row r="21" spans="1:9" x14ac:dyDescent="0.25">
      <c r="A21" s="8"/>
      <c r="B21" s="13" t="s">
        <v>18</v>
      </c>
      <c r="C21" s="22">
        <f t="shared" si="11"/>
        <v>68</v>
      </c>
      <c r="D21" s="22">
        <f t="shared" si="12"/>
        <v>75</v>
      </c>
      <c r="E21" s="22">
        <f t="shared" si="13"/>
        <v>82</v>
      </c>
      <c r="F21" s="22">
        <f t="shared" si="14"/>
        <v>89</v>
      </c>
      <c r="G21" s="22">
        <f t="shared" si="15"/>
        <v>96</v>
      </c>
      <c r="H21" s="22">
        <f t="shared" si="16"/>
        <v>103</v>
      </c>
      <c r="I21" s="22">
        <f t="shared" si="17"/>
        <v>110</v>
      </c>
    </row>
    <row r="22" spans="1:9" x14ac:dyDescent="0.25">
      <c r="A22" s="8"/>
      <c r="B22" s="13" t="s">
        <v>19</v>
      </c>
      <c r="C22" s="22">
        <f t="shared" si="11"/>
        <v>69</v>
      </c>
      <c r="D22" s="22">
        <f t="shared" si="12"/>
        <v>76</v>
      </c>
      <c r="E22" s="22">
        <f t="shared" si="13"/>
        <v>83</v>
      </c>
      <c r="F22" s="22">
        <f t="shared" si="14"/>
        <v>90</v>
      </c>
      <c r="G22" s="22">
        <f t="shared" si="15"/>
        <v>97</v>
      </c>
      <c r="H22" s="22">
        <f t="shared" si="16"/>
        <v>104</v>
      </c>
      <c r="I22" s="22">
        <f t="shared" si="17"/>
        <v>111</v>
      </c>
    </row>
    <row r="23" spans="1:9" x14ac:dyDescent="0.25">
      <c r="A23" s="7" t="s">
        <v>21</v>
      </c>
      <c r="B23" s="12"/>
      <c r="C23" s="21">
        <f>SUM(C24:C30)</f>
        <v>805</v>
      </c>
      <c r="D23" s="21">
        <f t="shared" ref="D23:I23" si="18">SUM(D24:D30)</f>
        <v>854</v>
      </c>
      <c r="E23" s="21">
        <f t="shared" si="18"/>
        <v>903</v>
      </c>
      <c r="F23" s="21">
        <f t="shared" si="18"/>
        <v>952</v>
      </c>
      <c r="G23" s="21">
        <f t="shared" si="18"/>
        <v>1001</v>
      </c>
      <c r="H23" s="21">
        <f t="shared" si="18"/>
        <v>1050</v>
      </c>
      <c r="I23" s="21">
        <f t="shared" si="18"/>
        <v>1099</v>
      </c>
    </row>
    <row r="24" spans="1:9" x14ac:dyDescent="0.25">
      <c r="A24" s="8"/>
      <c r="B24" s="13" t="s">
        <v>13</v>
      </c>
      <c r="C24" s="22">
        <f>I22+1</f>
        <v>112</v>
      </c>
      <c r="D24" s="22">
        <f t="shared" ref="D24:I24" si="19">C24+7</f>
        <v>119</v>
      </c>
      <c r="E24" s="22">
        <f t="shared" si="19"/>
        <v>126</v>
      </c>
      <c r="F24" s="22">
        <f t="shared" si="19"/>
        <v>133</v>
      </c>
      <c r="G24" s="22">
        <f t="shared" si="19"/>
        <v>140</v>
      </c>
      <c r="H24" s="22">
        <f t="shared" si="19"/>
        <v>147</v>
      </c>
      <c r="I24" s="22">
        <f t="shared" si="19"/>
        <v>154</v>
      </c>
    </row>
    <row r="25" spans="1:9" x14ac:dyDescent="0.25">
      <c r="A25" s="8"/>
      <c r="B25" s="13" t="s">
        <v>14</v>
      </c>
      <c r="C25" s="22">
        <f t="shared" ref="C25:C30" si="20">C24+1</f>
        <v>113</v>
      </c>
      <c r="D25" s="22">
        <f t="shared" ref="D25:D30" si="21">D24+1</f>
        <v>120</v>
      </c>
      <c r="E25" s="22">
        <f t="shared" ref="E25:E30" si="22">E24+1</f>
        <v>127</v>
      </c>
      <c r="F25" s="22">
        <f t="shared" ref="F25:F30" si="23">F24+1</f>
        <v>134</v>
      </c>
      <c r="G25" s="22">
        <f t="shared" ref="G25:G30" si="24">G24+1</f>
        <v>141</v>
      </c>
      <c r="H25" s="22">
        <f t="shared" ref="H25:H30" si="25">H24+1</f>
        <v>148</v>
      </c>
      <c r="I25" s="22">
        <f t="shared" ref="I25:I30" si="26">I24+1</f>
        <v>155</v>
      </c>
    </row>
    <row r="26" spans="1:9" x14ac:dyDescent="0.25">
      <c r="A26" s="8"/>
      <c r="B26" s="13" t="s">
        <v>15</v>
      </c>
      <c r="C26" s="22">
        <f t="shared" si="20"/>
        <v>114</v>
      </c>
      <c r="D26" s="22">
        <f t="shared" si="21"/>
        <v>121</v>
      </c>
      <c r="E26" s="22">
        <f t="shared" si="22"/>
        <v>128</v>
      </c>
      <c r="F26" s="22">
        <f t="shared" si="23"/>
        <v>135</v>
      </c>
      <c r="G26" s="22">
        <f t="shared" si="24"/>
        <v>142</v>
      </c>
      <c r="H26" s="22">
        <f t="shared" si="25"/>
        <v>149</v>
      </c>
      <c r="I26" s="22">
        <f t="shared" si="26"/>
        <v>156</v>
      </c>
    </row>
    <row r="27" spans="1:9" x14ac:dyDescent="0.25">
      <c r="A27" s="8"/>
      <c r="B27" s="13" t="s">
        <v>16</v>
      </c>
      <c r="C27" s="22">
        <f t="shared" si="20"/>
        <v>115</v>
      </c>
      <c r="D27" s="22">
        <f t="shared" si="21"/>
        <v>122</v>
      </c>
      <c r="E27" s="22">
        <f t="shared" si="22"/>
        <v>129</v>
      </c>
      <c r="F27" s="22">
        <f t="shared" si="23"/>
        <v>136</v>
      </c>
      <c r="G27" s="22">
        <f t="shared" si="24"/>
        <v>143</v>
      </c>
      <c r="H27" s="22">
        <f t="shared" si="25"/>
        <v>150</v>
      </c>
      <c r="I27" s="22">
        <f t="shared" si="26"/>
        <v>157</v>
      </c>
    </row>
    <row r="28" spans="1:9" x14ac:dyDescent="0.25">
      <c r="A28" s="8"/>
      <c r="B28" s="13" t="s">
        <v>17</v>
      </c>
      <c r="C28" s="22">
        <f t="shared" si="20"/>
        <v>116</v>
      </c>
      <c r="D28" s="22">
        <f t="shared" si="21"/>
        <v>123</v>
      </c>
      <c r="E28" s="22">
        <f t="shared" si="22"/>
        <v>130</v>
      </c>
      <c r="F28" s="22">
        <f t="shared" si="23"/>
        <v>137</v>
      </c>
      <c r="G28" s="22">
        <f t="shared" si="24"/>
        <v>144</v>
      </c>
      <c r="H28" s="22">
        <f t="shared" si="25"/>
        <v>151</v>
      </c>
      <c r="I28" s="22">
        <f t="shared" si="26"/>
        <v>158</v>
      </c>
    </row>
    <row r="29" spans="1:9" x14ac:dyDescent="0.25">
      <c r="A29" s="8"/>
      <c r="B29" s="13" t="s">
        <v>18</v>
      </c>
      <c r="C29" s="22">
        <f t="shared" si="20"/>
        <v>117</v>
      </c>
      <c r="D29" s="22">
        <f t="shared" si="21"/>
        <v>124</v>
      </c>
      <c r="E29" s="22">
        <f t="shared" si="22"/>
        <v>131</v>
      </c>
      <c r="F29" s="22">
        <f t="shared" si="23"/>
        <v>138</v>
      </c>
      <c r="G29" s="22">
        <f t="shared" si="24"/>
        <v>145</v>
      </c>
      <c r="H29" s="22">
        <f t="shared" si="25"/>
        <v>152</v>
      </c>
      <c r="I29" s="22">
        <f t="shared" si="26"/>
        <v>159</v>
      </c>
    </row>
    <row r="30" spans="1:9" x14ac:dyDescent="0.25">
      <c r="A30" s="8"/>
      <c r="B30" s="13" t="s">
        <v>22</v>
      </c>
      <c r="C30" s="22">
        <f t="shared" si="20"/>
        <v>118</v>
      </c>
      <c r="D30" s="22">
        <f t="shared" si="21"/>
        <v>125</v>
      </c>
      <c r="E30" s="22">
        <f t="shared" si="22"/>
        <v>132</v>
      </c>
      <c r="F30" s="22">
        <f t="shared" si="23"/>
        <v>139</v>
      </c>
      <c r="G30" s="22">
        <f t="shared" si="24"/>
        <v>146</v>
      </c>
      <c r="H30" s="22">
        <f t="shared" si="25"/>
        <v>153</v>
      </c>
      <c r="I30" s="22">
        <f t="shared" si="26"/>
        <v>160</v>
      </c>
    </row>
    <row r="31" spans="1:9" x14ac:dyDescent="0.25">
      <c r="A31" s="7" t="s">
        <v>23</v>
      </c>
      <c r="B31" s="12"/>
      <c r="C31" s="21">
        <f>SUM(C32:C38)</f>
        <v>1148</v>
      </c>
      <c r="D31" s="21">
        <f t="shared" ref="D31:I31" si="27">SUM(D32:D38)</f>
        <v>1197</v>
      </c>
      <c r="E31" s="21">
        <f t="shared" si="27"/>
        <v>1246</v>
      </c>
      <c r="F31" s="21">
        <f t="shared" si="27"/>
        <v>1295</v>
      </c>
      <c r="G31" s="21">
        <f t="shared" si="27"/>
        <v>1344</v>
      </c>
      <c r="H31" s="21">
        <f t="shared" si="27"/>
        <v>1393</v>
      </c>
      <c r="I31" s="21">
        <f t="shared" si="27"/>
        <v>1442</v>
      </c>
    </row>
    <row r="32" spans="1:9" x14ac:dyDescent="0.25">
      <c r="A32" s="8"/>
      <c r="B32" s="13" t="s">
        <v>13</v>
      </c>
      <c r="C32" s="22">
        <f>I30+1</f>
        <v>161</v>
      </c>
      <c r="D32" s="22">
        <f t="shared" ref="D32:I32" si="28">C32+7</f>
        <v>168</v>
      </c>
      <c r="E32" s="22">
        <f t="shared" si="28"/>
        <v>175</v>
      </c>
      <c r="F32" s="22">
        <f t="shared" si="28"/>
        <v>182</v>
      </c>
      <c r="G32" s="22">
        <f t="shared" si="28"/>
        <v>189</v>
      </c>
      <c r="H32" s="22">
        <f t="shared" si="28"/>
        <v>196</v>
      </c>
      <c r="I32" s="22">
        <f t="shared" si="28"/>
        <v>203</v>
      </c>
    </row>
    <row r="33" spans="1:9" x14ac:dyDescent="0.25">
      <c r="A33" s="8"/>
      <c r="B33" s="13" t="s">
        <v>14</v>
      </c>
      <c r="C33" s="22">
        <f t="shared" ref="C33:C38" si="29">C32+1</f>
        <v>162</v>
      </c>
      <c r="D33" s="22">
        <f t="shared" ref="D33:D38" si="30">D32+1</f>
        <v>169</v>
      </c>
      <c r="E33" s="22">
        <f t="shared" ref="E33:E38" si="31">E32+1</f>
        <v>176</v>
      </c>
      <c r="F33" s="22">
        <f t="shared" ref="F33:F38" si="32">F32+1</f>
        <v>183</v>
      </c>
      <c r="G33" s="22">
        <f t="shared" ref="G33:G38" si="33">G32+1</f>
        <v>190</v>
      </c>
      <c r="H33" s="22">
        <f t="shared" ref="H33:H38" si="34">H32+1</f>
        <v>197</v>
      </c>
      <c r="I33" s="22">
        <f t="shared" ref="I33:I38" si="35">I32+1</f>
        <v>204</v>
      </c>
    </row>
    <row r="34" spans="1:9" x14ac:dyDescent="0.25">
      <c r="A34" s="8"/>
      <c r="B34" s="13" t="s">
        <v>15</v>
      </c>
      <c r="C34" s="22">
        <f t="shared" si="29"/>
        <v>163</v>
      </c>
      <c r="D34" s="22">
        <f t="shared" si="30"/>
        <v>170</v>
      </c>
      <c r="E34" s="22">
        <f t="shared" si="31"/>
        <v>177</v>
      </c>
      <c r="F34" s="22">
        <f t="shared" si="32"/>
        <v>184</v>
      </c>
      <c r="G34" s="22">
        <f t="shared" si="33"/>
        <v>191</v>
      </c>
      <c r="H34" s="22">
        <f t="shared" si="34"/>
        <v>198</v>
      </c>
      <c r="I34" s="22">
        <f t="shared" si="35"/>
        <v>205</v>
      </c>
    </row>
    <row r="35" spans="1:9" x14ac:dyDescent="0.25">
      <c r="A35" s="8"/>
      <c r="B35" s="13" t="s">
        <v>16</v>
      </c>
      <c r="C35" s="22">
        <f t="shared" si="29"/>
        <v>164</v>
      </c>
      <c r="D35" s="22">
        <f t="shared" si="30"/>
        <v>171</v>
      </c>
      <c r="E35" s="22">
        <f t="shared" si="31"/>
        <v>178</v>
      </c>
      <c r="F35" s="22">
        <f t="shared" si="32"/>
        <v>185</v>
      </c>
      <c r="G35" s="22">
        <f t="shared" si="33"/>
        <v>192</v>
      </c>
      <c r="H35" s="22">
        <f t="shared" si="34"/>
        <v>199</v>
      </c>
      <c r="I35" s="22">
        <f t="shared" si="35"/>
        <v>206</v>
      </c>
    </row>
    <row r="36" spans="1:9" x14ac:dyDescent="0.25">
      <c r="A36" s="8"/>
      <c r="B36" s="13" t="s">
        <v>17</v>
      </c>
      <c r="C36" s="22">
        <f t="shared" si="29"/>
        <v>165</v>
      </c>
      <c r="D36" s="22">
        <f t="shared" si="30"/>
        <v>172</v>
      </c>
      <c r="E36" s="22">
        <f t="shared" si="31"/>
        <v>179</v>
      </c>
      <c r="F36" s="22">
        <f t="shared" si="32"/>
        <v>186</v>
      </c>
      <c r="G36" s="22">
        <f t="shared" si="33"/>
        <v>193</v>
      </c>
      <c r="H36" s="22">
        <f t="shared" si="34"/>
        <v>200</v>
      </c>
      <c r="I36" s="22">
        <f t="shared" si="35"/>
        <v>207</v>
      </c>
    </row>
    <row r="37" spans="1:9" x14ac:dyDescent="0.25">
      <c r="A37" s="8"/>
      <c r="B37" s="13" t="s">
        <v>18</v>
      </c>
      <c r="C37" s="22">
        <f t="shared" si="29"/>
        <v>166</v>
      </c>
      <c r="D37" s="22">
        <f t="shared" si="30"/>
        <v>173</v>
      </c>
      <c r="E37" s="22">
        <f t="shared" si="31"/>
        <v>180</v>
      </c>
      <c r="F37" s="22">
        <f t="shared" si="32"/>
        <v>187</v>
      </c>
      <c r="G37" s="22">
        <f t="shared" si="33"/>
        <v>194</v>
      </c>
      <c r="H37" s="22">
        <f t="shared" si="34"/>
        <v>201</v>
      </c>
      <c r="I37" s="22">
        <f t="shared" si="35"/>
        <v>208</v>
      </c>
    </row>
    <row r="38" spans="1:9" x14ac:dyDescent="0.25">
      <c r="A38" s="8"/>
      <c r="B38" s="13" t="s">
        <v>24</v>
      </c>
      <c r="C38" s="22">
        <f t="shared" si="29"/>
        <v>167</v>
      </c>
      <c r="D38" s="22">
        <f t="shared" si="30"/>
        <v>174</v>
      </c>
      <c r="E38" s="22">
        <f t="shared" si="31"/>
        <v>181</v>
      </c>
      <c r="F38" s="22">
        <f t="shared" si="32"/>
        <v>188</v>
      </c>
      <c r="G38" s="22">
        <f t="shared" si="33"/>
        <v>195</v>
      </c>
      <c r="H38" s="22">
        <f t="shared" si="34"/>
        <v>202</v>
      </c>
      <c r="I38" s="22">
        <f t="shared" si="35"/>
        <v>209</v>
      </c>
    </row>
    <row r="39" spans="1:9" x14ac:dyDescent="0.25">
      <c r="A39" s="7" t="s">
        <v>25</v>
      </c>
      <c r="B39" s="12"/>
      <c r="C39" s="21">
        <f>SUM(C41:C43)</f>
        <v>636</v>
      </c>
      <c r="D39" s="21">
        <f t="shared" ref="D39:I39" si="36">SUM(D41:D43)</f>
        <v>648</v>
      </c>
      <c r="E39" s="21">
        <f t="shared" si="36"/>
        <v>660</v>
      </c>
      <c r="F39" s="21">
        <f t="shared" si="36"/>
        <v>672</v>
      </c>
      <c r="G39" s="21">
        <f t="shared" si="36"/>
        <v>684</v>
      </c>
      <c r="H39" s="21">
        <f t="shared" si="36"/>
        <v>696</v>
      </c>
      <c r="I39" s="21">
        <f t="shared" si="36"/>
        <v>708</v>
      </c>
    </row>
    <row r="40" spans="1:9" x14ac:dyDescent="0.25">
      <c r="A40" s="8"/>
      <c r="B40" s="13" t="s">
        <v>26</v>
      </c>
      <c r="C40" s="22">
        <f>I38+1</f>
        <v>210</v>
      </c>
      <c r="D40" s="22">
        <f>C40+4</f>
        <v>214</v>
      </c>
      <c r="E40" s="22">
        <f t="shared" ref="E40:I40" si="37">D40+4</f>
        <v>218</v>
      </c>
      <c r="F40" s="22">
        <f t="shared" si="37"/>
        <v>222</v>
      </c>
      <c r="G40" s="22">
        <f t="shared" si="37"/>
        <v>226</v>
      </c>
      <c r="H40" s="22">
        <f t="shared" si="37"/>
        <v>230</v>
      </c>
      <c r="I40" s="22">
        <f t="shared" si="37"/>
        <v>234</v>
      </c>
    </row>
    <row r="41" spans="1:9" x14ac:dyDescent="0.25">
      <c r="A41" s="8"/>
      <c r="B41" s="13" t="s">
        <v>14</v>
      </c>
      <c r="C41" s="22">
        <f t="shared" ref="C41:C43" si="38">C40+1</f>
        <v>211</v>
      </c>
      <c r="D41" s="22">
        <f t="shared" ref="D41:D43" si="39">D40+1</f>
        <v>215</v>
      </c>
      <c r="E41" s="22">
        <f t="shared" ref="E41:E43" si="40">E40+1</f>
        <v>219</v>
      </c>
      <c r="F41" s="22">
        <f t="shared" ref="F41:F43" si="41">F40+1</f>
        <v>223</v>
      </c>
      <c r="G41" s="22">
        <f t="shared" ref="G41:G43" si="42">G40+1</f>
        <v>227</v>
      </c>
      <c r="H41" s="22">
        <f t="shared" ref="H41:H43" si="43">H40+1</f>
        <v>231</v>
      </c>
      <c r="I41" s="22">
        <f t="shared" ref="I41:I43" si="44">I40+1</f>
        <v>235</v>
      </c>
    </row>
    <row r="42" spans="1:9" x14ac:dyDescent="0.25">
      <c r="A42" s="8"/>
      <c r="B42" s="13" t="s">
        <v>27</v>
      </c>
      <c r="C42" s="22">
        <f t="shared" si="38"/>
        <v>212</v>
      </c>
      <c r="D42" s="22">
        <f t="shared" si="39"/>
        <v>216</v>
      </c>
      <c r="E42" s="22">
        <f t="shared" si="40"/>
        <v>220</v>
      </c>
      <c r="F42" s="22">
        <f t="shared" si="41"/>
        <v>224</v>
      </c>
      <c r="G42" s="22">
        <f t="shared" si="42"/>
        <v>228</v>
      </c>
      <c r="H42" s="22">
        <f t="shared" si="43"/>
        <v>232</v>
      </c>
      <c r="I42" s="22">
        <f t="shared" si="44"/>
        <v>236</v>
      </c>
    </row>
    <row r="43" spans="1:9" x14ac:dyDescent="0.25">
      <c r="A43" s="8"/>
      <c r="B43" s="13" t="s">
        <v>28</v>
      </c>
      <c r="C43" s="22">
        <f t="shared" si="38"/>
        <v>213</v>
      </c>
      <c r="D43" s="22">
        <f t="shared" si="39"/>
        <v>217</v>
      </c>
      <c r="E43" s="22">
        <f t="shared" si="40"/>
        <v>221</v>
      </c>
      <c r="F43" s="22">
        <f t="shared" si="41"/>
        <v>225</v>
      </c>
      <c r="G43" s="22">
        <f t="shared" si="42"/>
        <v>229</v>
      </c>
      <c r="H43" s="22">
        <f t="shared" si="43"/>
        <v>233</v>
      </c>
      <c r="I43" s="22">
        <f t="shared" si="44"/>
        <v>237</v>
      </c>
    </row>
    <row r="44" spans="1:9" x14ac:dyDescent="0.25">
      <c r="A44" s="7" t="s">
        <v>29</v>
      </c>
      <c r="B44" s="12"/>
      <c r="C44" s="21">
        <f>C45</f>
        <v>238</v>
      </c>
      <c r="D44" s="21">
        <f t="shared" ref="D44:I44" si="45">D45</f>
        <v>239</v>
      </c>
      <c r="E44" s="21">
        <f t="shared" si="45"/>
        <v>240</v>
      </c>
      <c r="F44" s="21">
        <f t="shared" si="45"/>
        <v>241</v>
      </c>
      <c r="G44" s="21">
        <f t="shared" si="45"/>
        <v>242</v>
      </c>
      <c r="H44" s="21">
        <f t="shared" si="45"/>
        <v>243</v>
      </c>
      <c r="I44" s="21">
        <f t="shared" si="45"/>
        <v>244</v>
      </c>
    </row>
    <row r="45" spans="1:9" x14ac:dyDescent="0.25">
      <c r="A45" s="8"/>
      <c r="B45" t="s">
        <v>30</v>
      </c>
      <c r="C45" s="22">
        <f>I43+1</f>
        <v>238</v>
      </c>
      <c r="D45" s="22">
        <f>C45+1</f>
        <v>239</v>
      </c>
      <c r="E45" s="22">
        <f t="shared" ref="E45:I45" si="46">D45+1</f>
        <v>240</v>
      </c>
      <c r="F45" s="22">
        <f t="shared" si="46"/>
        <v>241</v>
      </c>
      <c r="G45" s="22">
        <f t="shared" si="46"/>
        <v>242</v>
      </c>
      <c r="H45" s="22">
        <f t="shared" si="46"/>
        <v>243</v>
      </c>
      <c r="I45" s="22">
        <f t="shared" si="46"/>
        <v>244</v>
      </c>
    </row>
    <row r="46" spans="1:9" x14ac:dyDescent="0.25">
      <c r="A46" s="9" t="s">
        <v>31</v>
      </c>
      <c r="B46" s="14"/>
      <c r="C46" s="23">
        <v>1068</v>
      </c>
      <c r="D46" s="23">
        <v>913</v>
      </c>
      <c r="E46" s="24">
        <v>1981</v>
      </c>
      <c r="F46" s="23">
        <v>4498.3269493844055</v>
      </c>
      <c r="G46" s="23">
        <v>971</v>
      </c>
      <c r="H46" s="24">
        <v>5469.3269493844055</v>
      </c>
      <c r="I46" s="23">
        <v>7450.3269493844055</v>
      </c>
    </row>
  </sheetData>
  <autoFilter ref="A2:I46" xr:uid="{00000000-0001-0000-0000-000000000000}"/>
  <mergeCells count="2">
    <mergeCell ref="C4:D4"/>
    <mergeCell ref="F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DoesNotMatter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Perrino, Francesco</dc:creator>
  <cp:lastModifiedBy>Michele Fosco</cp:lastModifiedBy>
  <dcterms:created xsi:type="dcterms:W3CDTF">2015-06-05T18:17:20Z</dcterms:created>
  <dcterms:modified xsi:type="dcterms:W3CDTF">2025-11-16T11:52:20Z</dcterms:modified>
</cp:coreProperties>
</file>