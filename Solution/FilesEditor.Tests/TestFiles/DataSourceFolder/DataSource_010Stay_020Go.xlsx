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ivotTables/pivotTable1.xml" ContentType="application/vnd.openxmlformats-officedocument.spreadsheetml.pivot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drawings/drawing1.xml" ContentType="application/vnd.openxmlformats-officedocument.drawing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Data\Lefo\Dev\3 GDPptGenerator\Solution\FilesEditor.Tests\TestFiles\DataSourceFolder\"/>
    </mc:Choice>
  </mc:AlternateContent>
  <xr:revisionPtr revIDLastSave="0" documentId="13_ncr:1_{29428DD2-13AD-4442-9CED-41167F797048}" xr6:coauthVersionLast="47" xr6:coauthVersionMax="47" xr10:uidLastSave="{00000000-0000-0000-0000-000000000000}"/>
  <bookViews>
    <workbookView xWindow="-120" yWindow="-120" windowWidth="38640" windowHeight="21120" tabRatio="924" activeTab="3" xr2:uid="{00000000-000D-0000-FFFF-FFFF00000000}"/>
  </bookViews>
  <sheets>
    <sheet name="Budget" sheetId="3" r:id="rId1"/>
    <sheet name="Forecast" sheetId="4" r:id="rId2"/>
    <sheet name="RunRate" sheetId="5" r:id="rId3"/>
    <sheet name="Superdetails" sheetId="1" r:id="rId4"/>
    <sheet name="CN43N" sheetId="34" r:id="rId5"/>
    <sheet name="pivot di appoggio" sheetId="33" r:id="rId6"/>
    <sheet name="table_tabProjType" sheetId="8" r:id="rId7"/>
    <sheet name="table_tabProjTypeCluster" sheetId="9" r:id="rId8"/>
    <sheet name="table_CommonTable" sheetId="10" r:id="rId9"/>
    <sheet name="table_tabProgettiD" sheetId="11" r:id="rId10"/>
    <sheet name="Powerpoint Configuration" sheetId="32" r:id="rId11"/>
    <sheet name="Alias-Business" sheetId="30" r:id="rId12"/>
    <sheet name="Alias-Categoria" sheetId="31" r:id="rId13"/>
    <sheet name="PP_Template" sheetId="12" r:id="rId14"/>
    <sheet name="PP_01" sheetId="2" r:id="rId15"/>
    <sheet name="PP_02" sheetId="13" r:id="rId16"/>
    <sheet name="PP_03" sheetId="14" r:id="rId17"/>
    <sheet name="PP_04" sheetId="16" r:id="rId18"/>
    <sheet name="PP_05" sheetId="17" r:id="rId19"/>
    <sheet name="PP_06" sheetId="18" r:id="rId20"/>
    <sheet name="PP_07" sheetId="19" r:id="rId21"/>
    <sheet name="PP_08" sheetId="20" r:id="rId22"/>
    <sheet name="PP_09" sheetId="21" r:id="rId23"/>
    <sheet name="PP_10" sheetId="22" r:id="rId24"/>
    <sheet name="PP_11" sheetId="23" r:id="rId25"/>
    <sheet name="PP_12" sheetId="24" r:id="rId26"/>
    <sheet name="PP_13" sheetId="25" r:id="rId27"/>
    <sheet name="PP_14" sheetId="26" r:id="rId28"/>
    <sheet name="PP_15" sheetId="27" r:id="rId29"/>
    <sheet name="PP_16" sheetId="28" r:id="rId30"/>
    <sheet name="PP_17" sheetId="29" r:id="rId31"/>
  </sheets>
  <definedNames>
    <definedName name="anno">"2025"</definedName>
    <definedName name="cell_perc_RR">10</definedName>
    <definedName name="mese">"10"</definedName>
    <definedName name="quarter">"Q4"</definedName>
  </definedNames>
  <calcPr calcId="191029"/>
  <pivotCaches>
    <pivotCache cacheId="5" r:id="rId3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1" l="1"/>
  <c r="A5" i="1"/>
  <c r="A6" i="1"/>
  <c r="A7" i="1"/>
  <c r="A8" i="1"/>
  <c r="D4" i="1"/>
  <c r="C4" i="1" s="1"/>
  <c r="D5" i="1"/>
  <c r="C5" i="1" s="1"/>
  <c r="D6" i="1"/>
  <c r="C6" i="1" s="1"/>
  <c r="D7" i="1"/>
  <c r="C7" i="1" s="1"/>
  <c r="D8" i="1"/>
  <c r="C8" i="1" s="1"/>
  <c r="E4" i="1"/>
  <c r="G4" i="1" s="1"/>
  <c r="E5" i="1"/>
  <c r="G5" i="1" s="1"/>
  <c r="E6" i="1"/>
  <c r="E7" i="1"/>
  <c r="G7" i="1" s="1"/>
  <c r="E8" i="1"/>
  <c r="G8" i="1" s="1"/>
  <c r="F4" i="1"/>
  <c r="F5" i="1"/>
  <c r="F6" i="1"/>
  <c r="F7" i="1"/>
  <c r="F8" i="1"/>
  <c r="G6" i="1"/>
  <c r="I4" i="1"/>
  <c r="I5" i="1"/>
  <c r="I6" i="1"/>
  <c r="I7" i="1"/>
  <c r="I8" i="1"/>
  <c r="J4" i="1"/>
  <c r="J5" i="1"/>
  <c r="J6" i="1"/>
  <c r="J7" i="1"/>
  <c r="J8" i="1"/>
  <c r="K4" i="1"/>
  <c r="K5" i="1"/>
  <c r="K6" i="1"/>
  <c r="K7" i="1"/>
  <c r="K8" i="1"/>
  <c r="L4" i="1"/>
  <c r="L5" i="1"/>
  <c r="L6" i="1"/>
  <c r="L7" i="1"/>
  <c r="L8" i="1"/>
  <c r="W4" i="1"/>
  <c r="W5" i="1"/>
  <c r="W6" i="1"/>
  <c r="W7" i="1"/>
  <c r="W8" i="1"/>
  <c r="X4" i="1"/>
  <c r="X5" i="1"/>
  <c r="X6" i="1"/>
  <c r="X7" i="1"/>
  <c r="X8" i="1"/>
  <c r="Y4" i="1"/>
  <c r="Y5" i="1"/>
  <c r="Y6" i="1"/>
  <c r="Y7" i="1"/>
  <c r="Y8" i="1"/>
  <c r="Z4" i="1"/>
  <c r="Z5" i="1"/>
  <c r="Z6" i="1"/>
  <c r="Z7" i="1"/>
  <c r="Z8" i="1"/>
  <c r="AA4" i="1"/>
  <c r="AA5" i="1"/>
  <c r="AA6" i="1"/>
  <c r="AA7" i="1"/>
  <c r="AA8" i="1"/>
  <c r="AC5" i="1"/>
  <c r="AC6" i="1"/>
  <c r="AD4" i="1"/>
  <c r="AD5" i="1"/>
  <c r="AD6" i="1"/>
  <c r="AD7" i="1"/>
  <c r="AD8" i="1"/>
  <c r="A9" i="1"/>
  <c r="A10" i="1"/>
  <c r="A11" i="1"/>
  <c r="D9" i="1"/>
  <c r="C9" i="1" s="1"/>
  <c r="D10" i="1"/>
  <c r="C10" i="1" s="1"/>
  <c r="D11" i="1"/>
  <c r="C11" i="1" s="1"/>
  <c r="E9" i="1"/>
  <c r="G9" i="1" s="1"/>
  <c r="E10" i="1"/>
  <c r="G10" i="1" s="1"/>
  <c r="E11" i="1"/>
  <c r="G11" i="1" s="1"/>
  <c r="F9" i="1"/>
  <c r="F10" i="1"/>
  <c r="F11" i="1"/>
  <c r="I9" i="1"/>
  <c r="I10" i="1"/>
  <c r="I11" i="1"/>
  <c r="J9" i="1"/>
  <c r="J10" i="1"/>
  <c r="J11" i="1"/>
  <c r="K9" i="1"/>
  <c r="K10" i="1"/>
  <c r="K11" i="1"/>
  <c r="L9" i="1"/>
  <c r="L10" i="1"/>
  <c r="L11" i="1"/>
  <c r="W9" i="1"/>
  <c r="W10" i="1"/>
  <c r="W11" i="1"/>
  <c r="X9" i="1"/>
  <c r="X10" i="1"/>
  <c r="X11" i="1"/>
  <c r="Y9" i="1"/>
  <c r="Y10" i="1"/>
  <c r="Y11" i="1"/>
  <c r="Z9" i="1"/>
  <c r="Z10" i="1"/>
  <c r="Z11" i="1"/>
  <c r="AA9" i="1"/>
  <c r="AA10" i="1"/>
  <c r="AA11" i="1"/>
  <c r="AD9" i="1"/>
  <c r="AD10" i="1"/>
  <c r="AD11" i="1"/>
  <c r="A12" i="1"/>
  <c r="A13" i="1"/>
  <c r="A14" i="1"/>
  <c r="A15" i="1"/>
  <c r="A16" i="1"/>
  <c r="D12" i="1"/>
  <c r="C12" i="1" s="1"/>
  <c r="D13" i="1"/>
  <c r="C13" i="1" s="1"/>
  <c r="D14" i="1"/>
  <c r="C14" i="1" s="1"/>
  <c r="D15" i="1"/>
  <c r="C15" i="1" s="1"/>
  <c r="D16" i="1"/>
  <c r="C16" i="1" s="1"/>
  <c r="E12" i="1"/>
  <c r="G12" i="1" s="1"/>
  <c r="E13" i="1"/>
  <c r="G13" i="1" s="1"/>
  <c r="E14" i="1"/>
  <c r="G14" i="1" s="1"/>
  <c r="E15" i="1"/>
  <c r="G15" i="1" s="1"/>
  <c r="E16" i="1"/>
  <c r="G16" i="1" s="1"/>
  <c r="F12" i="1"/>
  <c r="F13" i="1"/>
  <c r="F14" i="1"/>
  <c r="F15" i="1"/>
  <c r="F16" i="1"/>
  <c r="I12" i="1"/>
  <c r="I13" i="1"/>
  <c r="I14" i="1"/>
  <c r="I15" i="1"/>
  <c r="I16" i="1"/>
  <c r="J12" i="1"/>
  <c r="J13" i="1"/>
  <c r="J14" i="1"/>
  <c r="J15" i="1"/>
  <c r="J16" i="1"/>
  <c r="K12" i="1"/>
  <c r="K13" i="1"/>
  <c r="K14" i="1"/>
  <c r="K15" i="1"/>
  <c r="K16" i="1"/>
  <c r="L12" i="1"/>
  <c r="L13" i="1"/>
  <c r="L14" i="1"/>
  <c r="L15" i="1"/>
  <c r="L16" i="1"/>
  <c r="W12" i="1"/>
  <c r="W13" i="1"/>
  <c r="W14" i="1"/>
  <c r="W15" i="1"/>
  <c r="W16" i="1"/>
  <c r="X12" i="1"/>
  <c r="X13" i="1"/>
  <c r="X14" i="1"/>
  <c r="X15" i="1"/>
  <c r="X16" i="1"/>
  <c r="Y12" i="1"/>
  <c r="Y13" i="1"/>
  <c r="Y14" i="1"/>
  <c r="Y15" i="1"/>
  <c r="Y16" i="1"/>
  <c r="Z12" i="1"/>
  <c r="Z13" i="1"/>
  <c r="Z14" i="1"/>
  <c r="Z15" i="1"/>
  <c r="Z16" i="1"/>
  <c r="AA12" i="1"/>
  <c r="AA13" i="1"/>
  <c r="AA14" i="1"/>
  <c r="AA15" i="1"/>
  <c r="AA16" i="1"/>
  <c r="AD12" i="1"/>
  <c r="AD13" i="1"/>
  <c r="AD14" i="1"/>
  <c r="AD15" i="1"/>
  <c r="AD16" i="1"/>
  <c r="A17" i="1"/>
  <c r="A18" i="1"/>
  <c r="A19" i="1"/>
  <c r="A20" i="1"/>
  <c r="A21" i="1"/>
  <c r="D17" i="1"/>
  <c r="C17" i="1" s="1"/>
  <c r="D18" i="1"/>
  <c r="C18" i="1" s="1"/>
  <c r="D19" i="1"/>
  <c r="C19" i="1" s="1"/>
  <c r="D20" i="1"/>
  <c r="C20" i="1" s="1"/>
  <c r="D21" i="1"/>
  <c r="C21" i="1" s="1"/>
  <c r="E17" i="1"/>
  <c r="G17" i="1" s="1"/>
  <c r="E18" i="1"/>
  <c r="G18" i="1" s="1"/>
  <c r="E19" i="1"/>
  <c r="G19" i="1" s="1"/>
  <c r="E20" i="1"/>
  <c r="G20" i="1" s="1"/>
  <c r="E21" i="1"/>
  <c r="G21" i="1" s="1"/>
  <c r="F17" i="1"/>
  <c r="F18" i="1"/>
  <c r="F19" i="1"/>
  <c r="F20" i="1"/>
  <c r="F21" i="1"/>
  <c r="I17" i="1"/>
  <c r="I18" i="1"/>
  <c r="I19" i="1"/>
  <c r="I20" i="1"/>
  <c r="I21" i="1"/>
  <c r="J17" i="1"/>
  <c r="J18" i="1"/>
  <c r="J19" i="1"/>
  <c r="J20" i="1"/>
  <c r="J21" i="1"/>
  <c r="K17" i="1"/>
  <c r="K18" i="1"/>
  <c r="K19" i="1"/>
  <c r="K20" i="1"/>
  <c r="K21" i="1"/>
  <c r="L17" i="1"/>
  <c r="L18" i="1"/>
  <c r="L19" i="1"/>
  <c r="L20" i="1"/>
  <c r="L21" i="1"/>
  <c r="W17" i="1"/>
  <c r="W18" i="1"/>
  <c r="W19" i="1"/>
  <c r="W20" i="1"/>
  <c r="W21" i="1"/>
  <c r="X17" i="1"/>
  <c r="X18" i="1"/>
  <c r="X19" i="1"/>
  <c r="X20" i="1"/>
  <c r="X21" i="1"/>
  <c r="Y17" i="1"/>
  <c r="Y18" i="1"/>
  <c r="Y19" i="1"/>
  <c r="Y20" i="1"/>
  <c r="Y21" i="1"/>
  <c r="Z17" i="1"/>
  <c r="Z18" i="1"/>
  <c r="Z19" i="1"/>
  <c r="Z20" i="1"/>
  <c r="Z21" i="1"/>
  <c r="AA17" i="1"/>
  <c r="AA18" i="1"/>
  <c r="AA19" i="1"/>
  <c r="AA20" i="1"/>
  <c r="AA21" i="1"/>
  <c r="AD17" i="1"/>
  <c r="AD18" i="1"/>
  <c r="AD19" i="1"/>
  <c r="AD20" i="1"/>
  <c r="AD21" i="1"/>
  <c r="A22" i="1"/>
  <c r="A23" i="1"/>
  <c r="A24" i="1"/>
  <c r="A25" i="1"/>
  <c r="A26" i="1"/>
  <c r="D22" i="1"/>
  <c r="C22" i="1" s="1"/>
  <c r="D23" i="1"/>
  <c r="C23" i="1" s="1"/>
  <c r="D24" i="1"/>
  <c r="C24" i="1" s="1"/>
  <c r="D25" i="1"/>
  <c r="C25" i="1" s="1"/>
  <c r="D26" i="1"/>
  <c r="C26" i="1" s="1"/>
  <c r="E22" i="1"/>
  <c r="G22" i="1" s="1"/>
  <c r="E23" i="1"/>
  <c r="G23" i="1" s="1"/>
  <c r="E24" i="1"/>
  <c r="G24" i="1" s="1"/>
  <c r="E25" i="1"/>
  <c r="G25" i="1" s="1"/>
  <c r="E26" i="1"/>
  <c r="G26" i="1" s="1"/>
  <c r="F22" i="1"/>
  <c r="F23" i="1"/>
  <c r="F24" i="1"/>
  <c r="F25" i="1"/>
  <c r="F26" i="1"/>
  <c r="I22" i="1"/>
  <c r="I23" i="1"/>
  <c r="I24" i="1"/>
  <c r="I25" i="1"/>
  <c r="I26" i="1"/>
  <c r="J22" i="1"/>
  <c r="J23" i="1"/>
  <c r="J24" i="1"/>
  <c r="J25" i="1"/>
  <c r="J26" i="1"/>
  <c r="K22" i="1"/>
  <c r="K23" i="1"/>
  <c r="K24" i="1"/>
  <c r="K25" i="1"/>
  <c r="K26" i="1"/>
  <c r="L22" i="1"/>
  <c r="L23" i="1"/>
  <c r="L24" i="1"/>
  <c r="L25" i="1"/>
  <c r="L26" i="1"/>
  <c r="W22" i="1"/>
  <c r="W23" i="1"/>
  <c r="W24" i="1"/>
  <c r="W25" i="1"/>
  <c r="W26" i="1"/>
  <c r="X22" i="1"/>
  <c r="X23" i="1"/>
  <c r="X24" i="1"/>
  <c r="X25" i="1"/>
  <c r="X26" i="1"/>
  <c r="Y22" i="1"/>
  <c r="Y23" i="1"/>
  <c r="Y24" i="1"/>
  <c r="Y25" i="1"/>
  <c r="Y26" i="1"/>
  <c r="Z22" i="1"/>
  <c r="Z23" i="1"/>
  <c r="Z24" i="1"/>
  <c r="Z25" i="1"/>
  <c r="Z26" i="1"/>
  <c r="AA22" i="1"/>
  <c r="AA23" i="1"/>
  <c r="AA24" i="1"/>
  <c r="AA25" i="1"/>
  <c r="AA26" i="1"/>
  <c r="AD22" i="1"/>
  <c r="AD23" i="1"/>
  <c r="AD24" i="1"/>
  <c r="AD25" i="1"/>
  <c r="AD26" i="1"/>
  <c r="A27" i="1"/>
  <c r="D27" i="1"/>
  <c r="C27" i="1" s="1"/>
  <c r="E27" i="1"/>
  <c r="AC27" i="1" s="1"/>
  <c r="F27" i="1"/>
  <c r="J27" i="1"/>
  <c r="K27" i="1"/>
  <c r="L27" i="1"/>
  <c r="W27" i="1"/>
  <c r="X27" i="1"/>
  <c r="Y27" i="1"/>
  <c r="Z27" i="1"/>
  <c r="AA27" i="1"/>
  <c r="AD27" i="1"/>
  <c r="A28" i="1"/>
  <c r="D28" i="1"/>
  <c r="C28" i="1" s="1"/>
  <c r="E28" i="1"/>
  <c r="AC28" i="1" s="1"/>
  <c r="F28" i="1"/>
  <c r="J28" i="1"/>
  <c r="K28" i="1"/>
  <c r="L28" i="1"/>
  <c r="M28" i="1"/>
  <c r="N28" i="1"/>
  <c r="O28" i="1"/>
  <c r="P28" i="1"/>
  <c r="Q28" i="1"/>
  <c r="R28" i="1"/>
  <c r="S28" i="1"/>
  <c r="T28" i="1"/>
  <c r="U28" i="1"/>
  <c r="V28" i="1"/>
  <c r="W28" i="1"/>
  <c r="X28" i="1"/>
  <c r="Y28" i="1"/>
  <c r="Z28" i="1"/>
  <c r="AA28" i="1"/>
  <c r="AD28" i="1"/>
  <c r="V32" i="1"/>
  <c r="U32" i="1"/>
  <c r="T32" i="1"/>
  <c r="S32" i="1"/>
  <c r="R32" i="1"/>
  <c r="Q32" i="1"/>
  <c r="P32" i="1"/>
  <c r="O32" i="1"/>
  <c r="N32" i="1"/>
  <c r="M32" i="1"/>
  <c r="L32" i="1"/>
  <c r="K32" i="1"/>
  <c r="V31" i="1"/>
  <c r="U31" i="1"/>
  <c r="T31" i="1"/>
  <c r="S31" i="1"/>
  <c r="R31" i="1"/>
  <c r="Q31" i="1"/>
  <c r="P31" i="1"/>
  <c r="O31" i="1"/>
  <c r="N31" i="1"/>
  <c r="M31" i="1"/>
  <c r="L31" i="1"/>
  <c r="K31" i="1"/>
  <c r="V30" i="1"/>
  <c r="U30" i="1"/>
  <c r="T30" i="1"/>
  <c r="S30" i="1"/>
  <c r="R30" i="1"/>
  <c r="Q30" i="1"/>
  <c r="P30" i="1"/>
  <c r="O30" i="1"/>
  <c r="N30" i="1"/>
  <c r="M30" i="1"/>
  <c r="L30" i="1"/>
  <c r="K30" i="1"/>
  <c r="V29" i="1"/>
  <c r="U29" i="1"/>
  <c r="T29" i="1"/>
  <c r="S29" i="1"/>
  <c r="R29" i="1"/>
  <c r="Q29" i="1"/>
  <c r="P29" i="1"/>
  <c r="O29" i="1"/>
  <c r="N29" i="1"/>
  <c r="M29" i="1"/>
  <c r="L29" i="1"/>
  <c r="K29" i="1"/>
  <c r="V3" i="1"/>
  <c r="U3" i="1"/>
  <c r="T3" i="1"/>
  <c r="S3" i="1"/>
  <c r="R3" i="1"/>
  <c r="Q3" i="1"/>
  <c r="P3" i="1"/>
  <c r="O3" i="1"/>
  <c r="N3" i="1"/>
  <c r="M3" i="1"/>
  <c r="L3" i="1"/>
  <c r="K3" i="1"/>
  <c r="B32" i="32"/>
  <c r="B31" i="32"/>
  <c r="B30" i="32"/>
  <c r="B29" i="32"/>
  <c r="B28" i="32"/>
  <c r="B27" i="32"/>
  <c r="B26" i="32"/>
  <c r="B25" i="32"/>
  <c r="B24" i="32"/>
  <c r="B23" i="32"/>
  <c r="B22" i="32"/>
  <c r="B21" i="32"/>
  <c r="B20" i="32"/>
  <c r="B19" i="32"/>
  <c r="A27" i="10"/>
  <c r="A26" i="10"/>
  <c r="A25" i="10"/>
  <c r="A24" i="10"/>
  <c r="A23" i="10"/>
  <c r="A22" i="10"/>
  <c r="A21" i="10"/>
  <c r="A20" i="10"/>
  <c r="A19" i="10"/>
  <c r="A18" i="10"/>
  <c r="A17" i="10"/>
  <c r="A16" i="10"/>
  <c r="A15" i="10"/>
  <c r="A14" i="10"/>
  <c r="A13" i="10"/>
  <c r="A12" i="10"/>
  <c r="A11" i="10"/>
  <c r="A10" i="10"/>
  <c r="Y30" i="1"/>
  <c r="A9" i="10"/>
  <c r="A8" i="10"/>
  <c r="A7" i="10"/>
  <c r="A6" i="10"/>
  <c r="A5" i="10"/>
  <c r="A4" i="10"/>
  <c r="A3" i="10"/>
  <c r="A2" i="10"/>
  <c r="AD32" i="1"/>
  <c r="AA32" i="1"/>
  <c r="Z32" i="1"/>
  <c r="Y32" i="1"/>
  <c r="X32" i="1"/>
  <c r="W32" i="1"/>
  <c r="J32" i="1"/>
  <c r="F32" i="1"/>
  <c r="E32" i="1"/>
  <c r="G32" i="1" s="1"/>
  <c r="D32" i="1"/>
  <c r="C32" i="1" s="1"/>
  <c r="A32" i="1"/>
  <c r="AD31" i="1"/>
  <c r="AA31" i="1"/>
  <c r="Z31" i="1"/>
  <c r="X31" i="1"/>
  <c r="W31" i="1"/>
  <c r="J31" i="1"/>
  <c r="E31" i="1"/>
  <c r="AC31" i="1" s="1"/>
  <c r="F31" i="1"/>
  <c r="D31" i="1"/>
  <c r="C31" i="1" s="1"/>
  <c r="A31" i="1"/>
  <c r="AD30" i="1"/>
  <c r="AA30" i="1"/>
  <c r="Z30" i="1"/>
  <c r="X30" i="1"/>
  <c r="W30" i="1"/>
  <c r="J30" i="1"/>
  <c r="F30" i="1"/>
  <c r="E30" i="1"/>
  <c r="G30" i="1" s="1"/>
  <c r="D30" i="1"/>
  <c r="C30" i="1" s="1"/>
  <c r="A30" i="1"/>
  <c r="AD29" i="1"/>
  <c r="E29" i="1"/>
  <c r="AA29" i="1"/>
  <c r="Z29" i="1"/>
  <c r="X29" i="1"/>
  <c r="W29" i="1"/>
  <c r="J29" i="1"/>
  <c r="F29" i="1"/>
  <c r="D29" i="1"/>
  <c r="C29" i="1" s="1"/>
  <c r="A29" i="1"/>
  <c r="AD3" i="1"/>
  <c r="AA3" i="1"/>
  <c r="Z3" i="1"/>
  <c r="X3" i="1"/>
  <c r="W3" i="1"/>
  <c r="J3" i="1"/>
  <c r="F3" i="1"/>
  <c r="E3" i="1"/>
  <c r="AC3" i="1" s="1"/>
  <c r="A3" i="1"/>
  <c r="D3" i="1"/>
  <c r="C3" i="1" s="1"/>
  <c r="O3" i="4"/>
  <c r="E3" i="4" s="1"/>
  <c r="N3" i="4"/>
  <c r="M3" i="4"/>
  <c r="L3" i="4"/>
  <c r="K3" i="4"/>
  <c r="J3" i="4"/>
  <c r="I3" i="4"/>
  <c r="H3" i="4"/>
  <c r="G3" i="4"/>
  <c r="F3" i="4"/>
  <c r="D3" i="4"/>
  <c r="A3" i="4"/>
  <c r="O27" i="2" s="1"/>
  <c r="J3" i="3"/>
  <c r="I3" i="3"/>
  <c r="H3" i="3"/>
  <c r="G3" i="3"/>
  <c r="E3" i="3"/>
  <c r="D3" i="3"/>
  <c r="C3" i="3"/>
  <c r="B3" i="3"/>
  <c r="A3" i="3"/>
  <c r="Y29" i="1"/>
  <c r="Y3" i="1"/>
  <c r="I27" i="2"/>
  <c r="I25" i="2"/>
  <c r="Y31" i="1"/>
  <c r="AC4" i="1" l="1"/>
  <c r="G31" i="1"/>
  <c r="AC16" i="1"/>
  <c r="AC15" i="1"/>
  <c r="AC11" i="1"/>
  <c r="AC9" i="1"/>
  <c r="AC8" i="1"/>
  <c r="AC7" i="1"/>
  <c r="AC12" i="1"/>
  <c r="AC10" i="1"/>
  <c r="AC19" i="1"/>
  <c r="AC18" i="1"/>
  <c r="AC17" i="1"/>
  <c r="AC14" i="1"/>
  <c r="AC13" i="1"/>
  <c r="AC23" i="1"/>
  <c r="AC22" i="1"/>
  <c r="AC21" i="1"/>
  <c r="AC20" i="1"/>
  <c r="AC26" i="1"/>
  <c r="G28" i="1"/>
  <c r="AC24" i="1"/>
  <c r="AC25" i="1"/>
  <c r="AC32" i="1"/>
  <c r="G27" i="1"/>
  <c r="F35" i="2"/>
  <c r="F32" i="2"/>
  <c r="G3" i="1"/>
  <c r="H34" i="2"/>
  <c r="N35" i="2"/>
  <c r="L35" i="2" s="1"/>
  <c r="F31" i="2"/>
  <c r="M26" i="2"/>
  <c r="K26" i="2" s="1"/>
  <c r="M25" i="2"/>
  <c r="K25" i="2" s="1"/>
  <c r="F34" i="2"/>
  <c r="M24" i="2"/>
  <c r="N36" i="2"/>
  <c r="L36" i="2" s="1"/>
  <c r="E27" i="2"/>
  <c r="H35" i="2"/>
  <c r="M27" i="2"/>
  <c r="K27" i="2" s="1"/>
  <c r="G29" i="1"/>
  <c r="AC29" i="1"/>
  <c r="G25" i="2"/>
  <c r="H36" i="2"/>
  <c r="G26" i="2"/>
  <c r="N34" i="2"/>
  <c r="L34" i="2" s="1"/>
  <c r="H31" i="2"/>
  <c r="N31" i="2"/>
  <c r="L31" i="2" s="1"/>
  <c r="E24" i="2"/>
  <c r="H37" i="2"/>
  <c r="N33" i="2"/>
  <c r="L33" i="2" s="1"/>
  <c r="F33" i="2"/>
  <c r="F36" i="2"/>
  <c r="N37" i="2"/>
  <c r="L37" i="2" s="1"/>
  <c r="H32" i="2"/>
  <c r="F37" i="2"/>
  <c r="E25" i="2"/>
  <c r="G27" i="2"/>
  <c r="AC30" i="1"/>
  <c r="H33" i="2"/>
  <c r="G24" i="2"/>
  <c r="N32" i="2"/>
  <c r="L32" i="2" s="1"/>
  <c r="E26" i="2"/>
  <c r="O25" i="2"/>
  <c r="C3" i="4"/>
  <c r="P32" i="2" s="1"/>
  <c r="O24" i="2"/>
  <c r="O26" i="2"/>
  <c r="B3" i="4"/>
  <c r="J34" i="2"/>
  <c r="J37" i="2"/>
  <c r="I24" i="2"/>
  <c r="J31" i="2"/>
  <c r="J32" i="2"/>
  <c r="J33" i="2"/>
  <c r="I26" i="2"/>
  <c r="J36" i="2"/>
  <c r="J35" i="2"/>
  <c r="G29" i="2" l="1"/>
  <c r="E29" i="2"/>
  <c r="H38" i="2"/>
  <c r="H39" i="2" s="1"/>
  <c r="F38" i="2"/>
  <c r="F39" i="2" s="1"/>
  <c r="N38" i="2"/>
  <c r="L38" i="2" s="1"/>
  <c r="M29" i="2"/>
  <c r="K29" i="2" s="1"/>
  <c r="P31" i="2"/>
  <c r="P37" i="2"/>
  <c r="P34" i="2"/>
  <c r="P33" i="2"/>
  <c r="P35" i="2"/>
  <c r="P36" i="2"/>
  <c r="O29" i="2"/>
  <c r="I29" i="2"/>
  <c r="J38" i="2"/>
  <c r="J39" i="2" s="1"/>
  <c r="N39" i="2" l="1"/>
  <c r="L39" i="2" s="1"/>
  <c r="P38" i="2"/>
  <c r="P39" i="2" s="1"/>
</calcChain>
</file>

<file path=xl/sharedStrings.xml><?xml version="1.0" encoding="utf-8"?>
<sst xmlns="http://schemas.openxmlformats.org/spreadsheetml/2006/main" count="2422" uniqueCount="306">
  <si>
    <t>FORMULA</t>
  </si>
  <si>
    <t>TO UPDATE BY SOFTWARE</t>
  </si>
  <si>
    <t>da considerare?_</t>
  </si>
  <si>
    <t>BusinessArea_</t>
  </si>
  <si>
    <t>ProjType_</t>
  </si>
  <si>
    <t>ProjType Cluster 1_</t>
  </si>
  <si>
    <t>ProjType Cluster 2_</t>
  </si>
  <si>
    <t>Nome progetto_</t>
  </si>
  <si>
    <t>EngUnit area cluster 1_</t>
  </si>
  <si>
    <t>BDG est_</t>
  </si>
  <si>
    <t>BDG int_</t>
  </si>
  <si>
    <t>BDG_</t>
  </si>
  <si>
    <t>CATEGORIA</t>
  </si>
  <si>
    <t>INT</t>
  </si>
  <si>
    <t>EST</t>
  </si>
  <si>
    <t>totale Gamberini</t>
  </si>
  <si>
    <t>INT2</t>
  </si>
  <si>
    <t>EST3</t>
  </si>
  <si>
    <t>totale Lanzarini</t>
  </si>
  <si>
    <t>TOTALE TOT</t>
  </si>
  <si>
    <t>da considerare?</t>
  </si>
  <si>
    <t>Proj type cluster 1</t>
  </si>
  <si>
    <t>Proj type cluster 2</t>
  </si>
  <si>
    <t>Business</t>
  </si>
  <si>
    <t>CATEGORIA_</t>
  </si>
  <si>
    <t>ENG TOB - INT_</t>
  </si>
  <si>
    <t>ENG TOB - EST_</t>
  </si>
  <si>
    <t>ENG TOB Totale_</t>
  </si>
  <si>
    <t>ENG LPP - INT_</t>
  </si>
  <si>
    <t>ENG LPP - EST_</t>
  </si>
  <si>
    <t>ENG LPP Totale_</t>
  </si>
  <si>
    <t>int FORECAST_</t>
  </si>
  <si>
    <t>ext FORECAST_</t>
  </si>
  <si>
    <t>FORECAST Totale_</t>
  </si>
  <si>
    <t>CATEGORIA TMP</t>
  </si>
  <si>
    <t>TOB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</si>
  <si>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</si>
  <si>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</si>
  <si>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</si>
  <si>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</si>
  <si>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</si>
  <si>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</si>
  <si>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</si>
  <si>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</si>
  <si>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</si>
  <si>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</si>
  <si>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</si>
  <si>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</si>
  <si>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Anno_</t>
  </si>
  <si>
    <t>Anno di prima marcatura (=anno di apertura progetto)</t>
  </si>
  <si>
    <t>WBS_</t>
  </si>
  <si>
    <t>U ProjType_</t>
  </si>
  <si>
    <t>ORE_</t>
  </si>
  <si>
    <t>gen_</t>
  </si>
  <si>
    <t>feb_</t>
  </si>
  <si>
    <t>mar_</t>
  </si>
  <si>
    <t>apr_</t>
  </si>
  <si>
    <t>mag_</t>
  </si>
  <si>
    <t>giu_</t>
  </si>
  <si>
    <t>lug_</t>
  </si>
  <si>
    <t>ago_</t>
  </si>
  <si>
    <t>set_</t>
  </si>
  <si>
    <t>ott_</t>
  </si>
  <si>
    <t>nov_</t>
  </si>
  <si>
    <t>dic_</t>
  </si>
  <si>
    <t>tipo risorsa_</t>
  </si>
  <si>
    <t>Resp 1°liv_</t>
  </si>
  <si>
    <t>WBS description_</t>
  </si>
  <si>
    <t>WBE description_</t>
  </si>
  <si>
    <t>WBS D description_</t>
  </si>
  <si>
    <t>WBS M description_</t>
  </si>
  <si>
    <t>WBE per WBS-K</t>
  </si>
  <si>
    <t>Resp 1°liv2</t>
  </si>
  <si>
    <t>business area</t>
  </si>
  <si>
    <t/>
  </si>
  <si>
    <t>C005RD234</t>
  </si>
  <si>
    <t>Gamberini G.</t>
  </si>
  <si>
    <t>LAY</t>
  </si>
  <si>
    <t>TOB PK</t>
  </si>
  <si>
    <t>A</t>
  </si>
  <si>
    <t>LAYOUT</t>
  </si>
  <si>
    <t>tab_ProjType</t>
  </si>
  <si>
    <t>Macro area</t>
  </si>
  <si>
    <t>ProjType</t>
  </si>
  <si>
    <t>ProjType Cluster 1</t>
  </si>
  <si>
    <t>ProjType Cluster 2</t>
  </si>
  <si>
    <t>table_ProjTypeCluster</t>
  </si>
  <si>
    <t>B</t>
  </si>
  <si>
    <t>SearchKey</t>
  </si>
  <si>
    <t>EngUnit area cluster 2_</t>
  </si>
  <si>
    <t>C</t>
  </si>
  <si>
    <t>D</t>
  </si>
  <si>
    <t>WBS</t>
  </si>
  <si>
    <t>PROJECT HIGHLIGHT</t>
  </si>
  <si>
    <t>E</t>
  </si>
  <si>
    <t>POWERPOINT TO GENERATE</t>
  </si>
  <si>
    <t>FIELD FILTERS</t>
  </si>
  <si>
    <t>Powerpoint File</t>
  </si>
  <si>
    <t>Title</t>
  </si>
  <si>
    <t>Content 1</t>
  </si>
  <si>
    <t>Content 2</t>
  </si>
  <si>
    <t>Content 3</t>
  </si>
  <si>
    <t>Layout</t>
  </si>
  <si>
    <t>TABLE</t>
  </si>
  <si>
    <t>Nome colonna filtrabile</t>
  </si>
  <si>
    <t>Engineering KPI_Direzione.pptx</t>
  </si>
  <si>
    <t>Progetti per business area e project type</t>
  </si>
  <si>
    <t>PP_01</t>
  </si>
  <si>
    <r>
      <t xml:space="preserve">Layout </t>
    </r>
    <r>
      <rPr>
        <b/>
        <sz val="11"/>
        <color theme="1"/>
        <rFont val="Calibri"/>
        <family val="2"/>
        <scheme val="minor"/>
      </rPr>
      <t>Horizontal</t>
    </r>
  </si>
  <si>
    <t>SUPERDETTAGLI</t>
  </si>
  <si>
    <t>Ore interne / esterne</t>
  </si>
  <si>
    <t>PP_02</t>
  </si>
  <si>
    <t>Progetti per Engineering unit e project type</t>
  </si>
  <si>
    <t>PP_03</t>
  </si>
  <si>
    <t>FORECAST</t>
  </si>
  <si>
    <t>Progetti per business e tipo</t>
  </si>
  <si>
    <t>PP_04</t>
  </si>
  <si>
    <t>Progetti A</t>
  </si>
  <si>
    <t>PP_05</t>
  </si>
  <si>
    <t>Progetti C</t>
  </si>
  <si>
    <t>PP_06</t>
  </si>
  <si>
    <t>Progetti R</t>
  </si>
  <si>
    <t>PP_07</t>
  </si>
  <si>
    <r>
      <t xml:space="preserve">Layout </t>
    </r>
    <r>
      <rPr>
        <b/>
        <sz val="11"/>
        <color theme="1"/>
        <rFont val="Calibri"/>
        <family val="2"/>
        <scheme val="minor"/>
      </rPr>
      <t>Vertical</t>
    </r>
  </si>
  <si>
    <t>BUDGET</t>
  </si>
  <si>
    <t>Progetti K</t>
  </si>
  <si>
    <t>PP_08</t>
  </si>
  <si>
    <t>Progetti D</t>
  </si>
  <si>
    <t>PP_09</t>
  </si>
  <si>
    <t>Progetti K Dettaglio</t>
  </si>
  <si>
    <t>PP_10</t>
  </si>
  <si>
    <t>Progetti D Dettaglio</t>
  </si>
  <si>
    <t>PP_11</t>
  </si>
  <si>
    <t>Progetti M</t>
  </si>
  <si>
    <t>PP_12</t>
  </si>
  <si>
    <t>Progetti U (imporoduttive)</t>
  </si>
  <si>
    <t>PP_13</t>
  </si>
  <si>
    <t>Progetti U (produttive indirette)</t>
  </si>
  <si>
    <t>PP_14</t>
  </si>
  <si>
    <t>Presentazione casi test.pptx</t>
  </si>
  <si>
    <t>Una slide</t>
  </si>
  <si>
    <t>Vertical</t>
  </si>
  <si>
    <t>Horizontal</t>
  </si>
  <si>
    <t>Row values</t>
  </si>
  <si>
    <t>New value</t>
  </si>
  <si>
    <t>abcd*</t>
  </si>
  <si>
    <t>Match caso 1</t>
  </si>
  <si>
    <t>ef*gh</t>
  </si>
  <si>
    <t>Match caso 2</t>
  </si>
  <si>
    <t>*ilmn</t>
  </si>
  <si>
    <t>Match caso 3</t>
  </si>
  <si>
    <t>Caso 4</t>
  </si>
  <si>
    <t>Match caso 4</t>
  </si>
  <si>
    <t>Pippo 1, Pippo 2, Pippo 3</t>
  </si>
  <si>
    <t>Add instructions here to explain the usage of *</t>
  </si>
  <si>
    <t>Alias for the column
Categoria</t>
  </si>
  <si>
    <t>aaaa*</t>
  </si>
  <si>
    <t>Match caso A</t>
  </si>
  <si>
    <t>bb*bb</t>
  </si>
  <si>
    <t>Match caso B</t>
  </si>
  <si>
    <t>*cccc</t>
  </si>
  <si>
    <t>Match caso C</t>
  </si>
  <si>
    <t>Caso D</t>
  </si>
  <si>
    <t>Match caso D</t>
  </si>
  <si>
    <t>Pluto A, PlutoA, Pluto B, pluto C</t>
  </si>
  <si>
    <t>Powerpoint Configuration</t>
  </si>
  <si>
    <t>Print Area:</t>
  </si>
  <si>
    <t>C1:P30</t>
  </si>
  <si>
    <t>D1:P39</t>
  </si>
  <si>
    <t>2025 Q2</t>
  </si>
  <si>
    <t>project type</t>
  </si>
  <si>
    <t>PHARMA</t>
  </si>
  <si>
    <t>CONSUMER ELECTRONICS</t>
  </si>
  <si>
    <t>ESS</t>
  </si>
  <si>
    <t>ALTRI BUSINESS</t>
  </si>
  <si>
    <t>Totale</t>
  </si>
  <si>
    <t>A R E</t>
  </si>
  <si>
    <t>M</t>
  </si>
  <si>
    <t>K</t>
  </si>
  <si>
    <t>U (prod ind)</t>
  </si>
  <si>
    <t>U (impr)</t>
  </si>
  <si>
    <t>altri ProjType</t>
  </si>
  <si>
    <t xml:space="preserve"> Totale</t>
  </si>
  <si>
    <t>D1:P20</t>
  </si>
  <si>
    <t>D1:P30</t>
  </si>
  <si>
    <t>D1:H30</t>
  </si>
  <si>
    <t>D1:M30</t>
  </si>
  <si>
    <t>PP_17</t>
  </si>
  <si>
    <t>234</t>
  </si>
  <si>
    <t>Int.</t>
  </si>
  <si>
    <t>CONV NGP PLATFORM ENG</t>
  </si>
  <si>
    <t>sì</t>
  </si>
  <si>
    <t>FATTIBILITA' DEL 2025 TOBACCO</t>
  </si>
  <si>
    <t>5447634</t>
  </si>
  <si>
    <t>LAYOUT - PROPOSTE E DEFINIZIONE</t>
  </si>
  <si>
    <t>K005.00012</t>
  </si>
  <si>
    <t>C005RD334</t>
  </si>
  <si>
    <t>Seren E.</t>
  </si>
  <si>
    <t>345</t>
  </si>
  <si>
    <t>CANALI E LAYOUT</t>
  </si>
  <si>
    <t>Seren</t>
  </si>
  <si>
    <t>Proposte di layout</t>
  </si>
  <si>
    <t>K005.00012.PAC.999</t>
  </si>
  <si>
    <t>OTHERS (1)</t>
  </si>
  <si>
    <t>SMEI LUCA</t>
  </si>
  <si>
    <t xml:space="preserve">Business </t>
  </si>
  <si>
    <t>COFFEE</t>
  </si>
  <si>
    <t>Alias for the column
Business</t>
  </si>
  <si>
    <t>*MACCHINA*</t>
  </si>
  <si>
    <t>Match caso Pluto</t>
  </si>
  <si>
    <t>Match caso Macchina</t>
  </si>
  <si>
    <t>PHARMA*</t>
  </si>
  <si>
    <t>Match caso Pippo</t>
  </si>
  <si>
    <t>Match caso Caffè</t>
  </si>
  <si>
    <t>Match caso Farmacia</t>
  </si>
  <si>
    <t>Categoria</t>
  </si>
  <si>
    <t>R&amp;D*</t>
  </si>
  <si>
    <t>R&amp;D</t>
  </si>
  <si>
    <t>WBS Element - Project Definition (Text)</t>
  </si>
  <si>
    <t>Network descr</t>
  </si>
  <si>
    <t>INT/EST</t>
  </si>
  <si>
    <t>MESE</t>
  </si>
  <si>
    <t>Bus Area GDLT</t>
  </si>
  <si>
    <t>Area di bdg</t>
  </si>
  <si>
    <t>Sottotipo</t>
  </si>
  <si>
    <t>Cluster</t>
  </si>
  <si>
    <t>Quadrante</t>
  </si>
  <si>
    <t>Total</t>
  </si>
  <si>
    <t>WBE Status</t>
  </si>
  <si>
    <t xml:space="preserve">competence date </t>
  </si>
  <si>
    <t xml:space="preserve">Proj. Type </t>
  </si>
  <si>
    <t>WBE Name</t>
  </si>
  <si>
    <t>Engineering Area</t>
  </si>
  <si>
    <t>Data Accettazione</t>
  </si>
  <si>
    <t>Data Uscita GD</t>
  </si>
  <si>
    <t>Go</t>
  </si>
  <si>
    <t>Business Sample</t>
  </si>
  <si>
    <t>Categoria A</t>
  </si>
  <si>
    <t>Int</t>
  </si>
  <si>
    <t>Est.</t>
  </si>
  <si>
    <t>Row Labels</t>
  </si>
  <si>
    <t>Grand Total</t>
  </si>
  <si>
    <t>Min of Anno_</t>
  </si>
  <si>
    <t>pippo</t>
  </si>
  <si>
    <t>Sender Cost Center</t>
  </si>
  <si>
    <t>Personnel Number</t>
  </si>
  <si>
    <t>Last name First name</t>
  </si>
  <si>
    <t>Project Description</t>
  </si>
  <si>
    <t>WBS Element</t>
  </si>
  <si>
    <t>Network</t>
  </si>
  <si>
    <t>Operation/Activity</t>
  </si>
  <si>
    <t>Acct assgnt text</t>
  </si>
  <si>
    <t>PROJ CODE</t>
  </si>
  <si>
    <t>Raggr. X Struttura</t>
  </si>
  <si>
    <t>Resp 2°liv</t>
  </si>
  <si>
    <t>CDC bdg</t>
  </si>
  <si>
    <t>Resp 1°liv</t>
  </si>
  <si>
    <t>Resp DT</t>
  </si>
  <si>
    <t>TIPO REP</t>
  </si>
  <si>
    <t>Bus Area_2</t>
  </si>
  <si>
    <t>tipo progetto</t>
  </si>
  <si>
    <t>Proj name</t>
  </si>
  <si>
    <t>machine code</t>
  </si>
  <si>
    <t>product area</t>
  </si>
  <si>
    <t>Resp del Prodotto</t>
  </si>
  <si>
    <t>Macchina</t>
  </si>
  <si>
    <t>01.2025</t>
  </si>
  <si>
    <t>02.2025</t>
  </si>
  <si>
    <t>03.2025</t>
  </si>
  <si>
    <t>04.2025</t>
  </si>
  <si>
    <t>05.2025</t>
  </si>
  <si>
    <t>06.2025</t>
  </si>
  <si>
    <t>07.2025</t>
  </si>
  <si>
    <t>08.2025</t>
  </si>
  <si>
    <t>09.2025</t>
  </si>
  <si>
    <t>10.2025</t>
  </si>
  <si>
    <t>11.2025</t>
  </si>
  <si>
    <t>12.2025</t>
  </si>
  <si>
    <t>REP UT</t>
  </si>
  <si>
    <t>ProjType Cluster</t>
  </si>
  <si>
    <t>ProjType Cluster2</t>
  </si>
  <si>
    <t>BussinessArea Cluster</t>
  </si>
  <si>
    <t>Level</t>
  </si>
  <si>
    <t>Project definition</t>
  </si>
  <si>
    <t>Short ID (WBS elem)</t>
  </si>
  <si>
    <t>WBS element</t>
  </si>
  <si>
    <t>Name</t>
  </si>
  <si>
    <t>Proj.type</t>
  </si>
  <si>
    <t>Plant</t>
  </si>
  <si>
    <t>Status</t>
  </si>
  <si>
    <t>Results Analysis Key</t>
  </si>
  <si>
    <t>Competence date</t>
  </si>
  <si>
    <t>TechPlat/MachTp</t>
  </si>
  <si>
    <t>Profit center</t>
  </si>
  <si>
    <t>Basic start date</t>
  </si>
  <si>
    <t>Colonna1</t>
  </si>
  <si>
    <t>1</t>
  </si>
  <si>
    <t>A005.01234</t>
  </si>
  <si>
    <t>89</t>
  </si>
  <si>
    <t>GD01</t>
  </si>
  <si>
    <t>REL</t>
  </si>
  <si>
    <t>2</t>
  </si>
  <si>
    <t>A005.01234.PK</t>
  </si>
  <si>
    <t>Packer</t>
  </si>
  <si>
    <t>31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</si>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</sst>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\A\C\T\ 0"/>
    <numFmt numFmtId="165" formatCode="&quot;BDG&quot;\ 0"/>
    <numFmt numFmtId="166" formatCode="&quot;RR&quot;\ 0"/>
    <numFmt numFmtId="167" formatCode="_(* #,##0_);_(* \(#,##0\);_(* &quot;-&quot;_);_(@_)"/>
    <numFmt numFmtId="168" formatCode="_(* #,##0_);_(* \(#,##0\);_(* &quot;-&quot;??_);_(@_)"/>
  </numFmts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name val="Arial"/>
      <family val="2"/>
    </font>
    <font>
      <sz val="10"/>
      <color theme="0"/>
      <name val="Arial"/>
      <family val="2"/>
    </font>
    <font>
      <b/>
      <sz val="11"/>
      <name val="Calibri"/>
      <family val="2"/>
      <scheme val="minor"/>
    </font>
    <font>
      <b/>
      <sz val="9"/>
      <color rgb="FF333333"/>
      <name val="Arial"/>
      <family val="2"/>
    </font>
    <font>
      <sz val="11"/>
      <color rgb="FFFFFF00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scheme val="minor"/>
    </font>
  </fonts>
  <fills count="31">
    <fill>
      <patternFill patternType="none"/>
    </fill>
    <fill>
      <patternFill patternType="gray125"/>
    </fill>
    <fill>
      <patternFill patternType="solid">
        <fgColor rgb="FFC5E0B4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rgb="FF43682B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9DC3E6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rgb="FFFBE5D6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7CE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-0.249977111117893"/>
        <bgColor rgb="FFFFFFFF"/>
      </patternFill>
    </fill>
  </fills>
  <borders count="67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0"/>
      </right>
      <top style="thin">
        <color theme="1" tint="0.499984740745262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1" tint="0.499984740745262"/>
      </top>
      <bottom style="thin">
        <color theme="0"/>
      </bottom>
      <diagonal/>
    </border>
    <border>
      <left style="thin">
        <color theme="0"/>
      </left>
      <right style="thin">
        <color theme="1" tint="0.499984740745262"/>
      </right>
      <top style="thin">
        <color theme="1" tint="0.499984740745262"/>
      </top>
      <bottom style="thin">
        <color theme="0"/>
      </bottom>
      <diagonal/>
    </border>
    <border>
      <left style="thin">
        <color theme="1" tint="0.499984740745262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1" tint="0.499984740745262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1" tint="0.499984740745262"/>
      </bottom>
      <diagonal/>
    </border>
    <border>
      <left style="thin">
        <color theme="0"/>
      </left>
      <right style="thin">
        <color auto="1"/>
      </right>
      <top style="thin">
        <color theme="0"/>
      </top>
      <bottom style="thin">
        <color theme="1" tint="0.499984740745262"/>
      </bottom>
      <diagonal/>
    </border>
    <border>
      <left style="thin">
        <color rgb="FF336600"/>
      </left>
      <right style="thin">
        <color theme="0"/>
      </right>
      <top style="thin">
        <color rgb="FF33660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rgb="FF336600"/>
      </top>
      <bottom style="thin">
        <color theme="0"/>
      </bottom>
      <diagonal/>
    </border>
    <border>
      <left style="thin">
        <color theme="0"/>
      </left>
      <right style="thin">
        <color rgb="FF336600"/>
      </right>
      <top style="thin">
        <color rgb="FF336600"/>
      </top>
      <bottom style="thin">
        <color theme="0"/>
      </bottom>
      <diagonal/>
    </border>
    <border>
      <left style="thin">
        <color rgb="FF33660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rgb="FF336600"/>
      </right>
      <top/>
      <bottom style="thin">
        <color theme="0"/>
      </bottom>
      <diagonal/>
    </border>
    <border>
      <left style="thin">
        <color rgb="FF33660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rgb="FF336600"/>
      </right>
      <top style="thin">
        <color theme="0"/>
      </top>
      <bottom style="thin">
        <color theme="0"/>
      </bottom>
      <diagonal/>
    </border>
    <border>
      <left style="thin">
        <color rgb="FF336600"/>
      </left>
      <right style="thin">
        <color theme="0"/>
      </right>
      <top style="thin">
        <color theme="0"/>
      </top>
      <bottom style="thin">
        <color rgb="FF33660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rgb="FF336600"/>
      </bottom>
      <diagonal/>
    </border>
    <border>
      <left style="thin">
        <color theme="0"/>
      </left>
      <right style="thin">
        <color rgb="FF336600"/>
      </right>
      <top style="thin">
        <color theme="0"/>
      </top>
      <bottom style="thin">
        <color rgb="FF336600"/>
      </bottom>
      <diagonal/>
    </border>
    <border>
      <left style="thin">
        <color rgb="FF336600"/>
      </left>
      <right style="thin">
        <color rgb="FF336600"/>
      </right>
      <top style="thin">
        <color rgb="FF336600"/>
      </top>
      <bottom style="thin">
        <color rgb="FF3366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ck">
        <color auto="1"/>
      </right>
      <top style="thin">
        <color indexed="64"/>
      </top>
      <bottom style="thin">
        <color indexed="64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ck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theme="0"/>
      </right>
      <top style="thin">
        <color theme="1" tint="0.499984740745262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1" tint="0.499984740745262"/>
      </bottom>
      <diagonal/>
    </border>
    <border>
      <left/>
      <right style="thin">
        <color theme="0"/>
      </right>
      <top style="thin">
        <color rgb="FF336600"/>
      </top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rgb="FF336600"/>
      </bottom>
      <diagonal/>
    </border>
    <border>
      <left/>
      <right style="thin">
        <color rgb="FF336600"/>
      </right>
      <top style="thin">
        <color rgb="FF336600"/>
      </top>
      <bottom style="thin">
        <color rgb="FF3366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ck">
        <color auto="1"/>
      </left>
      <right style="thin">
        <color indexed="64"/>
      </right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indexed="64"/>
      </top>
      <bottom style="thin">
        <color theme="4" tint="0.39997558519241921"/>
      </bottom>
      <diagonal/>
    </border>
    <border>
      <left/>
      <right/>
      <top style="thin">
        <color indexed="64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9" fillId="21" borderId="0"/>
    <xf numFmtId="0" fontId="11" fillId="0" borderId="0"/>
    <xf numFmtId="0" fontId="8" fillId="0" borderId="0"/>
    <xf numFmtId="43" fontId="8" fillId="0" borderId="0" applyFont="0" applyFill="0" applyBorder="0" applyAlignment="0" applyProtection="0"/>
    <xf numFmtId="0" fontId="11" fillId="0" borderId="0"/>
  </cellStyleXfs>
  <cellXfs count="155">
    <xf numFmtId="0" fontId="0" fillId="0" borderId="0" xfId="0"/>
    <xf numFmtId="0" fontId="1" fillId="0" borderId="0" xfId="0" applyFont="1"/>
    <xf numFmtId="164" fontId="0" fillId="0" borderId="1" xfId="0" applyNumberFormat="1" applyBorder="1" applyAlignment="1">
      <alignment horizontal="center" vertical="center" wrapText="1"/>
    </xf>
    <xf numFmtId="167" fontId="0" fillId="2" borderId="4" xfId="0" applyNumberFormat="1" applyFill="1" applyBorder="1"/>
    <xf numFmtId="167" fontId="0" fillId="2" borderId="5" xfId="0" applyNumberFormat="1" applyFill="1" applyBorder="1"/>
    <xf numFmtId="0" fontId="0" fillId="2" borderId="6" xfId="0" applyFill="1" applyBorder="1"/>
    <xf numFmtId="167" fontId="0" fillId="3" borderId="7" xfId="0" applyNumberFormat="1" applyFill="1" applyBorder="1"/>
    <xf numFmtId="167" fontId="0" fillId="3" borderId="8" xfId="0" applyNumberFormat="1" applyFill="1" applyBorder="1"/>
    <xf numFmtId="0" fontId="0" fillId="3" borderId="9" xfId="0" applyFill="1" applyBorder="1"/>
    <xf numFmtId="167" fontId="0" fillId="4" borderId="7" xfId="0" applyNumberFormat="1" applyFill="1" applyBorder="1"/>
    <xf numFmtId="167" fontId="0" fillId="4" borderId="8" xfId="0" applyNumberFormat="1" applyFill="1" applyBorder="1"/>
    <xf numFmtId="0" fontId="0" fillId="4" borderId="9" xfId="0" applyFill="1" applyBorder="1"/>
    <xf numFmtId="167" fontId="2" fillId="5" borderId="7" xfId="0" applyNumberFormat="1" applyFont="1" applyFill="1" applyBorder="1"/>
    <xf numFmtId="167" fontId="2" fillId="5" borderId="8" xfId="0" applyNumberFormat="1" applyFont="1" applyFill="1" applyBorder="1"/>
    <xf numFmtId="0" fontId="2" fillId="5" borderId="9" xfId="0" applyFont="1" applyFill="1" applyBorder="1"/>
    <xf numFmtId="167" fontId="2" fillId="6" borderId="10" xfId="0" applyNumberFormat="1" applyFont="1" applyFill="1" applyBorder="1"/>
    <xf numFmtId="0" fontId="2" fillId="6" borderId="11" xfId="0" applyFont="1" applyFill="1" applyBorder="1"/>
    <xf numFmtId="167" fontId="1" fillId="8" borderId="1" xfId="0" applyNumberFormat="1" applyFont="1" applyFill="1" applyBorder="1"/>
    <xf numFmtId="0" fontId="1" fillId="8" borderId="1" xfId="0" applyFont="1" applyFill="1" applyBorder="1"/>
    <xf numFmtId="167" fontId="2" fillId="9" borderId="12" xfId="0" applyNumberFormat="1" applyFont="1" applyFill="1" applyBorder="1"/>
    <xf numFmtId="167" fontId="2" fillId="9" borderId="13" xfId="0" applyNumberFormat="1" applyFont="1" applyFill="1" applyBorder="1"/>
    <xf numFmtId="0" fontId="2" fillId="9" borderId="13" xfId="0" applyFont="1" applyFill="1" applyBorder="1"/>
    <xf numFmtId="167" fontId="2" fillId="9" borderId="14" xfId="0" applyNumberFormat="1" applyFont="1" applyFill="1" applyBorder="1"/>
    <xf numFmtId="167" fontId="2" fillId="10" borderId="15" xfId="0" applyNumberFormat="1" applyFont="1" applyFill="1" applyBorder="1"/>
    <xf numFmtId="167" fontId="2" fillId="10" borderId="16" xfId="0" applyNumberFormat="1" applyFont="1" applyFill="1" applyBorder="1"/>
    <xf numFmtId="0" fontId="2" fillId="10" borderId="16" xfId="0" applyFont="1" applyFill="1" applyBorder="1"/>
    <xf numFmtId="167" fontId="2" fillId="10" borderId="17" xfId="0" applyNumberFormat="1" applyFont="1" applyFill="1" applyBorder="1"/>
    <xf numFmtId="167" fontId="2" fillId="11" borderId="18" xfId="0" applyNumberFormat="1" applyFont="1" applyFill="1" applyBorder="1"/>
    <xf numFmtId="167" fontId="2" fillId="11" borderId="8" xfId="0" applyNumberFormat="1" applyFont="1" applyFill="1" applyBorder="1"/>
    <xf numFmtId="0" fontId="2" fillId="11" borderId="8" xfId="0" applyFont="1" applyFill="1" applyBorder="1"/>
    <xf numFmtId="167" fontId="2" fillId="11" borderId="19" xfId="0" applyNumberFormat="1" applyFont="1" applyFill="1" applyBorder="1"/>
    <xf numFmtId="167" fontId="3" fillId="12" borderId="18" xfId="0" applyNumberFormat="1" applyFont="1" applyFill="1" applyBorder="1"/>
    <xf numFmtId="167" fontId="3" fillId="12" borderId="8" xfId="0" applyNumberFormat="1" applyFont="1" applyFill="1" applyBorder="1"/>
    <xf numFmtId="0" fontId="3" fillId="12" borderId="8" xfId="0" applyFont="1" applyFill="1" applyBorder="1"/>
    <xf numFmtId="167" fontId="3" fillId="12" borderId="19" xfId="0" applyNumberFormat="1" applyFont="1" applyFill="1" applyBorder="1"/>
    <xf numFmtId="167" fontId="3" fillId="13" borderId="18" xfId="0" applyNumberFormat="1" applyFont="1" applyFill="1" applyBorder="1"/>
    <xf numFmtId="167" fontId="3" fillId="13" borderId="8" xfId="0" applyNumberFormat="1" applyFont="1" applyFill="1" applyBorder="1"/>
    <xf numFmtId="0" fontId="3" fillId="13" borderId="8" xfId="0" applyFont="1" applyFill="1" applyBorder="1"/>
    <xf numFmtId="167" fontId="3" fillId="13" borderId="19" xfId="0" applyNumberFormat="1" applyFont="1" applyFill="1" applyBorder="1"/>
    <xf numFmtId="167" fontId="3" fillId="14" borderId="18" xfId="0" applyNumberFormat="1" applyFont="1" applyFill="1" applyBorder="1"/>
    <xf numFmtId="167" fontId="3" fillId="14" borderId="8" xfId="0" applyNumberFormat="1" applyFont="1" applyFill="1" applyBorder="1"/>
    <xf numFmtId="0" fontId="3" fillId="14" borderId="8" xfId="0" applyFont="1" applyFill="1" applyBorder="1"/>
    <xf numFmtId="167" fontId="3" fillId="14" borderId="19" xfId="0" applyNumberFormat="1" applyFont="1" applyFill="1" applyBorder="1"/>
    <xf numFmtId="167" fontId="3" fillId="15" borderId="18" xfId="0" applyNumberFormat="1" applyFont="1" applyFill="1" applyBorder="1"/>
    <xf numFmtId="167" fontId="3" fillId="15" borderId="8" xfId="0" applyNumberFormat="1" applyFont="1" applyFill="1" applyBorder="1"/>
    <xf numFmtId="0" fontId="3" fillId="15" borderId="8" xfId="0" applyFont="1" applyFill="1" applyBorder="1"/>
    <xf numFmtId="167" fontId="3" fillId="15" borderId="19" xfId="0" applyNumberFormat="1" applyFont="1" applyFill="1" applyBorder="1"/>
    <xf numFmtId="167" fontId="2" fillId="16" borderId="20" xfId="0" applyNumberFormat="1" applyFont="1" applyFill="1" applyBorder="1"/>
    <xf numFmtId="167" fontId="2" fillId="16" borderId="21" xfId="0" applyNumberFormat="1" applyFont="1" applyFill="1" applyBorder="1"/>
    <xf numFmtId="0" fontId="2" fillId="16" borderId="21" xfId="0" applyFont="1" applyFill="1" applyBorder="1"/>
    <xf numFmtId="167" fontId="2" fillId="16" borderId="22" xfId="0" applyNumberFormat="1" applyFont="1" applyFill="1" applyBorder="1"/>
    <xf numFmtId="0" fontId="1" fillId="17" borderId="23" xfId="0" applyFont="1" applyFill="1" applyBorder="1"/>
    <xf numFmtId="167" fontId="1" fillId="17" borderId="23" xfId="0" applyNumberFormat="1" applyFont="1" applyFill="1" applyBorder="1"/>
    <xf numFmtId="10" fontId="0" fillId="0" borderId="0" xfId="0" applyNumberFormat="1"/>
    <xf numFmtId="0" fontId="1" fillId="0" borderId="24" xfId="0" applyFont="1" applyBorder="1" applyAlignment="1">
      <alignment horizontal="left"/>
    </xf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167" fontId="0" fillId="0" borderId="0" xfId="0" applyNumberFormat="1"/>
    <xf numFmtId="0" fontId="0" fillId="0" borderId="32" xfId="0" applyBorder="1"/>
    <xf numFmtId="0" fontId="0" fillId="0" borderId="33" xfId="0" applyBorder="1"/>
    <xf numFmtId="0" fontId="0" fillId="0" borderId="34" xfId="0" applyBorder="1"/>
    <xf numFmtId="0" fontId="0" fillId="20" borderId="0" xfId="0" applyFill="1"/>
    <xf numFmtId="0" fontId="1" fillId="0" borderId="0" xfId="0" applyFont="1" applyAlignment="1">
      <alignment horizontal="center"/>
    </xf>
    <xf numFmtId="0" fontId="1" fillId="20" borderId="0" xfId="0" applyFont="1" applyFill="1"/>
    <xf numFmtId="0" fontId="10" fillId="22" borderId="35" xfId="0" applyFont="1" applyFill="1" applyBorder="1"/>
    <xf numFmtId="0" fontId="0" fillId="18" borderId="0" xfId="0" applyFill="1"/>
    <xf numFmtId="0" fontId="12" fillId="0" borderId="0" xfId="2" applyFont="1"/>
    <xf numFmtId="0" fontId="0" fillId="0" borderId="0" xfId="0" applyAlignment="1">
      <alignment horizontal="left"/>
    </xf>
    <xf numFmtId="0" fontId="0" fillId="23" borderId="35" xfId="0" applyFill="1" applyBorder="1"/>
    <xf numFmtId="0" fontId="0" fillId="25" borderId="0" xfId="0" applyFill="1"/>
    <xf numFmtId="0" fontId="1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0" fillId="0" borderId="26" xfId="0" applyBorder="1" applyAlignment="1">
      <alignment horizontal="center"/>
    </xf>
    <xf numFmtId="0" fontId="0" fillId="0" borderId="43" xfId="0" applyBorder="1"/>
    <xf numFmtId="0" fontId="0" fillId="0" borderId="44" xfId="0" applyBorder="1"/>
    <xf numFmtId="0" fontId="0" fillId="0" borderId="45" xfId="0" applyBorder="1"/>
    <xf numFmtId="0" fontId="0" fillId="0" borderId="46" xfId="0" applyBorder="1"/>
    <xf numFmtId="0" fontId="0" fillId="0" borderId="41" xfId="0" applyBorder="1"/>
    <xf numFmtId="0" fontId="0" fillId="0" borderId="42" xfId="0" applyBorder="1"/>
    <xf numFmtId="0" fontId="1" fillId="27" borderId="47" xfId="0" applyFont="1" applyFill="1" applyBorder="1" applyAlignment="1">
      <alignment horizontal="center"/>
    </xf>
    <xf numFmtId="0" fontId="1" fillId="27" borderId="48" xfId="0" applyFont="1" applyFill="1" applyBorder="1" applyAlignment="1">
      <alignment horizontal="center"/>
    </xf>
    <xf numFmtId="0" fontId="0" fillId="28" borderId="0" xfId="0" applyFill="1"/>
    <xf numFmtId="0" fontId="1" fillId="0" borderId="28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28" xfId="0" applyBorder="1" applyAlignment="1">
      <alignment horizontal="center"/>
    </xf>
    <xf numFmtId="0" fontId="0" fillId="0" borderId="0" xfId="0" applyAlignment="1">
      <alignment vertical="center" wrapText="1"/>
    </xf>
    <xf numFmtId="167" fontId="0" fillId="2" borderId="49" xfId="0" applyNumberFormat="1" applyFill="1" applyBorder="1" applyAlignment="1">
      <alignment horizontal="right"/>
    </xf>
    <xf numFmtId="167" fontId="0" fillId="3" borderId="50" xfId="0" applyNumberFormat="1" applyFill="1" applyBorder="1" applyAlignment="1">
      <alignment horizontal="right"/>
    </xf>
    <xf numFmtId="167" fontId="0" fillId="4" borderId="50" xfId="0" applyNumberFormat="1" applyFill="1" applyBorder="1" applyAlignment="1">
      <alignment horizontal="right"/>
    </xf>
    <xf numFmtId="167" fontId="2" fillId="5" borderId="50" xfId="0" applyNumberFormat="1" applyFont="1" applyFill="1" applyBorder="1" applyAlignment="1">
      <alignment horizontal="right"/>
    </xf>
    <xf numFmtId="167" fontId="2" fillId="6" borderId="51" xfId="0" applyNumberFormat="1" applyFont="1" applyFill="1" applyBorder="1" applyAlignment="1">
      <alignment horizontal="right"/>
    </xf>
    <xf numFmtId="0" fontId="1" fillId="7" borderId="3" xfId="0" applyFont="1" applyFill="1" applyBorder="1"/>
    <xf numFmtId="167" fontId="2" fillId="9" borderId="52" xfId="0" applyNumberFormat="1" applyFont="1" applyFill="1" applyBorder="1" applyAlignment="1">
      <alignment horizontal="right"/>
    </xf>
    <xf numFmtId="167" fontId="2" fillId="10" borderId="53" xfId="0" applyNumberFormat="1" applyFont="1" applyFill="1" applyBorder="1" applyAlignment="1">
      <alignment horizontal="right"/>
    </xf>
    <xf numFmtId="167" fontId="2" fillId="11" borderId="50" xfId="0" applyNumberFormat="1" applyFont="1" applyFill="1" applyBorder="1" applyAlignment="1">
      <alignment horizontal="right"/>
    </xf>
    <xf numFmtId="167" fontId="3" fillId="12" borderId="50" xfId="0" applyNumberFormat="1" applyFont="1" applyFill="1" applyBorder="1" applyAlignment="1">
      <alignment horizontal="right"/>
    </xf>
    <xf numFmtId="167" fontId="3" fillId="13" borderId="50" xfId="0" applyNumberFormat="1" applyFont="1" applyFill="1" applyBorder="1" applyAlignment="1">
      <alignment horizontal="right"/>
    </xf>
    <xf numFmtId="167" fontId="3" fillId="14" borderId="50" xfId="0" applyNumberFormat="1" applyFont="1" applyFill="1" applyBorder="1" applyAlignment="1">
      <alignment horizontal="right"/>
    </xf>
    <xf numFmtId="167" fontId="3" fillId="15" borderId="50" xfId="0" applyNumberFormat="1" applyFont="1" applyFill="1" applyBorder="1" applyAlignment="1">
      <alignment horizontal="right"/>
    </xf>
    <xf numFmtId="167" fontId="2" fillId="16" borderId="54" xfId="0" applyNumberFormat="1" applyFont="1" applyFill="1" applyBorder="1" applyAlignment="1">
      <alignment horizontal="right"/>
    </xf>
    <xf numFmtId="0" fontId="1" fillId="17" borderId="55" xfId="0" applyFont="1" applyFill="1" applyBorder="1"/>
    <xf numFmtId="0" fontId="1" fillId="0" borderId="58" xfId="0" applyFont="1" applyBorder="1" applyAlignment="1">
      <alignment horizontal="left"/>
    </xf>
    <xf numFmtId="0" fontId="0" fillId="0" borderId="59" xfId="0" applyBorder="1" applyAlignment="1">
      <alignment horizontal="center"/>
    </xf>
    <xf numFmtId="0" fontId="4" fillId="0" borderId="30" xfId="0" applyFont="1" applyBorder="1" applyAlignment="1">
      <alignment horizontal="center"/>
    </xf>
    <xf numFmtId="0" fontId="0" fillId="20" borderId="60" xfId="0" applyFill="1" applyBorder="1"/>
    <xf numFmtId="0" fontId="0" fillId="0" borderId="0" xfId="0" pivotButton="1"/>
    <xf numFmtId="0" fontId="0" fillId="0" borderId="0" xfId="0" applyAlignment="1">
      <alignment horizontal="left" indent="1"/>
    </xf>
    <xf numFmtId="0" fontId="0" fillId="29" borderId="0" xfId="0" applyFill="1" applyAlignment="1">
      <alignment horizontal="center"/>
    </xf>
    <xf numFmtId="49" fontId="14" fillId="30" borderId="61" xfId="0" applyNumberFormat="1" applyFont="1" applyFill="1" applyBorder="1" applyAlignment="1">
      <alignment horizontal="center" vertical="center" wrapText="1"/>
    </xf>
    <xf numFmtId="0" fontId="15" fillId="29" borderId="0" xfId="0" applyFont="1" applyFill="1" applyAlignment="1">
      <alignment horizontal="center"/>
    </xf>
    <xf numFmtId="168" fontId="0" fillId="29" borderId="0" xfId="4" applyNumberFormat="1" applyFont="1" applyFill="1" applyAlignment="1">
      <alignment horizontal="center"/>
    </xf>
    <xf numFmtId="14" fontId="0" fillId="29" borderId="0" xfId="0" applyNumberFormat="1" applyFill="1" applyAlignment="1">
      <alignment horizontal="center"/>
    </xf>
    <xf numFmtId="0" fontId="17" fillId="29" borderId="0" xfId="0" applyFont="1" applyFill="1" applyAlignment="1">
      <alignment horizontal="center"/>
    </xf>
    <xf numFmtId="0" fontId="10" fillId="25" borderId="0" xfId="0" applyFont="1" applyFill="1" applyAlignment="1">
      <alignment horizontal="center"/>
    </xf>
    <xf numFmtId="0" fontId="10" fillId="22" borderId="64" xfId="0" applyFont="1" applyFill="1" applyBorder="1"/>
    <xf numFmtId="0" fontId="10" fillId="22" borderId="65" xfId="0" applyFont="1" applyFill="1" applyBorder="1"/>
    <xf numFmtId="0" fontId="10" fillId="22" borderId="66" xfId="0" applyFont="1" applyFill="1" applyBorder="1"/>
    <xf numFmtId="0" fontId="11" fillId="23" borderId="62" xfId="5" applyFill="1" applyBorder="1" applyAlignment="1">
      <alignment vertical="top"/>
    </xf>
    <xf numFmtId="0" fontId="11" fillId="23" borderId="63" xfId="5" applyFill="1" applyBorder="1" applyAlignment="1">
      <alignment vertical="top"/>
    </xf>
    <xf numFmtId="14" fontId="11" fillId="23" borderId="63" xfId="5" applyNumberFormat="1" applyFill="1" applyBorder="1" applyAlignment="1">
      <alignment horizontal="right" vertical="top"/>
    </xf>
    <xf numFmtId="0" fontId="11" fillId="23" borderId="35" xfId="5" applyFill="1" applyBorder="1" applyAlignment="1">
      <alignment vertical="top"/>
    </xf>
    <xf numFmtId="0" fontId="11" fillId="0" borderId="62" xfId="5" applyBorder="1" applyAlignment="1">
      <alignment vertical="top"/>
    </xf>
    <xf numFmtId="0" fontId="11" fillId="0" borderId="63" xfId="5" applyBorder="1" applyAlignment="1">
      <alignment vertical="top"/>
    </xf>
    <xf numFmtId="14" fontId="11" fillId="0" borderId="63" xfId="5" applyNumberFormat="1" applyBorder="1" applyAlignment="1">
      <alignment horizontal="right" vertical="top"/>
    </xf>
    <xf numFmtId="0" fontId="11" fillId="0" borderId="35" xfId="5" applyBorder="1" applyAlignment="1">
      <alignment vertical="top"/>
    </xf>
    <xf numFmtId="0" fontId="13" fillId="21" borderId="36" xfId="1" applyFont="1" applyBorder="1" applyAlignment="1">
      <alignment horizontal="center"/>
    </xf>
    <xf numFmtId="0" fontId="13" fillId="21" borderId="37" xfId="1" applyFont="1" applyBorder="1" applyAlignment="1">
      <alignment horizontal="center"/>
    </xf>
    <xf numFmtId="0" fontId="13" fillId="21" borderId="38" xfId="1" applyFont="1" applyBorder="1" applyAlignment="1">
      <alignment horizontal="center"/>
    </xf>
    <xf numFmtId="0" fontId="13" fillId="24" borderId="36" xfId="0" applyFont="1" applyFill="1" applyBorder="1" applyAlignment="1">
      <alignment horizontal="center"/>
    </xf>
    <xf numFmtId="0" fontId="13" fillId="24" borderId="37" xfId="0" applyFont="1" applyFill="1" applyBorder="1" applyAlignment="1">
      <alignment horizontal="center"/>
    </xf>
    <xf numFmtId="0" fontId="1" fillId="24" borderId="37" xfId="0" applyFont="1" applyFill="1" applyBorder="1" applyAlignment="1">
      <alignment horizontal="center"/>
    </xf>
    <xf numFmtId="0" fontId="1" fillId="24" borderId="38" xfId="0" applyFont="1" applyFill="1" applyBorder="1" applyAlignment="1">
      <alignment horizontal="center"/>
    </xf>
    <xf numFmtId="0" fontId="0" fillId="24" borderId="30" xfId="0" applyFill="1" applyBorder="1" applyAlignment="1">
      <alignment horizontal="center"/>
    </xf>
    <xf numFmtId="0" fontId="0" fillId="24" borderId="0" xfId="0" applyFill="1" applyAlignment="1">
      <alignment horizontal="center"/>
    </xf>
    <xf numFmtId="0" fontId="0" fillId="0" borderId="0" xfId="0"/>
    <xf numFmtId="0" fontId="7" fillId="0" borderId="0" xfId="0" applyFont="1" applyAlignment="1">
      <alignment horizontal="center" vertical="center"/>
    </xf>
    <xf numFmtId="0" fontId="7" fillId="20" borderId="0" xfId="0" applyFont="1" applyFill="1" applyAlignment="1">
      <alignment horizontal="center" vertical="center"/>
    </xf>
    <xf numFmtId="0" fontId="4" fillId="26" borderId="39" xfId="0" applyFont="1" applyFill="1" applyBorder="1" applyAlignment="1">
      <alignment horizontal="center" wrapText="1"/>
    </xf>
    <xf numFmtId="0" fontId="4" fillId="26" borderId="40" xfId="0" applyFont="1" applyFill="1" applyBorder="1" applyAlignment="1">
      <alignment horizontal="center"/>
    </xf>
    <xf numFmtId="0" fontId="4" fillId="19" borderId="25" xfId="0" applyFont="1" applyFill="1" applyBorder="1" applyAlignment="1">
      <alignment horizontal="center"/>
    </xf>
    <xf numFmtId="164" fontId="1" fillId="0" borderId="2" xfId="0" applyNumberFormat="1" applyFont="1" applyBorder="1" applyAlignment="1">
      <alignment horizontal="center"/>
    </xf>
    <xf numFmtId="164" fontId="1" fillId="0" borderId="3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4" fillId="19" borderId="56" xfId="0" applyFont="1" applyFill="1" applyBorder="1" applyAlignment="1">
      <alignment horizontal="center"/>
    </xf>
    <xf numFmtId="0" fontId="4" fillId="19" borderId="57" xfId="0" applyFont="1" applyFill="1" applyBorder="1" applyAlignment="1">
      <alignment horizontal="center"/>
    </xf>
    <xf numFmtId="165" fontId="1" fillId="0" borderId="2" xfId="0" applyNumberFormat="1" applyFont="1" applyBorder="1" applyAlignment="1">
      <alignment horizontal="center"/>
    </xf>
    <xf numFmtId="165" fontId="1" fillId="0" borderId="3" xfId="0" applyNumberFormat="1" applyFont="1" applyBorder="1" applyAlignment="1">
      <alignment horizontal="center"/>
    </xf>
    <xf numFmtId="166" fontId="1" fillId="0" borderId="2" xfId="0" applyNumberFormat="1" applyFont="1" applyBorder="1" applyAlignment="1">
      <alignment horizontal="center"/>
    </xf>
    <xf numFmtId="166" fontId="1" fillId="0" borderId="3" xfId="0" applyNumberFormat="1" applyFont="1" applyBorder="1" applyAlignment="1">
      <alignment horizontal="center"/>
    </xf>
    <xf numFmtId="0" fontId="0" fillId="0" borderId="0" xfId="0" applyNumberFormat="1"/>
  </cellXfs>
  <cellStyles count="6">
    <cellStyle name="Bad" xfId="1" builtinId="27"/>
    <cellStyle name="Comma" xfId="4" builtinId="3"/>
    <cellStyle name="Normal" xfId="0" builtinId="0"/>
    <cellStyle name="Normal 2" xfId="2" xr:uid="{00000000-0005-0000-0000-000003000000}"/>
    <cellStyle name="Normale 2" xfId="3" xr:uid="{00000000-0005-0000-0000-000004000000}"/>
    <cellStyle name="Normale 8" xfId="5" xr:uid="{D97E68AC-3D84-4802-A719-1B1AD764A407}"/>
  </cellStyles>
  <dxfs count="70">
    <dxf>
      <alignment horizontal="center" vertical="bottom" textRotation="0" wrapText="0" indent="0" justifyLastLine="0" shrinkToFit="0" readingOrder="0"/>
    </dxf>
    <dxf>
      <font>
        <i val="0"/>
      </font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0"/>
        <name val="Arial"/>
        <scheme val="none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u="none" strike="noStrike" kern="1200" spc="0" baseline="0">
                <a:solidFill>
                  <a:sysClr val="windowText" lastClr="000000"/>
                </a:solidFill>
              </a:rPr>
              <a:t>Ore UT: anno in corso e 2 anni precedenti</a:t>
            </a:r>
          </a:p>
        </c:rich>
      </c:tx>
      <c:layout>
        <c:manualLayout>
          <c:xMode val="edge"/>
          <c:yMode val="edge"/>
          <c:x val="0.29862807616230747"/>
          <c:y val="2.807009021044605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718754715111473"/>
          <c:y val="0.10972444144778111"/>
          <c:w val="0.85047440944881891"/>
          <c:h val="0.6530211878160361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PP_01!$D$24</c:f>
              <c:strCache>
                <c:ptCount val="1"/>
                <c:pt idx="0">
                  <c:v> TOB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PP_01!$E$22:$P$23</c:f>
              <c:multiLvlStrCache>
                <c:ptCount val="12"/>
                <c:lvl>
                  <c:pt idx="0">
                    <c:v>business area</c:v>
                  </c:pt>
                  <c:pt idx="1">
                    <c:v>project type</c:v>
                  </c:pt>
                  <c:pt idx="2">
                    <c:v>business area</c:v>
                  </c:pt>
                  <c:pt idx="3">
                    <c:v>project type</c:v>
                  </c:pt>
                  <c:pt idx="4">
                    <c:v>business area</c:v>
                  </c:pt>
                  <c:pt idx="5">
                    <c:v>project type</c:v>
                  </c:pt>
                  <c:pt idx="6">
                    <c:v>business area</c:v>
                  </c:pt>
                  <c:pt idx="7">
                    <c:v>project type</c:v>
                  </c:pt>
                  <c:pt idx="8">
                    <c:v>business area</c:v>
                  </c:pt>
                  <c:pt idx="9">
                    <c:v>project type</c:v>
                  </c:pt>
                  <c:pt idx="10">
                    <c:v>business area</c:v>
                  </c:pt>
                  <c:pt idx="11">
                    <c:v>project type</c:v>
                  </c:pt>
                </c:lvl>
                <c:lvl>
                  <c:pt idx="0">
                    <c:v>ACT 2023</c:v>
                  </c:pt>
                  <c:pt idx="2">
                    <c:v>ACT 2024</c:v>
                  </c:pt>
                  <c:pt idx="4">
                    <c:v>BDG 2025</c:v>
                  </c:pt>
                  <c:pt idx="6">
                    <c:v>RR 2025</c:v>
                  </c:pt>
                  <c:pt idx="8">
                    <c:v>ACT 2025</c:v>
                  </c:pt>
                  <c:pt idx="10">
                    <c:v>2025 Q2</c:v>
                  </c:pt>
                </c:lvl>
              </c:multiLvlStrCache>
            </c:multiLvlStrRef>
          </c:cat>
          <c:val>
            <c:numRef>
              <c:f>PP_01!$E$24:$P$24</c:f>
              <c:numCache>
                <c:formatCode>_(* #,##0_);_(* \(#,##0\);_(* "-"_);_(@_)</c:formatCode>
                <c:ptCount val="12"/>
                <c:pt idx="0">
                  <c:v>0</c:v>
                </c:pt>
                <c:pt idx="2">
                  <c:v>0</c:v>
                </c:pt>
                <c:pt idx="4">
                  <c:v>0</c:v>
                </c:pt>
                <c:pt idx="6">
                  <c:v>0.51300000000000001</c:v>
                </c:pt>
                <c:pt idx="8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93-4569-A0AA-0632215EDED4}"/>
            </c:ext>
          </c:extLst>
        </c:ser>
        <c:ser>
          <c:idx val="1"/>
          <c:order val="1"/>
          <c:tx>
            <c:strRef>
              <c:f>PP_01!$D$25</c:f>
              <c:strCache>
                <c:ptCount val="1"/>
                <c:pt idx="0">
                  <c:v> PHARMA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PP_01!$E$22:$P$23</c:f>
              <c:multiLvlStrCache>
                <c:ptCount val="12"/>
                <c:lvl>
                  <c:pt idx="0">
                    <c:v>business area</c:v>
                  </c:pt>
                  <c:pt idx="1">
                    <c:v>project type</c:v>
                  </c:pt>
                  <c:pt idx="2">
                    <c:v>business area</c:v>
                  </c:pt>
                  <c:pt idx="3">
                    <c:v>project type</c:v>
                  </c:pt>
                  <c:pt idx="4">
                    <c:v>business area</c:v>
                  </c:pt>
                  <c:pt idx="5">
                    <c:v>project type</c:v>
                  </c:pt>
                  <c:pt idx="6">
                    <c:v>business area</c:v>
                  </c:pt>
                  <c:pt idx="7">
                    <c:v>project type</c:v>
                  </c:pt>
                  <c:pt idx="8">
                    <c:v>business area</c:v>
                  </c:pt>
                  <c:pt idx="9">
                    <c:v>project type</c:v>
                  </c:pt>
                  <c:pt idx="10">
                    <c:v>business area</c:v>
                  </c:pt>
                  <c:pt idx="11">
                    <c:v>project type</c:v>
                  </c:pt>
                </c:lvl>
                <c:lvl>
                  <c:pt idx="0">
                    <c:v>ACT 2023</c:v>
                  </c:pt>
                  <c:pt idx="2">
                    <c:v>ACT 2024</c:v>
                  </c:pt>
                  <c:pt idx="4">
                    <c:v>BDG 2025</c:v>
                  </c:pt>
                  <c:pt idx="6">
                    <c:v>RR 2025</c:v>
                  </c:pt>
                  <c:pt idx="8">
                    <c:v>ACT 2025</c:v>
                  </c:pt>
                  <c:pt idx="10">
                    <c:v>2025 Q2</c:v>
                  </c:pt>
                </c:lvl>
              </c:multiLvlStrCache>
            </c:multiLvlStrRef>
          </c:cat>
          <c:val>
            <c:numRef>
              <c:f>PP_01!$E$25:$P$25</c:f>
              <c:numCache>
                <c:formatCode>_(* #,##0_);_(* \(#,##0\);_(* "-"_);_(@_)</c:formatCode>
                <c:ptCount val="12"/>
                <c:pt idx="0">
                  <c:v>0</c:v>
                </c:pt>
                <c:pt idx="2">
                  <c:v>0</c:v>
                </c:pt>
                <c:pt idx="4">
                  <c:v>0</c:v>
                </c:pt>
                <c:pt idx="6">
                  <c:v>0</c:v>
                </c:pt>
                <c:pt idx="8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093-4569-A0AA-0632215EDED4}"/>
            </c:ext>
          </c:extLst>
        </c:ser>
        <c:ser>
          <c:idx val="2"/>
          <c:order val="2"/>
          <c:tx>
            <c:strRef>
              <c:f>PP_01!$D$26</c:f>
              <c:strCache>
                <c:ptCount val="1"/>
                <c:pt idx="0">
                  <c:v> CONSUMER ELECTRONICS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PP_01!$E$22:$P$23</c:f>
              <c:multiLvlStrCache>
                <c:ptCount val="12"/>
                <c:lvl>
                  <c:pt idx="0">
                    <c:v>business area</c:v>
                  </c:pt>
                  <c:pt idx="1">
                    <c:v>project type</c:v>
                  </c:pt>
                  <c:pt idx="2">
                    <c:v>business area</c:v>
                  </c:pt>
                  <c:pt idx="3">
                    <c:v>project type</c:v>
                  </c:pt>
                  <c:pt idx="4">
                    <c:v>business area</c:v>
                  </c:pt>
                  <c:pt idx="5">
                    <c:v>project type</c:v>
                  </c:pt>
                  <c:pt idx="6">
                    <c:v>business area</c:v>
                  </c:pt>
                  <c:pt idx="7">
                    <c:v>project type</c:v>
                  </c:pt>
                  <c:pt idx="8">
                    <c:v>business area</c:v>
                  </c:pt>
                  <c:pt idx="9">
                    <c:v>project type</c:v>
                  </c:pt>
                  <c:pt idx="10">
                    <c:v>business area</c:v>
                  </c:pt>
                  <c:pt idx="11">
                    <c:v>project type</c:v>
                  </c:pt>
                </c:lvl>
                <c:lvl>
                  <c:pt idx="0">
                    <c:v>ACT 2023</c:v>
                  </c:pt>
                  <c:pt idx="2">
                    <c:v>ACT 2024</c:v>
                  </c:pt>
                  <c:pt idx="4">
                    <c:v>BDG 2025</c:v>
                  </c:pt>
                  <c:pt idx="6">
                    <c:v>RR 2025</c:v>
                  </c:pt>
                  <c:pt idx="8">
                    <c:v>ACT 2025</c:v>
                  </c:pt>
                  <c:pt idx="10">
                    <c:v>2025 Q2</c:v>
                  </c:pt>
                </c:lvl>
              </c:multiLvlStrCache>
            </c:multiLvlStrRef>
          </c:cat>
          <c:val>
            <c:numRef>
              <c:f>PP_01!$E$26:$P$26</c:f>
              <c:numCache>
                <c:formatCode>_(* #,##0_);_(* \(#,##0\);_(* "-"_);_(@_)</c:formatCode>
                <c:ptCount val="12"/>
                <c:pt idx="0">
                  <c:v>0</c:v>
                </c:pt>
                <c:pt idx="2">
                  <c:v>0</c:v>
                </c:pt>
                <c:pt idx="4">
                  <c:v>0</c:v>
                </c:pt>
                <c:pt idx="6">
                  <c:v>0</c:v>
                </c:pt>
                <c:pt idx="8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093-4569-A0AA-0632215EDED4}"/>
            </c:ext>
          </c:extLst>
        </c:ser>
        <c:ser>
          <c:idx val="3"/>
          <c:order val="3"/>
          <c:tx>
            <c:strRef>
              <c:f>PP_01!$D$27</c:f>
              <c:strCache>
                <c:ptCount val="1"/>
                <c:pt idx="0">
                  <c:v> ESS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PP_01!$E$22:$P$23</c:f>
              <c:multiLvlStrCache>
                <c:ptCount val="12"/>
                <c:lvl>
                  <c:pt idx="0">
                    <c:v>business area</c:v>
                  </c:pt>
                  <c:pt idx="1">
                    <c:v>project type</c:v>
                  </c:pt>
                  <c:pt idx="2">
                    <c:v>business area</c:v>
                  </c:pt>
                  <c:pt idx="3">
                    <c:v>project type</c:v>
                  </c:pt>
                  <c:pt idx="4">
                    <c:v>business area</c:v>
                  </c:pt>
                  <c:pt idx="5">
                    <c:v>project type</c:v>
                  </c:pt>
                  <c:pt idx="6">
                    <c:v>business area</c:v>
                  </c:pt>
                  <c:pt idx="7">
                    <c:v>project type</c:v>
                  </c:pt>
                  <c:pt idx="8">
                    <c:v>business area</c:v>
                  </c:pt>
                  <c:pt idx="9">
                    <c:v>project type</c:v>
                  </c:pt>
                  <c:pt idx="10">
                    <c:v>business area</c:v>
                  </c:pt>
                  <c:pt idx="11">
                    <c:v>project type</c:v>
                  </c:pt>
                </c:lvl>
                <c:lvl>
                  <c:pt idx="0">
                    <c:v>ACT 2023</c:v>
                  </c:pt>
                  <c:pt idx="2">
                    <c:v>ACT 2024</c:v>
                  </c:pt>
                  <c:pt idx="4">
                    <c:v>BDG 2025</c:v>
                  </c:pt>
                  <c:pt idx="6">
                    <c:v>RR 2025</c:v>
                  </c:pt>
                  <c:pt idx="8">
                    <c:v>ACT 2025</c:v>
                  </c:pt>
                  <c:pt idx="10">
                    <c:v>2025 Q2</c:v>
                  </c:pt>
                </c:lvl>
              </c:multiLvlStrCache>
            </c:multiLvlStrRef>
          </c:cat>
          <c:val>
            <c:numRef>
              <c:f>PP_01!$E$27:$P$27</c:f>
              <c:numCache>
                <c:formatCode>_(* #,##0_);_(* \(#,##0\);_(* "-"_);_(@_)</c:formatCode>
                <c:ptCount val="12"/>
                <c:pt idx="0">
                  <c:v>0</c:v>
                </c:pt>
                <c:pt idx="2">
                  <c:v>0</c:v>
                </c:pt>
                <c:pt idx="4">
                  <c:v>0</c:v>
                </c:pt>
                <c:pt idx="6">
                  <c:v>0</c:v>
                </c:pt>
                <c:pt idx="8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093-4569-A0AA-0632215EDED4}"/>
            </c:ext>
          </c:extLst>
        </c:ser>
        <c:ser>
          <c:idx val="4"/>
          <c:order val="4"/>
          <c:tx>
            <c:strRef>
              <c:f>PP_01!$D$28</c:f>
              <c:strCache>
                <c:ptCount val="1"/>
                <c:pt idx="0">
                  <c:v> ALTRI BUSINESS 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PP_01!$E$22:$P$23</c:f>
              <c:multiLvlStrCache>
                <c:ptCount val="12"/>
                <c:lvl>
                  <c:pt idx="0">
                    <c:v>business area</c:v>
                  </c:pt>
                  <c:pt idx="1">
                    <c:v>project type</c:v>
                  </c:pt>
                  <c:pt idx="2">
                    <c:v>business area</c:v>
                  </c:pt>
                  <c:pt idx="3">
                    <c:v>project type</c:v>
                  </c:pt>
                  <c:pt idx="4">
                    <c:v>business area</c:v>
                  </c:pt>
                  <c:pt idx="5">
                    <c:v>project type</c:v>
                  </c:pt>
                  <c:pt idx="6">
                    <c:v>business area</c:v>
                  </c:pt>
                  <c:pt idx="7">
                    <c:v>project type</c:v>
                  </c:pt>
                  <c:pt idx="8">
                    <c:v>business area</c:v>
                  </c:pt>
                  <c:pt idx="9">
                    <c:v>project type</c:v>
                  </c:pt>
                  <c:pt idx="10">
                    <c:v>business area</c:v>
                  </c:pt>
                  <c:pt idx="11">
                    <c:v>project type</c:v>
                  </c:pt>
                </c:lvl>
                <c:lvl>
                  <c:pt idx="0">
                    <c:v>ACT 2023</c:v>
                  </c:pt>
                  <c:pt idx="2">
                    <c:v>ACT 2024</c:v>
                  </c:pt>
                  <c:pt idx="4">
                    <c:v>BDG 2025</c:v>
                  </c:pt>
                  <c:pt idx="6">
                    <c:v>RR 2025</c:v>
                  </c:pt>
                  <c:pt idx="8">
                    <c:v>ACT 2025</c:v>
                  </c:pt>
                  <c:pt idx="10">
                    <c:v>2025 Q2</c:v>
                  </c:pt>
                </c:lvl>
              </c:multiLvlStrCache>
            </c:multiLvlStrRef>
          </c:cat>
          <c:val>
            <c:numRef>
              <c:f>PP_01!$E$28:$P$28</c:f>
              <c:numCache>
                <c:formatCode>_(* #,##0_);_(* \(#,##0\);_(* "-"_);_(@_)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4-1093-4569-A0AA-0632215EDED4}"/>
            </c:ext>
          </c:extLst>
        </c:ser>
        <c:ser>
          <c:idx val="6"/>
          <c:order val="6"/>
          <c:tx>
            <c:strRef>
              <c:f>PP_01!$D$30</c:f>
              <c:strCache>
                <c:ptCount val="1"/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PP_01!$E$22:$P$23</c:f>
              <c:multiLvlStrCache>
                <c:ptCount val="12"/>
                <c:lvl>
                  <c:pt idx="0">
                    <c:v>business area</c:v>
                  </c:pt>
                  <c:pt idx="1">
                    <c:v>project type</c:v>
                  </c:pt>
                  <c:pt idx="2">
                    <c:v>business area</c:v>
                  </c:pt>
                  <c:pt idx="3">
                    <c:v>project type</c:v>
                  </c:pt>
                  <c:pt idx="4">
                    <c:v>business area</c:v>
                  </c:pt>
                  <c:pt idx="5">
                    <c:v>project type</c:v>
                  </c:pt>
                  <c:pt idx="6">
                    <c:v>business area</c:v>
                  </c:pt>
                  <c:pt idx="7">
                    <c:v>project type</c:v>
                  </c:pt>
                  <c:pt idx="8">
                    <c:v>business area</c:v>
                  </c:pt>
                  <c:pt idx="9">
                    <c:v>project type</c:v>
                  </c:pt>
                  <c:pt idx="10">
                    <c:v>business area</c:v>
                  </c:pt>
                  <c:pt idx="11">
                    <c:v>project type</c:v>
                  </c:pt>
                </c:lvl>
                <c:lvl>
                  <c:pt idx="0">
                    <c:v>ACT 2023</c:v>
                  </c:pt>
                  <c:pt idx="2">
                    <c:v>ACT 2024</c:v>
                  </c:pt>
                  <c:pt idx="4">
                    <c:v>BDG 2025</c:v>
                  </c:pt>
                  <c:pt idx="6">
                    <c:v>RR 2025</c:v>
                  </c:pt>
                  <c:pt idx="8">
                    <c:v>ACT 2025</c:v>
                  </c:pt>
                  <c:pt idx="10">
                    <c:v>2025 Q2</c:v>
                  </c:pt>
                </c:lvl>
              </c:multiLvlStrCache>
            </c:multiLvlStrRef>
          </c:cat>
          <c:val>
            <c:numRef>
              <c:f>PP_01!$E$30:$P$30</c:f>
              <c:numCache>
                <c:formatCode>_(* #,##0_);_(* \(#,##0\);_(* "-"_);_(@_)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6-1093-4569-A0AA-0632215EDED4}"/>
            </c:ext>
          </c:extLst>
        </c:ser>
        <c:ser>
          <c:idx val="7"/>
          <c:order val="7"/>
          <c:tx>
            <c:strRef>
              <c:f>PP_01!$D$31</c:f>
              <c:strCache>
                <c:ptCount val="1"/>
                <c:pt idx="0">
                  <c:v> C 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PP_01!$E$22:$P$23</c:f>
              <c:multiLvlStrCache>
                <c:ptCount val="12"/>
                <c:lvl>
                  <c:pt idx="0">
                    <c:v>business area</c:v>
                  </c:pt>
                  <c:pt idx="1">
                    <c:v>project type</c:v>
                  </c:pt>
                  <c:pt idx="2">
                    <c:v>business area</c:v>
                  </c:pt>
                  <c:pt idx="3">
                    <c:v>project type</c:v>
                  </c:pt>
                  <c:pt idx="4">
                    <c:v>business area</c:v>
                  </c:pt>
                  <c:pt idx="5">
                    <c:v>project type</c:v>
                  </c:pt>
                  <c:pt idx="6">
                    <c:v>business area</c:v>
                  </c:pt>
                  <c:pt idx="7">
                    <c:v>project type</c:v>
                  </c:pt>
                  <c:pt idx="8">
                    <c:v>business area</c:v>
                  </c:pt>
                  <c:pt idx="9">
                    <c:v>project type</c:v>
                  </c:pt>
                  <c:pt idx="10">
                    <c:v>business area</c:v>
                  </c:pt>
                  <c:pt idx="11">
                    <c:v>project type</c:v>
                  </c:pt>
                </c:lvl>
                <c:lvl>
                  <c:pt idx="0">
                    <c:v>ACT 2023</c:v>
                  </c:pt>
                  <c:pt idx="2">
                    <c:v>ACT 2024</c:v>
                  </c:pt>
                  <c:pt idx="4">
                    <c:v>BDG 2025</c:v>
                  </c:pt>
                  <c:pt idx="6">
                    <c:v>RR 2025</c:v>
                  </c:pt>
                  <c:pt idx="8">
                    <c:v>ACT 2025</c:v>
                  </c:pt>
                  <c:pt idx="10">
                    <c:v>2025 Q2</c:v>
                  </c:pt>
                </c:lvl>
              </c:multiLvlStrCache>
            </c:multiLvlStrRef>
          </c:cat>
          <c:val>
            <c:numRef>
              <c:f>PP_01!$E$31:$P$31</c:f>
              <c:numCache>
                <c:formatCode>_(* #,##0_);_(* \(#,##0\);_(* "-"_);_(@_)</c:formatCode>
                <c:ptCount val="12"/>
                <c:pt idx="1">
                  <c:v>0</c:v>
                </c:pt>
                <c:pt idx="3">
                  <c:v>0</c:v>
                </c:pt>
                <c:pt idx="5">
                  <c:v>0</c:v>
                </c:pt>
                <c:pt idx="7">
                  <c:v>0</c:v>
                </c:pt>
                <c:pt idx="9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093-4569-A0AA-0632215EDED4}"/>
            </c:ext>
          </c:extLst>
        </c:ser>
        <c:ser>
          <c:idx val="8"/>
          <c:order val="8"/>
          <c:tx>
            <c:strRef>
              <c:f>PP_01!$D$32</c:f>
              <c:strCache>
                <c:ptCount val="1"/>
                <c:pt idx="0">
                  <c:v> A R E 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PP_01!$E$22:$P$23</c:f>
              <c:multiLvlStrCache>
                <c:ptCount val="12"/>
                <c:lvl>
                  <c:pt idx="0">
                    <c:v>business area</c:v>
                  </c:pt>
                  <c:pt idx="1">
                    <c:v>project type</c:v>
                  </c:pt>
                  <c:pt idx="2">
                    <c:v>business area</c:v>
                  </c:pt>
                  <c:pt idx="3">
                    <c:v>project type</c:v>
                  </c:pt>
                  <c:pt idx="4">
                    <c:v>business area</c:v>
                  </c:pt>
                  <c:pt idx="5">
                    <c:v>project type</c:v>
                  </c:pt>
                  <c:pt idx="6">
                    <c:v>business area</c:v>
                  </c:pt>
                  <c:pt idx="7">
                    <c:v>project type</c:v>
                  </c:pt>
                  <c:pt idx="8">
                    <c:v>business area</c:v>
                  </c:pt>
                  <c:pt idx="9">
                    <c:v>project type</c:v>
                  </c:pt>
                  <c:pt idx="10">
                    <c:v>business area</c:v>
                  </c:pt>
                  <c:pt idx="11">
                    <c:v>project type</c:v>
                  </c:pt>
                </c:lvl>
                <c:lvl>
                  <c:pt idx="0">
                    <c:v>ACT 2023</c:v>
                  </c:pt>
                  <c:pt idx="2">
                    <c:v>ACT 2024</c:v>
                  </c:pt>
                  <c:pt idx="4">
                    <c:v>BDG 2025</c:v>
                  </c:pt>
                  <c:pt idx="6">
                    <c:v>RR 2025</c:v>
                  </c:pt>
                  <c:pt idx="8">
                    <c:v>ACT 2025</c:v>
                  </c:pt>
                  <c:pt idx="10">
                    <c:v>2025 Q2</c:v>
                  </c:pt>
                </c:lvl>
              </c:multiLvlStrCache>
            </c:multiLvlStrRef>
          </c:cat>
          <c:val>
            <c:numRef>
              <c:f>PP_01!$E$32:$P$32</c:f>
              <c:numCache>
                <c:formatCode>_(* #,##0_);_(* \(#,##0\);_(* "-"_);_(@_)</c:formatCode>
                <c:ptCount val="12"/>
                <c:pt idx="1">
                  <c:v>0</c:v>
                </c:pt>
                <c:pt idx="3">
                  <c:v>0</c:v>
                </c:pt>
                <c:pt idx="5">
                  <c:v>0</c:v>
                </c:pt>
                <c:pt idx="7">
                  <c:v>0</c:v>
                </c:pt>
                <c:pt idx="9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093-4569-A0AA-0632215EDED4}"/>
            </c:ext>
          </c:extLst>
        </c:ser>
        <c:ser>
          <c:idx val="9"/>
          <c:order val="9"/>
          <c:tx>
            <c:strRef>
              <c:f>PP_01!$D$33</c:f>
              <c:strCache>
                <c:ptCount val="1"/>
                <c:pt idx="0">
                  <c:v> M 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PP_01!$E$22:$P$23</c:f>
              <c:multiLvlStrCache>
                <c:ptCount val="12"/>
                <c:lvl>
                  <c:pt idx="0">
                    <c:v>business area</c:v>
                  </c:pt>
                  <c:pt idx="1">
                    <c:v>project type</c:v>
                  </c:pt>
                  <c:pt idx="2">
                    <c:v>business area</c:v>
                  </c:pt>
                  <c:pt idx="3">
                    <c:v>project type</c:v>
                  </c:pt>
                  <c:pt idx="4">
                    <c:v>business area</c:v>
                  </c:pt>
                  <c:pt idx="5">
                    <c:v>project type</c:v>
                  </c:pt>
                  <c:pt idx="6">
                    <c:v>business area</c:v>
                  </c:pt>
                  <c:pt idx="7">
                    <c:v>project type</c:v>
                  </c:pt>
                  <c:pt idx="8">
                    <c:v>business area</c:v>
                  </c:pt>
                  <c:pt idx="9">
                    <c:v>project type</c:v>
                  </c:pt>
                  <c:pt idx="10">
                    <c:v>business area</c:v>
                  </c:pt>
                  <c:pt idx="11">
                    <c:v>project type</c:v>
                  </c:pt>
                </c:lvl>
                <c:lvl>
                  <c:pt idx="0">
                    <c:v>ACT 2023</c:v>
                  </c:pt>
                  <c:pt idx="2">
                    <c:v>ACT 2024</c:v>
                  </c:pt>
                  <c:pt idx="4">
                    <c:v>BDG 2025</c:v>
                  </c:pt>
                  <c:pt idx="6">
                    <c:v>RR 2025</c:v>
                  </c:pt>
                  <c:pt idx="8">
                    <c:v>ACT 2025</c:v>
                  </c:pt>
                  <c:pt idx="10">
                    <c:v>2025 Q2</c:v>
                  </c:pt>
                </c:lvl>
              </c:multiLvlStrCache>
            </c:multiLvlStrRef>
          </c:cat>
          <c:val>
            <c:numRef>
              <c:f>PP_01!$E$33:$P$33</c:f>
              <c:numCache>
                <c:formatCode>_(* #,##0_);_(* \(#,##0\);_(* "-"_);_(@_)</c:formatCode>
                <c:ptCount val="12"/>
                <c:pt idx="1">
                  <c:v>0</c:v>
                </c:pt>
                <c:pt idx="3">
                  <c:v>0</c:v>
                </c:pt>
                <c:pt idx="5">
                  <c:v>0</c:v>
                </c:pt>
                <c:pt idx="7">
                  <c:v>0</c:v>
                </c:pt>
                <c:pt idx="9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1093-4569-A0AA-0632215EDED4}"/>
            </c:ext>
          </c:extLst>
        </c:ser>
        <c:ser>
          <c:idx val="10"/>
          <c:order val="10"/>
          <c:tx>
            <c:strRef>
              <c:f>PP_01!$D$34</c:f>
              <c:strCache>
                <c:ptCount val="1"/>
                <c:pt idx="0">
                  <c:v> D 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PP_01!$E$22:$P$23</c:f>
              <c:multiLvlStrCache>
                <c:ptCount val="12"/>
                <c:lvl>
                  <c:pt idx="0">
                    <c:v>business area</c:v>
                  </c:pt>
                  <c:pt idx="1">
                    <c:v>project type</c:v>
                  </c:pt>
                  <c:pt idx="2">
                    <c:v>business area</c:v>
                  </c:pt>
                  <c:pt idx="3">
                    <c:v>project type</c:v>
                  </c:pt>
                  <c:pt idx="4">
                    <c:v>business area</c:v>
                  </c:pt>
                  <c:pt idx="5">
                    <c:v>project type</c:v>
                  </c:pt>
                  <c:pt idx="6">
                    <c:v>business area</c:v>
                  </c:pt>
                  <c:pt idx="7">
                    <c:v>project type</c:v>
                  </c:pt>
                  <c:pt idx="8">
                    <c:v>business area</c:v>
                  </c:pt>
                  <c:pt idx="9">
                    <c:v>project type</c:v>
                  </c:pt>
                  <c:pt idx="10">
                    <c:v>business area</c:v>
                  </c:pt>
                  <c:pt idx="11">
                    <c:v>project type</c:v>
                  </c:pt>
                </c:lvl>
                <c:lvl>
                  <c:pt idx="0">
                    <c:v>ACT 2023</c:v>
                  </c:pt>
                  <c:pt idx="2">
                    <c:v>ACT 2024</c:v>
                  </c:pt>
                  <c:pt idx="4">
                    <c:v>BDG 2025</c:v>
                  </c:pt>
                  <c:pt idx="6">
                    <c:v>RR 2025</c:v>
                  </c:pt>
                  <c:pt idx="8">
                    <c:v>ACT 2025</c:v>
                  </c:pt>
                  <c:pt idx="10">
                    <c:v>2025 Q2</c:v>
                  </c:pt>
                </c:lvl>
              </c:multiLvlStrCache>
            </c:multiLvlStrRef>
          </c:cat>
          <c:val>
            <c:numRef>
              <c:f>PP_01!$E$34:$P$34</c:f>
              <c:numCache>
                <c:formatCode>_(* #,##0_);_(* \(#,##0\);_(* "-"_);_(@_)</c:formatCode>
                <c:ptCount val="12"/>
                <c:pt idx="1">
                  <c:v>0</c:v>
                </c:pt>
                <c:pt idx="3">
                  <c:v>0</c:v>
                </c:pt>
                <c:pt idx="5">
                  <c:v>0</c:v>
                </c:pt>
                <c:pt idx="7">
                  <c:v>0</c:v>
                </c:pt>
                <c:pt idx="9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093-4569-A0AA-0632215EDED4}"/>
            </c:ext>
          </c:extLst>
        </c:ser>
        <c:ser>
          <c:idx val="11"/>
          <c:order val="11"/>
          <c:tx>
            <c:strRef>
              <c:f>PP_01!$D$35</c:f>
              <c:strCache>
                <c:ptCount val="1"/>
                <c:pt idx="0">
                  <c:v> K 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PP_01!$E$22:$P$23</c:f>
              <c:multiLvlStrCache>
                <c:ptCount val="12"/>
                <c:lvl>
                  <c:pt idx="0">
                    <c:v>business area</c:v>
                  </c:pt>
                  <c:pt idx="1">
                    <c:v>project type</c:v>
                  </c:pt>
                  <c:pt idx="2">
                    <c:v>business area</c:v>
                  </c:pt>
                  <c:pt idx="3">
                    <c:v>project type</c:v>
                  </c:pt>
                  <c:pt idx="4">
                    <c:v>business area</c:v>
                  </c:pt>
                  <c:pt idx="5">
                    <c:v>project type</c:v>
                  </c:pt>
                  <c:pt idx="6">
                    <c:v>business area</c:v>
                  </c:pt>
                  <c:pt idx="7">
                    <c:v>project type</c:v>
                  </c:pt>
                  <c:pt idx="8">
                    <c:v>business area</c:v>
                  </c:pt>
                  <c:pt idx="9">
                    <c:v>project type</c:v>
                  </c:pt>
                  <c:pt idx="10">
                    <c:v>business area</c:v>
                  </c:pt>
                  <c:pt idx="11">
                    <c:v>project type</c:v>
                  </c:pt>
                </c:lvl>
                <c:lvl>
                  <c:pt idx="0">
                    <c:v>ACT 2023</c:v>
                  </c:pt>
                  <c:pt idx="2">
                    <c:v>ACT 2024</c:v>
                  </c:pt>
                  <c:pt idx="4">
                    <c:v>BDG 2025</c:v>
                  </c:pt>
                  <c:pt idx="6">
                    <c:v>RR 2025</c:v>
                  </c:pt>
                  <c:pt idx="8">
                    <c:v>ACT 2025</c:v>
                  </c:pt>
                  <c:pt idx="10">
                    <c:v>2025 Q2</c:v>
                  </c:pt>
                </c:lvl>
              </c:multiLvlStrCache>
            </c:multiLvlStrRef>
          </c:cat>
          <c:val>
            <c:numRef>
              <c:f>PP_01!$E$35:$P$35</c:f>
              <c:numCache>
                <c:formatCode>_(* #,##0_);_(* \(#,##0\);_(* "-"_);_(@_)</c:formatCode>
                <c:ptCount val="12"/>
                <c:pt idx="1">
                  <c:v>0</c:v>
                </c:pt>
                <c:pt idx="3">
                  <c:v>0</c:v>
                </c:pt>
                <c:pt idx="5">
                  <c:v>0</c:v>
                </c:pt>
                <c:pt idx="7">
                  <c:v>0</c:v>
                </c:pt>
                <c:pt idx="9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1093-4569-A0AA-0632215EDED4}"/>
            </c:ext>
          </c:extLst>
        </c:ser>
        <c:ser>
          <c:idx val="12"/>
          <c:order val="12"/>
          <c:tx>
            <c:strRef>
              <c:f>PP_01!$D$36</c:f>
              <c:strCache>
                <c:ptCount val="1"/>
                <c:pt idx="0">
                  <c:v> U (prod ind) 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PP_01!$E$22:$P$23</c:f>
              <c:multiLvlStrCache>
                <c:ptCount val="12"/>
                <c:lvl>
                  <c:pt idx="0">
                    <c:v>business area</c:v>
                  </c:pt>
                  <c:pt idx="1">
                    <c:v>project type</c:v>
                  </c:pt>
                  <c:pt idx="2">
                    <c:v>business area</c:v>
                  </c:pt>
                  <c:pt idx="3">
                    <c:v>project type</c:v>
                  </c:pt>
                  <c:pt idx="4">
                    <c:v>business area</c:v>
                  </c:pt>
                  <c:pt idx="5">
                    <c:v>project type</c:v>
                  </c:pt>
                  <c:pt idx="6">
                    <c:v>business area</c:v>
                  </c:pt>
                  <c:pt idx="7">
                    <c:v>project type</c:v>
                  </c:pt>
                  <c:pt idx="8">
                    <c:v>business area</c:v>
                  </c:pt>
                  <c:pt idx="9">
                    <c:v>project type</c:v>
                  </c:pt>
                  <c:pt idx="10">
                    <c:v>business area</c:v>
                  </c:pt>
                  <c:pt idx="11">
                    <c:v>project type</c:v>
                  </c:pt>
                </c:lvl>
                <c:lvl>
                  <c:pt idx="0">
                    <c:v>ACT 2023</c:v>
                  </c:pt>
                  <c:pt idx="2">
                    <c:v>ACT 2024</c:v>
                  </c:pt>
                  <c:pt idx="4">
                    <c:v>BDG 2025</c:v>
                  </c:pt>
                  <c:pt idx="6">
                    <c:v>RR 2025</c:v>
                  </c:pt>
                  <c:pt idx="8">
                    <c:v>ACT 2025</c:v>
                  </c:pt>
                  <c:pt idx="10">
                    <c:v>2025 Q2</c:v>
                  </c:pt>
                </c:lvl>
              </c:multiLvlStrCache>
            </c:multiLvlStrRef>
          </c:cat>
          <c:val>
            <c:numRef>
              <c:f>PP_01!$E$36:$P$36</c:f>
              <c:numCache>
                <c:formatCode>_(* #,##0_);_(* \(#,##0\);_(* "-"_);_(@_)</c:formatCode>
                <c:ptCount val="12"/>
                <c:pt idx="1">
                  <c:v>0</c:v>
                </c:pt>
                <c:pt idx="3">
                  <c:v>0</c:v>
                </c:pt>
                <c:pt idx="5">
                  <c:v>0</c:v>
                </c:pt>
                <c:pt idx="7">
                  <c:v>0</c:v>
                </c:pt>
                <c:pt idx="9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1093-4569-A0AA-0632215EDED4}"/>
            </c:ext>
          </c:extLst>
        </c:ser>
        <c:ser>
          <c:idx val="13"/>
          <c:order val="13"/>
          <c:tx>
            <c:strRef>
              <c:f>PP_01!$D$37</c:f>
              <c:strCache>
                <c:ptCount val="1"/>
                <c:pt idx="0">
                  <c:v> U (impr) 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PP_01!$E$22:$P$23</c:f>
              <c:multiLvlStrCache>
                <c:ptCount val="12"/>
                <c:lvl>
                  <c:pt idx="0">
                    <c:v>business area</c:v>
                  </c:pt>
                  <c:pt idx="1">
                    <c:v>project type</c:v>
                  </c:pt>
                  <c:pt idx="2">
                    <c:v>business area</c:v>
                  </c:pt>
                  <c:pt idx="3">
                    <c:v>project type</c:v>
                  </c:pt>
                  <c:pt idx="4">
                    <c:v>business area</c:v>
                  </c:pt>
                  <c:pt idx="5">
                    <c:v>project type</c:v>
                  </c:pt>
                  <c:pt idx="6">
                    <c:v>business area</c:v>
                  </c:pt>
                  <c:pt idx="7">
                    <c:v>project type</c:v>
                  </c:pt>
                  <c:pt idx="8">
                    <c:v>business area</c:v>
                  </c:pt>
                  <c:pt idx="9">
                    <c:v>project type</c:v>
                  </c:pt>
                  <c:pt idx="10">
                    <c:v>business area</c:v>
                  </c:pt>
                  <c:pt idx="11">
                    <c:v>project type</c:v>
                  </c:pt>
                </c:lvl>
                <c:lvl>
                  <c:pt idx="0">
                    <c:v>ACT 2023</c:v>
                  </c:pt>
                  <c:pt idx="2">
                    <c:v>ACT 2024</c:v>
                  </c:pt>
                  <c:pt idx="4">
                    <c:v>BDG 2025</c:v>
                  </c:pt>
                  <c:pt idx="6">
                    <c:v>RR 2025</c:v>
                  </c:pt>
                  <c:pt idx="8">
                    <c:v>ACT 2025</c:v>
                  </c:pt>
                  <c:pt idx="10">
                    <c:v>2025 Q2</c:v>
                  </c:pt>
                </c:lvl>
              </c:multiLvlStrCache>
            </c:multiLvlStrRef>
          </c:cat>
          <c:val>
            <c:numRef>
              <c:f>PP_01!$E$37:$P$37</c:f>
              <c:numCache>
                <c:formatCode>_(* #,##0_);_(* \(#,##0\);_(* "-"_);_(@_)</c:formatCode>
                <c:ptCount val="12"/>
                <c:pt idx="1">
                  <c:v>0</c:v>
                </c:pt>
                <c:pt idx="3">
                  <c:v>0</c:v>
                </c:pt>
                <c:pt idx="5">
                  <c:v>0</c:v>
                </c:pt>
                <c:pt idx="7">
                  <c:v>0</c:v>
                </c:pt>
                <c:pt idx="9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1093-4569-A0AA-0632215EDE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391065040"/>
        <c:axId val="391064648"/>
      </c:barChart>
      <c:lineChart>
        <c:grouping val="standard"/>
        <c:varyColors val="0"/>
        <c:ser>
          <c:idx val="5"/>
          <c:order val="5"/>
          <c:tx>
            <c:strRef>
              <c:f>PP_01!$D$29</c:f>
              <c:strCache>
                <c:ptCount val="1"/>
                <c:pt idx="0">
                  <c:v>Totale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multiLvlStrRef>
              <c:f>PP_01!$E$22:$P$23</c:f>
              <c:multiLvlStrCache>
                <c:ptCount val="12"/>
                <c:lvl>
                  <c:pt idx="0">
                    <c:v>business area</c:v>
                  </c:pt>
                  <c:pt idx="1">
                    <c:v>project type</c:v>
                  </c:pt>
                  <c:pt idx="2">
                    <c:v>business area</c:v>
                  </c:pt>
                  <c:pt idx="3">
                    <c:v>project type</c:v>
                  </c:pt>
                  <c:pt idx="4">
                    <c:v>business area</c:v>
                  </c:pt>
                  <c:pt idx="5">
                    <c:v>project type</c:v>
                  </c:pt>
                  <c:pt idx="6">
                    <c:v>business area</c:v>
                  </c:pt>
                  <c:pt idx="7">
                    <c:v>project type</c:v>
                  </c:pt>
                  <c:pt idx="8">
                    <c:v>business area</c:v>
                  </c:pt>
                  <c:pt idx="9">
                    <c:v>project type</c:v>
                  </c:pt>
                  <c:pt idx="10">
                    <c:v>business area</c:v>
                  </c:pt>
                  <c:pt idx="11">
                    <c:v>project type</c:v>
                  </c:pt>
                </c:lvl>
                <c:lvl>
                  <c:pt idx="0">
                    <c:v>ACT 2023</c:v>
                  </c:pt>
                  <c:pt idx="2">
                    <c:v>ACT 2024</c:v>
                  </c:pt>
                  <c:pt idx="4">
                    <c:v>BDG 2025</c:v>
                  </c:pt>
                  <c:pt idx="6">
                    <c:v>RR 2025</c:v>
                  </c:pt>
                  <c:pt idx="8">
                    <c:v>ACT 2025</c:v>
                  </c:pt>
                  <c:pt idx="10">
                    <c:v>2025 Q2</c:v>
                  </c:pt>
                </c:lvl>
              </c:multiLvlStrCache>
            </c:multiLvlStrRef>
          </c:cat>
          <c:val>
            <c:numRef>
              <c:f>PP_01!$E$29:$P$29</c:f>
              <c:numCache>
                <c:formatCode>_(* #,##0_);_(* \(#,##0\);_(* "-"_);_(@_)</c:formatCode>
                <c:ptCount val="12"/>
                <c:pt idx="0">
                  <c:v>0</c:v>
                </c:pt>
                <c:pt idx="2">
                  <c:v>0</c:v>
                </c:pt>
                <c:pt idx="4">
                  <c:v>0</c:v>
                </c:pt>
                <c:pt idx="6">
                  <c:v>0</c:v>
                </c:pt>
                <c:pt idx="8">
                  <c:v>0</c:v>
                </c:pt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093-4569-A0AA-0632215EDED4}"/>
            </c:ext>
          </c:extLst>
        </c:ser>
        <c:ser>
          <c:idx val="15"/>
          <c:order val="14"/>
          <c:tx>
            <c:strRef>
              <c:f>PP_01!$D$39</c:f>
              <c:strCache>
                <c:ptCount val="1"/>
                <c:pt idx="0">
                  <c:v> Totale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multiLvlStrRef>
              <c:f>PP_01!$E$22:$P$23</c:f>
              <c:multiLvlStrCache>
                <c:ptCount val="12"/>
                <c:lvl>
                  <c:pt idx="0">
                    <c:v>business area</c:v>
                  </c:pt>
                  <c:pt idx="1">
                    <c:v>project type</c:v>
                  </c:pt>
                  <c:pt idx="2">
                    <c:v>business area</c:v>
                  </c:pt>
                  <c:pt idx="3">
                    <c:v>project type</c:v>
                  </c:pt>
                  <c:pt idx="4">
                    <c:v>business area</c:v>
                  </c:pt>
                  <c:pt idx="5">
                    <c:v>project type</c:v>
                  </c:pt>
                  <c:pt idx="6">
                    <c:v>business area</c:v>
                  </c:pt>
                  <c:pt idx="7">
                    <c:v>project type</c:v>
                  </c:pt>
                  <c:pt idx="8">
                    <c:v>business area</c:v>
                  </c:pt>
                  <c:pt idx="9">
                    <c:v>project type</c:v>
                  </c:pt>
                  <c:pt idx="10">
                    <c:v>business area</c:v>
                  </c:pt>
                  <c:pt idx="11">
                    <c:v>project type</c:v>
                  </c:pt>
                </c:lvl>
                <c:lvl>
                  <c:pt idx="0">
                    <c:v>ACT 2023</c:v>
                  </c:pt>
                  <c:pt idx="2">
                    <c:v>ACT 2024</c:v>
                  </c:pt>
                  <c:pt idx="4">
                    <c:v>BDG 2025</c:v>
                  </c:pt>
                  <c:pt idx="6">
                    <c:v>RR 2025</c:v>
                  </c:pt>
                  <c:pt idx="8">
                    <c:v>ACT 2025</c:v>
                  </c:pt>
                  <c:pt idx="10">
                    <c:v>2025 Q2</c:v>
                  </c:pt>
                </c:lvl>
              </c:multiLvlStrCache>
            </c:multiLvlStrRef>
          </c:cat>
          <c:val>
            <c:numRef>
              <c:f>PP_01!$E$39:$P$39</c:f>
              <c:numCache>
                <c:formatCode>_(* #,##0_);_(* \(#,##0\);_(* "-"_);_(@_)</c:formatCode>
                <c:ptCount val="12"/>
                <c:pt idx="1">
                  <c:v>0</c:v>
                </c:pt>
                <c:pt idx="3">
                  <c:v>0</c:v>
                </c:pt>
                <c:pt idx="5">
                  <c:v>0</c:v>
                </c:pt>
                <c:pt idx="7">
                  <c:v>0</c:v>
                </c:pt>
                <c:pt idx="9">
                  <c:v>0</c:v>
                </c:pt>
                <c:pt idx="11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1093-4569-A0AA-0632215EDE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1065040"/>
        <c:axId val="391064648"/>
      </c:lineChart>
      <c:catAx>
        <c:axId val="391065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1064648"/>
        <c:crosses val="autoZero"/>
        <c:auto val="1"/>
        <c:lblAlgn val="ctr"/>
        <c:lblOffset val="100"/>
        <c:noMultiLvlLbl val="0"/>
      </c:catAx>
      <c:valAx>
        <c:axId val="39106464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1065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1324636872706982E-2"/>
          <c:y val="4.0110083326962767E-2"/>
          <c:w val="0.90414311971221584"/>
          <c:h val="0.91146079555589532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RunRate!$A$2:$L$2</c:f>
              <c:numCache>
                <c:formatCode>0.00%</c:formatCode>
                <c:ptCount val="12"/>
                <c:pt idx="0">
                  <c:v>0.15</c:v>
                </c:pt>
                <c:pt idx="1">
                  <c:v>0.1</c:v>
                </c:pt>
                <c:pt idx="2">
                  <c:v>0.05</c:v>
                </c:pt>
                <c:pt idx="3">
                  <c:v>0.1</c:v>
                </c:pt>
                <c:pt idx="4">
                  <c:v>0.15</c:v>
                </c:pt>
                <c:pt idx="5">
                  <c:v>0.2</c:v>
                </c:pt>
                <c:pt idx="6">
                  <c:v>0.25</c:v>
                </c:pt>
                <c:pt idx="7">
                  <c:v>0.2</c:v>
                </c:pt>
                <c:pt idx="8">
                  <c:v>0.15</c:v>
                </c:pt>
                <c:pt idx="9">
                  <c:v>0.1</c:v>
                </c:pt>
                <c:pt idx="10">
                  <c:v>0.05</c:v>
                </c:pt>
                <c:pt idx="11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202-4DBD-83C9-DDA411EABB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679840"/>
        <c:axId val="166676480"/>
      </c:lineChart>
      <c:catAx>
        <c:axId val="166679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76480"/>
        <c:crosses val="autoZero"/>
        <c:auto val="1"/>
        <c:lblAlgn val="ctr"/>
        <c:lblOffset val="100"/>
        <c:noMultiLvlLbl val="0"/>
      </c:catAx>
      <c:valAx>
        <c:axId val="166676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79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1624853</xdr:colOff>
      <xdr:row>0</xdr:row>
      <xdr:rowOff>123264</xdr:rowOff>
    </xdr:from>
    <xdr:to>
      <xdr:col>0</xdr:col>
      <xdr:colOff>1943100</xdr:colOff>
      <xdr:row>1</xdr:row>
      <xdr:rowOff>114300</xdr:rowOff>
    </xdr:to>
    <xdr:pic>
      <xdr:nvPicPr>
        <xdr:cNvPr id="2" name="Picture 1" descr="Microsoft, Powerpoint, macOS, BigSur Icon">
          <a:extLst>
            <a:ext uri="{FF2B5EF4-FFF2-40B4-BE49-F238E27FC236}">
              <a16:creationId xmlns:a16="http://schemas.microsoft.com/office/drawing/2014/main" id="{6B7A9E05-B8F7-4BC2-BFE2-F54370A914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24853" y="123264"/>
          <a:ext cx="315209" cy="3231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5443</xdr:colOff>
      <xdr:row>4</xdr:row>
      <xdr:rowOff>38101</xdr:rowOff>
    </xdr:from>
    <xdr:to>
      <xdr:col>8</xdr:col>
      <xdr:colOff>547331</xdr:colOff>
      <xdr:row>7</xdr:row>
      <xdr:rowOff>179614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2EF94E72-2189-C812-DFB0-EBA7303C26E4}"/>
            </a:ext>
          </a:extLst>
        </xdr:cNvPr>
        <xdr:cNvGrpSpPr/>
      </xdr:nvGrpSpPr>
      <xdr:grpSpPr>
        <a:xfrm>
          <a:off x="8768443" y="962026"/>
          <a:ext cx="1151488" cy="741588"/>
          <a:chOff x="1230086" y="4294415"/>
          <a:chExt cx="1151488" cy="713013"/>
        </a:xfrm>
      </xdr:grpSpPr>
      <xdr:sp macro="" textlink="">
        <xdr:nvSpPr>
          <xdr:cNvPr id="4" name="Rectangle 3">
            <a:extLst>
              <a:ext uri="{FF2B5EF4-FFF2-40B4-BE49-F238E27FC236}">
                <a16:creationId xmlns:a16="http://schemas.microsoft.com/office/drawing/2014/main" id="{779F3758-FC90-FB6E-BDC0-425401461C6E}"/>
              </a:ext>
            </a:extLst>
          </xdr:cNvPr>
          <xdr:cNvSpPr/>
        </xdr:nvSpPr>
        <xdr:spPr>
          <a:xfrm>
            <a:off x="1262744" y="4294415"/>
            <a:ext cx="1077686" cy="713013"/>
          </a:xfrm>
          <a:prstGeom prst="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it-IT" sz="1100" kern="1200"/>
              <a:t>
              </a:t>
            </a:r>
          </a:p>
        </xdr:txBody>
      </xdr:sp>
      <xdr:sp macro="" textlink="">
        <xdr:nvSpPr>
          <xdr:cNvPr id="5" name="TextBox 4">
            <a:extLst>
              <a:ext uri="{FF2B5EF4-FFF2-40B4-BE49-F238E27FC236}">
                <a16:creationId xmlns:a16="http://schemas.microsoft.com/office/drawing/2014/main" id="{5CC341FA-E3C4-9953-A60A-C981007A1A73}"/>
              </a:ext>
            </a:extLst>
          </xdr:cNvPr>
          <xdr:cNvSpPr txBox="1"/>
        </xdr:nvSpPr>
        <xdr:spPr>
          <a:xfrm>
            <a:off x="1230086" y="4517571"/>
            <a:ext cx="596317" cy="217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it-IT" sz="800" kern="1200"/>
              <a:t>Content 1</a:t>
            </a:r>
          </a:p>
        </xdr:txBody>
      </xdr:sp>
      <xdr:sp macro="" textlink="">
        <xdr:nvSpPr>
          <xdr:cNvPr id="6" name="TextBox 5">
            <a:extLst>
              <a:ext uri="{FF2B5EF4-FFF2-40B4-BE49-F238E27FC236}">
                <a16:creationId xmlns:a16="http://schemas.microsoft.com/office/drawing/2014/main" id="{2460A70B-F49C-4E04-8DEA-27528896E193}"/>
              </a:ext>
            </a:extLst>
          </xdr:cNvPr>
          <xdr:cNvSpPr txBox="1"/>
        </xdr:nvSpPr>
        <xdr:spPr>
          <a:xfrm>
            <a:off x="1785257" y="4517571"/>
            <a:ext cx="596317" cy="217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it-IT" sz="800" kern="1200"/>
              <a:t>Content 2</a:t>
            </a:r>
          </a:p>
        </xdr:txBody>
      </xdr:sp>
    </xdr:grpSp>
    <xdr:clientData/>
  </xdr:twoCellAnchor>
  <xdr:twoCellAnchor>
    <xdr:from>
      <xdr:col>7</xdr:col>
      <xdr:colOff>576944</xdr:colOff>
      <xdr:row>4</xdr:row>
      <xdr:rowOff>38101</xdr:rowOff>
    </xdr:from>
    <xdr:to>
      <xdr:col>7</xdr:col>
      <xdr:colOff>576944</xdr:colOff>
      <xdr:row>7</xdr:row>
      <xdr:rowOff>179614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A0625142-E4C3-F93B-2C3B-AAF9BD9CF716}"/>
            </a:ext>
          </a:extLst>
        </xdr:cNvPr>
        <xdr:cNvCxnSpPr>
          <a:stCxn id="4" idx="0"/>
          <a:endCxn id="4" idx="2"/>
        </xdr:cNvCxnSpPr>
      </xdr:nvCxnSpPr>
      <xdr:spPr>
        <a:xfrm>
          <a:off x="9339944" y="962026"/>
          <a:ext cx="0" cy="741588"/>
        </a:xfrm>
        <a:prstGeom prst="line">
          <a:avLst/>
        </a:prstGeom>
        <a:ln w="38100"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27219</xdr:colOff>
      <xdr:row>10</xdr:row>
      <xdr:rowOff>43543</xdr:rowOff>
    </xdr:from>
    <xdr:to>
      <xdr:col>8</xdr:col>
      <xdr:colOff>544291</xdr:colOff>
      <xdr:row>14</xdr:row>
      <xdr:rowOff>27214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F9F9AF7C-0A4B-6822-9A27-7404CF0E5234}"/>
            </a:ext>
          </a:extLst>
        </xdr:cNvPr>
        <xdr:cNvGrpSpPr/>
      </xdr:nvGrpSpPr>
      <xdr:grpSpPr>
        <a:xfrm>
          <a:off x="8790219" y="2167618"/>
          <a:ext cx="1126672" cy="783771"/>
          <a:chOff x="1230090" y="5464629"/>
          <a:chExt cx="1126672" cy="745671"/>
        </a:xfrm>
      </xdr:grpSpPr>
      <xdr:sp macro="" textlink="">
        <xdr:nvSpPr>
          <xdr:cNvPr id="9" name="Rectangle 8">
            <a:extLst>
              <a:ext uri="{FF2B5EF4-FFF2-40B4-BE49-F238E27FC236}">
                <a16:creationId xmlns:a16="http://schemas.microsoft.com/office/drawing/2014/main" id="{7F527A74-90BA-458A-B1F8-44B126386B8D}"/>
              </a:ext>
            </a:extLst>
          </xdr:cNvPr>
          <xdr:cNvSpPr/>
        </xdr:nvSpPr>
        <xdr:spPr>
          <a:xfrm rot="16200000">
            <a:off x="1420590" y="5274129"/>
            <a:ext cx="745671" cy="1126672"/>
          </a:xfrm>
          <a:prstGeom prst="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it-IT" sz="1100" kern="1200"/>
              <a:t>
              </a:t>
            </a:r>
          </a:p>
        </xdr:txBody>
      </xdr:sp>
      <xdr:cxnSp macro="">
        <xdr:nvCxnSpPr>
          <xdr:cNvPr id="10" name="Straight Connector 9">
            <a:extLst>
              <a:ext uri="{FF2B5EF4-FFF2-40B4-BE49-F238E27FC236}">
                <a16:creationId xmlns:a16="http://schemas.microsoft.com/office/drawing/2014/main" id="{847FA15F-E5D8-45E4-AC10-C4738F881B14}"/>
              </a:ext>
            </a:extLst>
          </xdr:cNvPr>
          <xdr:cNvCxnSpPr>
            <a:stCxn id="9" idx="2"/>
            <a:endCxn id="9" idx="0"/>
          </xdr:cNvCxnSpPr>
        </xdr:nvCxnSpPr>
        <xdr:spPr>
          <a:xfrm flipH="1">
            <a:off x="1230090" y="5837465"/>
            <a:ext cx="1126672" cy="0"/>
          </a:xfrm>
          <a:prstGeom prst="line">
            <a:avLst/>
          </a:prstGeom>
          <a:ln w="38100">
            <a:solidFill>
              <a:schemeClr val="bg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1" name="TextBox 10">
            <a:extLst>
              <a:ext uri="{FF2B5EF4-FFF2-40B4-BE49-F238E27FC236}">
                <a16:creationId xmlns:a16="http://schemas.microsoft.com/office/drawing/2014/main" id="{33F87CCC-A74E-4C5D-92A0-3B846F62BD21}"/>
              </a:ext>
            </a:extLst>
          </xdr:cNvPr>
          <xdr:cNvSpPr txBox="1"/>
        </xdr:nvSpPr>
        <xdr:spPr>
          <a:xfrm>
            <a:off x="1513114" y="5557156"/>
            <a:ext cx="596317" cy="217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it-IT" sz="800" kern="1200"/>
              <a:t>Content 1</a:t>
            </a:r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DD5BC8B3-946C-45E9-A60C-689F4FF5C554}"/>
              </a:ext>
            </a:extLst>
          </xdr:cNvPr>
          <xdr:cNvSpPr txBox="1"/>
        </xdr:nvSpPr>
        <xdr:spPr>
          <a:xfrm>
            <a:off x="1502228" y="5910942"/>
            <a:ext cx="596317" cy="217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it-IT" sz="800" kern="1200"/>
              <a:t>Content 2</a:t>
            </a: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1041400</xdr:colOff>
      <xdr:row>0</xdr:row>
      <xdr:rowOff>12701</xdr:rowOff>
    </xdr:from>
    <xdr:to>
      <xdr:col>16</xdr:col>
      <xdr:colOff>0</xdr:colOff>
      <xdr:row>19</xdr:row>
      <xdr:rowOff>170891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804A60B-3C35-EF36-6989-D524872A57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</xdr:colOff>
      <xdr:row>0</xdr:row>
      <xdr:rowOff>0</xdr:rowOff>
    </xdr:from>
    <xdr:to>
      <xdr:col>15</xdr:col>
      <xdr:colOff>590550</xdr:colOff>
      <xdr:row>29</xdr:row>
      <xdr:rowOff>190499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F4A0919-89DE-4D5D-A8EE-A6FBF02BC1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Michele Fosco" refreshedDate="46004.026559953702" createdVersion="8" refreshedVersion="8" minRefreshableVersion="3" recordCount="30" xr:uid="{CB458B9C-2737-4B20-917D-2647C9E1155E}">
  <cacheSource type="worksheet">
    <worksheetSource name="tabSuperdettagli"/>
  </cacheSource>
  <cacheFields count="82">
    <cacheField name="da considerare?_" numFmtId="0">
      <sharedItems/>
    </cacheField>
    <cacheField name="Anno_" numFmtId="0">
      <sharedItems containsSemiMixedTypes="0" containsString="0" containsNumber="1" containsInteger="1" minValue="2000" maxValue="2025"/>
    </cacheField>
    <cacheField name="Anno di prima marcatura (=anno di apertura progetto)" numFmtId="0">
      <sharedItems containsSemiMixedTypes="0" containsString="0" containsNumber="1" containsInteger="1" minValue="2000" maxValue="2026" count="3">
        <n v="2023"/>
        <n v="2000" u="1"/>
        <n v="2026" u="1"/>
      </sharedItems>
    </cacheField>
    <cacheField name="WBS_" numFmtId="0">
      <sharedItems count="4">
        <s v="5447634"/>
        <s v="AAAA.0001" u="1"/>
        <s v="5320326" u="1"/>
        <s v="" u="1"/>
      </sharedItems>
    </cacheField>
    <cacheField name="ProjType_" numFmtId="0">
      <sharedItems/>
    </cacheField>
    <cacheField name="U ProjType_" numFmtId="0">
      <sharedItems/>
    </cacheField>
    <cacheField name="ProjType Cluster" numFmtId="0">
      <sharedItems/>
    </cacheField>
    <cacheField name="ProjType Cluster2" numFmtId="0">
      <sharedItems containsNonDate="0" containsString="0" containsBlank="1"/>
    </cacheField>
    <cacheField name="BussinessArea Cluster" numFmtId="0">
      <sharedItems/>
    </cacheField>
    <cacheField name="ORE_" numFmtId="0">
      <sharedItems/>
    </cacheField>
    <cacheField name="gen_" numFmtId="0">
      <sharedItems containsSemiMixedTypes="0" containsString="0" containsNumber="1" containsInteger="1" minValue="0" maxValue="0"/>
    </cacheField>
    <cacheField name="feb_" numFmtId="0">
      <sharedItems containsSemiMixedTypes="0" containsString="0" containsNumber="1" containsInteger="1" minValue="0" maxValue="0"/>
    </cacheField>
    <cacheField name="mar_" numFmtId="0">
      <sharedItems containsString="0" containsBlank="1" containsNumber="1" containsInteger="1" minValue="0" maxValue="0"/>
    </cacheField>
    <cacheField name="apr_" numFmtId="0">
      <sharedItems containsString="0" containsBlank="1" containsNumber="1" containsInteger="1" minValue="0" maxValue="0"/>
    </cacheField>
    <cacheField name="mag_" numFmtId="0">
      <sharedItems containsString="0" containsBlank="1" containsNumber="1" containsInteger="1" minValue="0" maxValue="0"/>
    </cacheField>
    <cacheField name="giu_" numFmtId="0">
      <sharedItems containsString="0" containsBlank="1" containsNumber="1" containsInteger="1" minValue="0" maxValue="0"/>
    </cacheField>
    <cacheField name="lug_" numFmtId="0">
      <sharedItems containsString="0" containsBlank="1" containsNumber="1" containsInteger="1" minValue="0" maxValue="0"/>
    </cacheField>
    <cacheField name="ago_" numFmtId="0">
      <sharedItems containsString="0" containsBlank="1" containsNumber="1" containsInteger="1" minValue="0" maxValue="0"/>
    </cacheField>
    <cacheField name="set_" numFmtId="0">
      <sharedItems containsString="0" containsBlank="1" containsNumber="1" containsInteger="1" minValue="0" maxValue="0"/>
    </cacheField>
    <cacheField name="ott_" numFmtId="0">
      <sharedItems containsString="0" containsBlank="1" containsNumber="1" containsInteger="1" minValue="0" maxValue="0"/>
    </cacheField>
    <cacheField name="nov_" numFmtId="0">
      <sharedItems containsString="0" containsBlank="1" containsNumber="1" containsInteger="1" minValue="0" maxValue="0"/>
    </cacheField>
    <cacheField name="dic_" numFmtId="0">
      <sharedItems containsString="0" containsBlank="1" containsNumber="1" containsInteger="1" minValue="84" maxValue="84"/>
    </cacheField>
    <cacheField name="tipo risorsa_" numFmtId="0">
      <sharedItems/>
    </cacheField>
    <cacheField name="Resp 1°liv_" numFmtId="0">
      <sharedItems/>
    </cacheField>
    <cacheField name="EngUnit area cluster 1_" numFmtId="0">
      <sharedItems/>
    </cacheField>
    <cacheField name="WBS description_" numFmtId="0">
      <sharedItems/>
    </cacheField>
    <cacheField name="WBE description_" numFmtId="0">
      <sharedItems/>
    </cacheField>
    <cacheField name="WBS D description_" numFmtId="0">
      <sharedItems containsBlank="1"/>
    </cacheField>
    <cacheField name="WBS M description_" numFmtId="0">
      <sharedItems/>
    </cacheField>
    <cacheField name="WBE per WBS-K" numFmtId="0">
      <sharedItems/>
    </cacheField>
    <cacheField name="Sender Cost Center" numFmtId="0">
      <sharedItems/>
    </cacheField>
    <cacheField name="Personnel Number" numFmtId="0">
      <sharedItems/>
    </cacheField>
    <cacheField name="Last name First name" numFmtId="0">
      <sharedItems/>
    </cacheField>
    <cacheField name="Project Description" numFmtId="0">
      <sharedItems/>
    </cacheField>
    <cacheField name="WBS Element" numFmtId="0">
      <sharedItems/>
    </cacheField>
    <cacheField name="Network" numFmtId="0">
      <sharedItems/>
    </cacheField>
    <cacheField name="Operation/Activity" numFmtId="0">
      <sharedItems containsSemiMixedTypes="0" containsString="0" containsNumber="1" containsInteger="1" minValue="2025" maxValue="2025"/>
    </cacheField>
    <cacheField name="Acct assgnt text" numFmtId="0">
      <sharedItems/>
    </cacheField>
    <cacheField name="WBS Element - Project Definition (Text)" numFmtId="0">
      <sharedItems/>
    </cacheField>
    <cacheField name="Network descr" numFmtId="0">
      <sharedItems/>
    </cacheField>
    <cacheField name="PROJ CODE" numFmtId="0">
      <sharedItems/>
    </cacheField>
    <cacheField name="INT/EST" numFmtId="0">
      <sharedItems/>
    </cacheField>
    <cacheField name="Raggr. X Struttura" numFmtId="0">
      <sharedItems/>
    </cacheField>
    <cacheField name="MESE" numFmtId="0">
      <sharedItems/>
    </cacheField>
    <cacheField name="Resp 2°liv" numFmtId="0">
      <sharedItems/>
    </cacheField>
    <cacheField name="CDC bdg" numFmtId="0">
      <sharedItems/>
    </cacheField>
    <cacheField name="Resp 1°liv" numFmtId="0">
      <sharedItems/>
    </cacheField>
    <cacheField name="Resp DT" numFmtId="0">
      <sharedItems/>
    </cacheField>
    <cacheField name="TIPO REP" numFmtId="0">
      <sharedItems/>
    </cacheField>
    <cacheField name="Bus Area GDLT" numFmtId="0">
      <sharedItems/>
    </cacheField>
    <cacheField name="Bus Area_2" numFmtId="0">
      <sharedItems/>
    </cacheField>
    <cacheField name="tipo progetto" numFmtId="0">
      <sharedItems/>
    </cacheField>
    <cacheField name="Proj name" numFmtId="0">
      <sharedItems/>
    </cacheField>
    <cacheField name="machine code" numFmtId="0">
      <sharedItems/>
    </cacheField>
    <cacheField name="product area" numFmtId="0">
      <sharedItems containsSemiMixedTypes="0" containsString="0" containsNumber="1" containsInteger="1" minValue="84" maxValue="84"/>
    </cacheField>
    <cacheField name="Resp del Prodotto" numFmtId="0">
      <sharedItems containsSemiMixedTypes="0" containsString="0" containsNumber="1" containsInteger="1" minValue="0" maxValue="0"/>
    </cacheField>
    <cacheField name="Area di bdg" numFmtId="0">
      <sharedItems containsSemiMixedTypes="0" containsString="0" containsNumber="1" containsInteger="1" minValue="0" maxValue="0"/>
    </cacheField>
    <cacheField name="Macchina" numFmtId="0">
      <sharedItems containsSemiMixedTypes="0" containsString="0" containsNumber="1" containsInteger="1" minValue="0" maxValue="0"/>
    </cacheField>
    <cacheField name="Sottotipo" numFmtId="0">
      <sharedItems containsSemiMixedTypes="0" containsString="0" containsNumber="1" containsInteger="1" minValue="0" maxValue="0"/>
    </cacheField>
    <cacheField name="Cluster" numFmtId="0">
      <sharedItems containsSemiMixedTypes="0" containsString="0" containsNumber="1" containsInteger="1" minValue="0" maxValue="0"/>
    </cacheField>
    <cacheField name="Quadrante" numFmtId="0">
      <sharedItems containsSemiMixedTypes="0" containsString="0" containsNumber="1" containsInteger="1" minValue="0" maxValue="0"/>
    </cacheField>
    <cacheField name="01.2025" numFmtId="0">
      <sharedItems containsSemiMixedTypes="0" containsString="0" containsNumber="1" containsInteger="1" minValue="0" maxValue="0"/>
    </cacheField>
    <cacheField name="02.2025" numFmtId="0">
      <sharedItems containsSemiMixedTypes="0" containsString="0" containsNumber="1" containsInteger="1" minValue="0" maxValue="0"/>
    </cacheField>
    <cacheField name="03.2025" numFmtId="0">
      <sharedItems containsSemiMixedTypes="0" containsString="0" containsNumber="1" containsInteger="1" minValue="0" maxValue="0"/>
    </cacheField>
    <cacheField name="04.2025" numFmtId="0">
      <sharedItems containsSemiMixedTypes="0" containsString="0" containsNumber="1" containsInteger="1" minValue="0" maxValue="0"/>
    </cacheField>
    <cacheField name="05.2025" numFmtId="0">
      <sharedItems containsSemiMixedTypes="0" containsString="0" containsNumber="1" containsInteger="1" minValue="0" maxValue="0"/>
    </cacheField>
    <cacheField name="06.2025" numFmtId="0">
      <sharedItems containsSemiMixedTypes="0" containsString="0" containsNumber="1" containsInteger="1" minValue="84" maxValue="84"/>
    </cacheField>
    <cacheField name="07.2025" numFmtId="0">
      <sharedItems/>
    </cacheField>
    <cacheField name="08.2025" numFmtId="0">
      <sharedItems/>
    </cacheField>
    <cacheField name="09.2025" numFmtId="0">
      <sharedItems/>
    </cacheField>
    <cacheField name="10.2025" numFmtId="0">
      <sharedItems/>
    </cacheField>
    <cacheField name="11.2025" numFmtId="0">
      <sharedItems/>
    </cacheField>
    <cacheField name="12.2025" numFmtId="0">
      <sharedItems/>
    </cacheField>
    <cacheField name="Total" numFmtId="0">
      <sharedItems/>
    </cacheField>
    <cacheField name="WBE Status" numFmtId="0">
      <sharedItems/>
    </cacheField>
    <cacheField name="competence date " numFmtId="0">
      <sharedItems/>
    </cacheField>
    <cacheField name="Proj. Type " numFmtId="0">
      <sharedItems containsNonDate="0" containsString="0" containsBlank="1"/>
    </cacheField>
    <cacheField name="WBE Name" numFmtId="0">
      <sharedItems/>
    </cacheField>
    <cacheField name="Engineering Area" numFmtId="0">
      <sharedItems containsNonDate="0" containsString="0" containsBlank="1"/>
    </cacheField>
    <cacheField name="Data Accettazione" numFmtId="0">
      <sharedItems/>
    </cacheField>
    <cacheField name="Data Uscita GD" numFmtId="0">
      <sharedItems containsNonDate="0" containsString="0" containsBlank="1"/>
    </cacheField>
    <cacheField name="REP UT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s v="no"/>
    <n v="2000"/>
    <x v="0"/>
    <x v="0"/>
    <s v="5"/>
    <s v=""/>
    <s v="5"/>
    <m/>
    <s v="Int"/>
    <s v="10"/>
    <n v="0"/>
    <n v="0"/>
    <n v="0"/>
    <n v="0"/>
    <n v="0"/>
    <n v="0"/>
    <n v="0"/>
    <n v="0"/>
    <n v="0"/>
    <n v="0"/>
    <n v="0"/>
    <n v="84"/>
    <s v="CONV NGP PLATFORM ENG"/>
    <s v="Gamberini G."/>
    <e v="#N/A"/>
    <s v="Go"/>
    <s v="234"/>
    <s v=""/>
    <s v=""/>
    <s v="5447634"/>
    <s v="C005RD234"/>
    <s v="SMEI LUCA"/>
    <s v="pippo"/>
    <s v="FATTIBILITA' DEL 2025 TOBACCO"/>
    <s v="Go"/>
    <s v="5447634"/>
    <n v="2025"/>
    <s v="LAYOUT - PROPOSTE E DEFINIZIONE"/>
    <s v="K005.00012"/>
    <s v="Int."/>
    <s v="CONV NGP PLATFORM ENG"/>
    <s v="Est."/>
    <s v="C005RD334"/>
    <s v="Seren E."/>
    <s v="Gamberini G."/>
    <s v="LAY"/>
    <s v="TOB"/>
    <s v="TOB PK"/>
    <s v="K"/>
    <s v="FATTIBILITA' DEL 2025 TOBACCO"/>
    <s v="345"/>
    <s v="CANALI E LAYOUT"/>
    <s v="Seren"/>
    <s v="LAYOUT"/>
    <n v="84"/>
    <n v="0"/>
    <n v="0"/>
    <n v="0"/>
    <n v="0"/>
    <n v="0"/>
    <n v="0"/>
    <n v="0"/>
    <n v="0"/>
    <n v="0"/>
    <n v="0"/>
    <n v="0"/>
    <n v="84"/>
    <s v="10"/>
    <s v="Proposte di layout"/>
    <s v="234"/>
    <s v="Seren E."/>
    <s v="K"/>
    <s v="K005.00012.PAC.999"/>
    <s v="sì"/>
    <s v=""/>
    <s v=""/>
    <m/>
    <s v="OTHERS (1)"/>
    <m/>
    <s v=""/>
    <m/>
    <m/>
  </r>
  <r>
    <s v="no"/>
    <n v="2020"/>
    <x v="0"/>
    <x v="0"/>
    <s v="5"/>
    <s v=""/>
    <s v="5"/>
    <m/>
    <e v="#REF!"/>
    <s v="10"/>
    <n v="0"/>
    <n v="0"/>
    <m/>
    <m/>
    <m/>
    <m/>
    <m/>
    <m/>
    <m/>
    <m/>
    <m/>
    <m/>
    <s v="CONV NGP PLATFORM ENG"/>
    <s v="Gamberini G."/>
    <e v="#N/A"/>
    <s v="Go"/>
    <s v="234"/>
    <m/>
    <s v=""/>
    <s v="5447634"/>
    <s v="C005RD234"/>
    <s v="SMEI LUCA"/>
    <s v="pippo"/>
    <s v="FATTIBILITA' DEL 2025 TOBACCO"/>
    <s v="Go"/>
    <s v="5447634"/>
    <n v="2025"/>
    <s v="LAYOUT - PROPOSTE E DEFINIZIONE"/>
    <s v="K005.00012"/>
    <s v="Int."/>
    <s v="CONV NGP PLATFORM ENG"/>
    <s v="Est."/>
    <s v="C005RD334"/>
    <s v="Seren E."/>
    <s v="Gamberini G."/>
    <s v="LAY"/>
    <s v="TOB"/>
    <s v="TOB PK"/>
    <s v="K"/>
    <s v="FATTIBILITA' DEL 2025 TOBACCO"/>
    <s v="345"/>
    <s v="CANALI E LAYOUT"/>
    <s v="Seren"/>
    <s v="LAYOUT"/>
    <n v="84"/>
    <n v="0"/>
    <n v="0"/>
    <n v="0"/>
    <n v="0"/>
    <n v="0"/>
    <n v="0"/>
    <n v="0"/>
    <n v="0"/>
    <n v="0"/>
    <n v="0"/>
    <n v="0"/>
    <n v="84"/>
    <s v="10"/>
    <s v="Proposte di layout"/>
    <s v="234"/>
    <s v="Seren E."/>
    <s v="K"/>
    <s v="K005.00012.PAC.999"/>
    <s v="sì"/>
    <s v=""/>
    <s v=""/>
    <m/>
    <s v="OTHERS (1)"/>
    <m/>
    <s v=""/>
    <m/>
    <m/>
  </r>
  <r>
    <s v="no"/>
    <n v="2020"/>
    <x v="0"/>
    <x v="0"/>
    <s v="5"/>
    <s v=""/>
    <s v="5"/>
    <m/>
    <e v="#REF!"/>
    <s v="10"/>
    <n v="0"/>
    <n v="0"/>
    <m/>
    <m/>
    <m/>
    <m/>
    <m/>
    <m/>
    <m/>
    <m/>
    <m/>
    <m/>
    <s v="CONV NGP PLATFORM ENG"/>
    <s v="Gamberini G."/>
    <e v="#N/A"/>
    <s v="Go"/>
    <s v="234"/>
    <m/>
    <s v=""/>
    <s v="5447634"/>
    <s v="C005RD234"/>
    <s v="SMEI LUCA"/>
    <s v="pippo"/>
    <s v="FATTIBILITA' DEL 2025 TOBACCO"/>
    <s v="Go"/>
    <s v="5447634"/>
    <n v="2025"/>
    <s v="LAYOUT - PROPOSTE E DEFINIZIONE"/>
    <s v="K005.00012"/>
    <s v="Int."/>
    <s v="CONV NGP PLATFORM ENG"/>
    <s v="Est."/>
    <s v="C005RD334"/>
    <s v="Seren E."/>
    <s v="Gamberini G."/>
    <s v="LAY"/>
    <s v="TOB"/>
    <s v="TOB PK"/>
    <s v="K"/>
    <s v="FATTIBILITA' DEL 2025 TOBACCO"/>
    <s v="345"/>
    <s v="CANALI E LAYOUT"/>
    <s v="Seren"/>
    <s v="LAYOUT"/>
    <n v="84"/>
    <n v="0"/>
    <n v="0"/>
    <n v="0"/>
    <n v="0"/>
    <n v="0"/>
    <n v="0"/>
    <n v="0"/>
    <n v="0"/>
    <n v="0"/>
    <n v="0"/>
    <n v="0"/>
    <n v="84"/>
    <s v="10"/>
    <s v="Proposte di layout"/>
    <s v="234"/>
    <s v="Seren E."/>
    <s v="K"/>
    <s v="K005.00012.PAC.999"/>
    <s v="sì"/>
    <s v=""/>
    <s v=""/>
    <m/>
    <s v="OTHERS (1)"/>
    <m/>
    <s v=""/>
    <m/>
    <m/>
  </r>
  <r>
    <s v="no"/>
    <n v="2021"/>
    <x v="0"/>
    <x v="0"/>
    <s v="5"/>
    <s v=""/>
    <s v="5"/>
    <m/>
    <e v="#REF!"/>
    <s v="10"/>
    <n v="0"/>
    <n v="0"/>
    <m/>
    <m/>
    <m/>
    <m/>
    <m/>
    <m/>
    <m/>
    <m/>
    <m/>
    <m/>
    <s v="CONV NGP PLATFORM ENG"/>
    <s v="Gamberini G."/>
    <e v="#N/A"/>
    <s v="Go"/>
    <s v="234"/>
    <m/>
    <s v=""/>
    <s v="5447634"/>
    <s v="C005RD234"/>
    <s v="SMEI LUCA"/>
    <s v="pippo"/>
    <s v="FATTIBILITA' DEL 2025 TOBACCO"/>
    <s v="Go"/>
    <s v="5447634"/>
    <n v="2025"/>
    <s v="LAYOUT - PROPOSTE E DEFINIZIONE"/>
    <s v="K005.00012"/>
    <s v="Int."/>
    <s v="CONV NGP PLATFORM ENG"/>
    <s v="Est."/>
    <s v="C005RD334"/>
    <s v="Seren E."/>
    <s v="Gamberini G."/>
    <s v="LAY"/>
    <s v="TOB"/>
    <s v="TOB PK"/>
    <s v="K"/>
    <s v="FATTIBILITA' DEL 2025 TOBACCO"/>
    <s v="345"/>
    <s v="CANALI E LAYOUT"/>
    <s v="Seren"/>
    <s v="LAYOUT"/>
    <n v="84"/>
    <n v="0"/>
    <n v="0"/>
    <n v="0"/>
    <n v="0"/>
    <n v="0"/>
    <n v="0"/>
    <n v="0"/>
    <n v="0"/>
    <n v="0"/>
    <n v="0"/>
    <n v="0"/>
    <n v="84"/>
    <s v="10"/>
    <s v="Proposte di layout"/>
    <s v="234"/>
    <s v="Seren E."/>
    <s v="K"/>
    <s v="K005.00012.PAC.999"/>
    <s v="sì"/>
    <s v=""/>
    <s v=""/>
    <m/>
    <s v="OTHERS (1)"/>
    <m/>
    <s v=""/>
    <m/>
    <m/>
  </r>
  <r>
    <s v="no"/>
    <n v="2021"/>
    <x v="0"/>
    <x v="0"/>
    <s v="5"/>
    <s v=""/>
    <s v="5"/>
    <m/>
    <e v="#REF!"/>
    <s v="10"/>
    <n v="0"/>
    <n v="0"/>
    <m/>
    <m/>
    <m/>
    <m/>
    <m/>
    <m/>
    <m/>
    <m/>
    <m/>
    <m/>
    <s v="CONV NGP PLATFORM ENG"/>
    <s v="Gamberini G."/>
    <e v="#N/A"/>
    <s v="Go"/>
    <s v="234"/>
    <m/>
    <s v=""/>
    <s v="5447634"/>
    <s v="C005RD234"/>
    <s v="SMEI LUCA"/>
    <s v="pippo"/>
    <s v="FATTIBILITA' DEL 2025 TOBACCO"/>
    <s v="Go"/>
    <s v="5447634"/>
    <n v="2025"/>
    <s v="LAYOUT - PROPOSTE E DEFINIZIONE"/>
    <s v="K005.00012"/>
    <s v="Int."/>
    <s v="CONV NGP PLATFORM ENG"/>
    <s v="Est."/>
    <s v="C005RD334"/>
    <s v="Seren E."/>
    <s v="Gamberini G."/>
    <s v="LAY"/>
    <s v="TOB"/>
    <s v="TOB PK"/>
    <s v="K"/>
    <s v="FATTIBILITA' DEL 2025 TOBACCO"/>
    <s v="345"/>
    <s v="CANALI E LAYOUT"/>
    <s v="Seren"/>
    <s v="LAYOUT"/>
    <n v="84"/>
    <n v="0"/>
    <n v="0"/>
    <n v="0"/>
    <n v="0"/>
    <n v="0"/>
    <n v="0"/>
    <n v="0"/>
    <n v="0"/>
    <n v="0"/>
    <n v="0"/>
    <n v="0"/>
    <n v="84"/>
    <s v="10"/>
    <s v="Proposte di layout"/>
    <s v="234"/>
    <s v="Seren E."/>
    <s v="K"/>
    <s v="K005.00012.PAC.999"/>
    <s v="sì"/>
    <s v=""/>
    <s v=""/>
    <m/>
    <s v="OTHERS (1)"/>
    <m/>
    <s v=""/>
    <m/>
    <m/>
  </r>
  <r>
    <s v="no"/>
    <n v="2021"/>
    <x v="0"/>
    <x v="0"/>
    <s v="5"/>
    <s v=""/>
    <s v="5"/>
    <m/>
    <e v="#REF!"/>
    <s v="10"/>
    <n v="0"/>
    <n v="0"/>
    <m/>
    <m/>
    <m/>
    <m/>
    <m/>
    <m/>
    <m/>
    <m/>
    <m/>
    <m/>
    <s v="CONV NGP PLATFORM ENG"/>
    <s v="Gamberini G."/>
    <e v="#N/A"/>
    <s v="Go"/>
    <s v="234"/>
    <m/>
    <s v=""/>
    <s v="5447634"/>
    <s v="C005RD234"/>
    <s v="SMEI LUCA"/>
    <s v="pippo"/>
    <s v="FATTIBILITA' DEL 2025 TOBACCO"/>
    <s v="Go"/>
    <s v="5447634"/>
    <n v="2025"/>
    <s v="LAYOUT - PROPOSTE E DEFINIZIONE"/>
    <s v="K005.00012"/>
    <s v="Int."/>
    <s v="CONV NGP PLATFORM ENG"/>
    <s v="Est."/>
    <s v="C005RD334"/>
    <s v="Seren E."/>
    <s v="Gamberini G."/>
    <s v="LAY"/>
    <s v="TOB"/>
    <s v="TOB PK"/>
    <s v="K"/>
    <s v="FATTIBILITA' DEL 2025 TOBACCO"/>
    <s v="345"/>
    <s v="CANALI E LAYOUT"/>
    <s v="Seren"/>
    <s v="LAYOUT"/>
    <n v="84"/>
    <n v="0"/>
    <n v="0"/>
    <n v="0"/>
    <n v="0"/>
    <n v="0"/>
    <n v="0"/>
    <n v="0"/>
    <n v="0"/>
    <n v="0"/>
    <n v="0"/>
    <n v="0"/>
    <n v="84"/>
    <s v="10"/>
    <s v="Proposte di layout"/>
    <s v="234"/>
    <s v="Seren E."/>
    <s v="K"/>
    <s v="K005.00012.PAC.999"/>
    <s v="sì"/>
    <s v=""/>
    <s v=""/>
    <m/>
    <s v="OTHERS (1)"/>
    <m/>
    <s v=""/>
    <m/>
    <m/>
  </r>
  <r>
    <s v="no"/>
    <n v="2022"/>
    <x v="0"/>
    <x v="0"/>
    <s v="5"/>
    <s v=""/>
    <s v="5"/>
    <m/>
    <e v="#REF!"/>
    <s v="10"/>
    <n v="0"/>
    <n v="0"/>
    <m/>
    <m/>
    <m/>
    <m/>
    <m/>
    <m/>
    <m/>
    <m/>
    <m/>
    <m/>
    <s v="CONV NGP PLATFORM ENG"/>
    <s v="Gamberini G."/>
    <e v="#N/A"/>
    <s v="Go"/>
    <s v="234"/>
    <m/>
    <s v=""/>
    <s v="5447634"/>
    <s v="C005RD234"/>
    <s v="SMEI LUCA"/>
    <s v="pippo"/>
    <s v="FATTIBILITA' DEL 2025 TOBACCO"/>
    <s v="Go"/>
    <s v="5447634"/>
    <n v="2025"/>
    <s v="LAYOUT - PROPOSTE E DEFINIZIONE"/>
    <s v="K005.00012"/>
    <s v="Int."/>
    <s v="CONV NGP PLATFORM ENG"/>
    <s v="Est."/>
    <s v="C005RD334"/>
    <s v="Seren E."/>
    <s v="Gamberini G."/>
    <s v="LAY"/>
    <s v="TOB"/>
    <s v="TOB PK"/>
    <s v="K"/>
    <s v="FATTIBILITA' DEL 2025 TOBACCO"/>
    <s v="345"/>
    <s v="CANALI E LAYOUT"/>
    <s v="Seren"/>
    <s v="LAYOUT"/>
    <n v="84"/>
    <n v="0"/>
    <n v="0"/>
    <n v="0"/>
    <n v="0"/>
    <n v="0"/>
    <n v="0"/>
    <n v="0"/>
    <n v="0"/>
    <n v="0"/>
    <n v="0"/>
    <n v="0"/>
    <n v="84"/>
    <s v="10"/>
    <s v="Proposte di layout"/>
    <s v="234"/>
    <s v="Seren E."/>
    <s v="K"/>
    <s v="K005.00012.PAC.999"/>
    <s v="sì"/>
    <s v=""/>
    <s v=""/>
    <m/>
    <s v="OTHERS (1)"/>
    <m/>
    <s v=""/>
    <m/>
    <m/>
  </r>
  <r>
    <s v="no"/>
    <n v="2022"/>
    <x v="0"/>
    <x v="0"/>
    <s v="5"/>
    <s v=""/>
    <s v="5"/>
    <m/>
    <e v="#REF!"/>
    <s v="10"/>
    <n v="0"/>
    <n v="0"/>
    <m/>
    <m/>
    <m/>
    <m/>
    <m/>
    <m/>
    <m/>
    <m/>
    <m/>
    <m/>
    <s v="CONV NGP PLATFORM ENG"/>
    <s v="Gamberini G."/>
    <e v="#N/A"/>
    <s v="Go"/>
    <s v="234"/>
    <m/>
    <s v=""/>
    <s v="5447634"/>
    <s v="C005RD234"/>
    <s v="SMEI LUCA"/>
    <s v="pippo"/>
    <s v="FATTIBILITA' DEL 2025 TOBACCO"/>
    <s v="Go"/>
    <s v="5447634"/>
    <n v="2025"/>
    <s v="LAYOUT - PROPOSTE E DEFINIZIONE"/>
    <s v="K005.00012"/>
    <s v="Int."/>
    <s v="CONV NGP PLATFORM ENG"/>
    <s v="Est."/>
    <s v="C005RD334"/>
    <s v="Seren E."/>
    <s v="Gamberini G."/>
    <s v="LAY"/>
    <s v="TOB"/>
    <s v="TOB PK"/>
    <s v="K"/>
    <s v="FATTIBILITA' DEL 2025 TOBACCO"/>
    <s v="345"/>
    <s v="CANALI E LAYOUT"/>
    <s v="Seren"/>
    <s v="LAYOUT"/>
    <n v="84"/>
    <n v="0"/>
    <n v="0"/>
    <n v="0"/>
    <n v="0"/>
    <n v="0"/>
    <n v="0"/>
    <n v="0"/>
    <n v="0"/>
    <n v="0"/>
    <n v="0"/>
    <n v="0"/>
    <n v="84"/>
    <s v="10"/>
    <s v="Proposte di layout"/>
    <s v="234"/>
    <s v="Seren E."/>
    <s v="K"/>
    <s v="K005.00012.PAC.999"/>
    <s v="sì"/>
    <s v=""/>
    <s v=""/>
    <m/>
    <s v="OTHERS (1)"/>
    <m/>
    <s v=""/>
    <m/>
    <m/>
  </r>
  <r>
    <s v="no"/>
    <n v="2022"/>
    <x v="0"/>
    <x v="0"/>
    <s v="5"/>
    <s v=""/>
    <s v="5"/>
    <m/>
    <e v="#REF!"/>
    <s v="10"/>
    <n v="0"/>
    <n v="0"/>
    <m/>
    <m/>
    <m/>
    <m/>
    <m/>
    <m/>
    <m/>
    <m/>
    <m/>
    <m/>
    <s v="CONV NGP PLATFORM ENG"/>
    <s v="Gamberini G."/>
    <e v="#N/A"/>
    <s v="Go"/>
    <s v="234"/>
    <m/>
    <s v=""/>
    <s v="5447634"/>
    <s v="C005RD234"/>
    <s v="SMEI LUCA"/>
    <s v="pippo"/>
    <s v="FATTIBILITA' DEL 2025 TOBACCO"/>
    <s v="Go"/>
    <s v="5447634"/>
    <n v="2025"/>
    <s v="LAYOUT - PROPOSTE E DEFINIZIONE"/>
    <s v="K005.00012"/>
    <s v="Int."/>
    <s v="CONV NGP PLATFORM ENG"/>
    <s v="Est."/>
    <s v="C005RD334"/>
    <s v="Seren E."/>
    <s v="Gamberini G."/>
    <s v="LAY"/>
    <s v="TOB"/>
    <s v="TOB PK"/>
    <s v="K"/>
    <s v="FATTIBILITA' DEL 2025 TOBACCO"/>
    <s v="345"/>
    <s v="CANALI E LAYOUT"/>
    <s v="Seren"/>
    <s v="LAYOUT"/>
    <n v="84"/>
    <n v="0"/>
    <n v="0"/>
    <n v="0"/>
    <n v="0"/>
    <n v="0"/>
    <n v="0"/>
    <n v="0"/>
    <n v="0"/>
    <n v="0"/>
    <n v="0"/>
    <n v="0"/>
    <n v="84"/>
    <s v="10"/>
    <s v="Proposte di layout"/>
    <s v="234"/>
    <s v="Seren E."/>
    <s v="K"/>
    <s v="K005.00012.PAC.999"/>
    <s v="sì"/>
    <s v=""/>
    <s v=""/>
    <m/>
    <s v="OTHERS (1)"/>
    <m/>
    <s v=""/>
    <m/>
    <m/>
  </r>
  <r>
    <s v="no"/>
    <n v="2022"/>
    <x v="0"/>
    <x v="0"/>
    <s v="5"/>
    <s v=""/>
    <s v="5"/>
    <m/>
    <e v="#REF!"/>
    <s v="10"/>
    <n v="0"/>
    <n v="0"/>
    <m/>
    <m/>
    <m/>
    <m/>
    <m/>
    <m/>
    <m/>
    <m/>
    <m/>
    <m/>
    <s v="CONV NGP PLATFORM ENG"/>
    <s v="Gamberini G."/>
    <e v="#N/A"/>
    <s v="Go"/>
    <s v="234"/>
    <m/>
    <s v=""/>
    <s v="5447634"/>
    <s v="C005RD234"/>
    <s v="SMEI LUCA"/>
    <s v="pippo"/>
    <s v="FATTIBILITA' DEL 2025 TOBACCO"/>
    <s v="Go"/>
    <s v="5447634"/>
    <n v="2025"/>
    <s v="LAYOUT - PROPOSTE E DEFINIZIONE"/>
    <s v="K005.00012"/>
    <s v="Int."/>
    <s v="CONV NGP PLATFORM ENG"/>
    <s v="Est."/>
    <s v="C005RD334"/>
    <s v="Seren E."/>
    <s v="Gamberini G."/>
    <s v="LAY"/>
    <s v="TOB"/>
    <s v="TOB PK"/>
    <s v="K"/>
    <s v="FATTIBILITA' DEL 2025 TOBACCO"/>
    <s v="345"/>
    <s v="CANALI E LAYOUT"/>
    <s v="Seren"/>
    <s v="LAYOUT"/>
    <n v="84"/>
    <n v="0"/>
    <n v="0"/>
    <n v="0"/>
    <n v="0"/>
    <n v="0"/>
    <n v="0"/>
    <n v="0"/>
    <n v="0"/>
    <n v="0"/>
    <n v="0"/>
    <n v="0"/>
    <n v="84"/>
    <s v="10"/>
    <s v="Proposte di layout"/>
    <s v="234"/>
    <s v="Seren E."/>
    <s v="K"/>
    <s v="K005.00012.PAC.999"/>
    <s v="sì"/>
    <s v=""/>
    <s v=""/>
    <m/>
    <s v="OTHERS (1)"/>
    <m/>
    <s v=""/>
    <m/>
    <m/>
  </r>
  <r>
    <s v="no"/>
    <n v="2022"/>
    <x v="0"/>
    <x v="0"/>
    <s v="5"/>
    <s v=""/>
    <s v="5"/>
    <m/>
    <e v="#REF!"/>
    <s v="10"/>
    <n v="0"/>
    <n v="0"/>
    <m/>
    <m/>
    <m/>
    <m/>
    <m/>
    <m/>
    <m/>
    <m/>
    <m/>
    <m/>
    <s v="CONV NGP PLATFORM ENG"/>
    <s v="Gamberini G."/>
    <e v="#N/A"/>
    <s v="Go"/>
    <s v="234"/>
    <m/>
    <s v=""/>
    <s v="5447634"/>
    <s v="C005RD234"/>
    <s v="SMEI LUCA"/>
    <s v="pippo"/>
    <s v="FATTIBILITA' DEL 2025 TOBACCO"/>
    <s v="Go"/>
    <s v="5447634"/>
    <n v="2025"/>
    <s v="LAYOUT - PROPOSTE E DEFINIZIONE"/>
    <s v="K005.00012"/>
    <s v="Int."/>
    <s v="CONV NGP PLATFORM ENG"/>
    <s v="Est."/>
    <s v="C005RD334"/>
    <s v="Seren E."/>
    <s v="Gamberini G."/>
    <s v="LAY"/>
    <s v="TOB"/>
    <s v="TOB PK"/>
    <s v="K"/>
    <s v="FATTIBILITA' DEL 2025 TOBACCO"/>
    <s v="345"/>
    <s v="CANALI E LAYOUT"/>
    <s v="Seren"/>
    <s v="LAYOUT"/>
    <n v="84"/>
    <n v="0"/>
    <n v="0"/>
    <n v="0"/>
    <n v="0"/>
    <n v="0"/>
    <n v="0"/>
    <n v="0"/>
    <n v="0"/>
    <n v="0"/>
    <n v="0"/>
    <n v="0"/>
    <n v="84"/>
    <s v="10"/>
    <s v="Proposte di layout"/>
    <s v="234"/>
    <s v="Seren E."/>
    <s v="K"/>
    <s v="K005.00012.PAC.999"/>
    <s v="sì"/>
    <s v=""/>
    <s v=""/>
    <m/>
    <s v="OTHERS (1)"/>
    <m/>
    <s v=""/>
    <m/>
    <m/>
  </r>
  <r>
    <s v="no"/>
    <n v="2022"/>
    <x v="0"/>
    <x v="0"/>
    <s v="5"/>
    <s v=""/>
    <s v="5"/>
    <m/>
    <e v="#REF!"/>
    <s v="10"/>
    <n v="0"/>
    <n v="0"/>
    <m/>
    <m/>
    <m/>
    <m/>
    <m/>
    <m/>
    <m/>
    <m/>
    <m/>
    <m/>
    <s v="CONV NGP PLATFORM ENG"/>
    <s v="Gamberini G."/>
    <e v="#N/A"/>
    <s v="Go"/>
    <s v="234"/>
    <m/>
    <s v=""/>
    <s v="5447634"/>
    <s v="C005RD234"/>
    <s v="SMEI LUCA"/>
    <s v="pippo"/>
    <s v="FATTIBILITA' DEL 2025 TOBACCO"/>
    <s v="Go"/>
    <s v="5447634"/>
    <n v="2025"/>
    <s v="LAYOUT - PROPOSTE E DEFINIZIONE"/>
    <s v="K005.00012"/>
    <s v="Int."/>
    <s v="CONV NGP PLATFORM ENG"/>
    <s v="Est."/>
    <s v="C005RD334"/>
    <s v="Seren E."/>
    <s v="Gamberini G."/>
    <s v="LAY"/>
    <s v="TOB"/>
    <s v="TOB PK"/>
    <s v="K"/>
    <s v="FATTIBILITA' DEL 2025 TOBACCO"/>
    <s v="345"/>
    <s v="CANALI E LAYOUT"/>
    <s v="Seren"/>
    <s v="LAYOUT"/>
    <n v="84"/>
    <n v="0"/>
    <n v="0"/>
    <n v="0"/>
    <n v="0"/>
    <n v="0"/>
    <n v="0"/>
    <n v="0"/>
    <n v="0"/>
    <n v="0"/>
    <n v="0"/>
    <n v="0"/>
    <n v="84"/>
    <s v="10"/>
    <s v="Proposte di layout"/>
    <s v="234"/>
    <s v="Seren E."/>
    <s v="K"/>
    <s v="K005.00012.PAC.999"/>
    <s v="sì"/>
    <s v=""/>
    <s v=""/>
    <m/>
    <s v="OTHERS (1)"/>
    <m/>
    <s v=""/>
    <m/>
    <m/>
  </r>
  <r>
    <s v="no"/>
    <n v="2023"/>
    <x v="0"/>
    <x v="0"/>
    <s v="5"/>
    <s v=""/>
    <s v="5"/>
    <m/>
    <e v="#REF!"/>
    <s v="10"/>
    <n v="0"/>
    <n v="0"/>
    <m/>
    <m/>
    <m/>
    <m/>
    <m/>
    <m/>
    <m/>
    <m/>
    <m/>
    <m/>
    <s v="CONV NGP PLATFORM ENG"/>
    <s v="Gamberini G."/>
    <e v="#N/A"/>
    <s v="Go"/>
    <s v="234"/>
    <m/>
    <s v=""/>
    <s v="5447634"/>
    <s v="C005RD234"/>
    <s v="SMEI LUCA"/>
    <s v="pippo"/>
    <s v="FATTIBILITA' DEL 2025 TOBACCO"/>
    <s v="Go"/>
    <s v="5447634"/>
    <n v="2025"/>
    <s v="LAYOUT - PROPOSTE E DEFINIZIONE"/>
    <s v="K005.00012"/>
    <s v="Int."/>
    <s v="CONV NGP PLATFORM ENG"/>
    <s v="Est."/>
    <s v="C005RD334"/>
    <s v="Seren E."/>
    <s v="Gamberini G."/>
    <s v="LAY"/>
    <s v="TOB"/>
    <s v="TOB PK"/>
    <s v="K"/>
    <s v="FATTIBILITA' DEL 2025 TOBACCO"/>
    <s v="345"/>
    <s v="CANALI E LAYOUT"/>
    <s v="Seren"/>
    <s v="LAYOUT"/>
    <n v="84"/>
    <n v="0"/>
    <n v="0"/>
    <n v="0"/>
    <n v="0"/>
    <n v="0"/>
    <n v="0"/>
    <n v="0"/>
    <n v="0"/>
    <n v="0"/>
    <n v="0"/>
    <n v="0"/>
    <n v="84"/>
    <s v="10"/>
    <s v="Proposte di layout"/>
    <s v="234"/>
    <s v="Seren E."/>
    <s v="K"/>
    <s v="K005.00012.PAC.999"/>
    <s v="sì"/>
    <s v=""/>
    <s v=""/>
    <m/>
    <s v="OTHERS (1)"/>
    <m/>
    <s v=""/>
    <m/>
    <m/>
  </r>
  <r>
    <s v="no"/>
    <n v="2023"/>
    <x v="0"/>
    <x v="0"/>
    <s v="5"/>
    <s v=""/>
    <s v="5"/>
    <m/>
    <e v="#REF!"/>
    <s v="10"/>
    <n v="0"/>
    <n v="0"/>
    <m/>
    <m/>
    <m/>
    <m/>
    <m/>
    <m/>
    <m/>
    <m/>
    <m/>
    <m/>
    <s v="CONV NGP PLATFORM ENG"/>
    <s v="Gamberini G."/>
    <e v="#N/A"/>
    <s v="Go"/>
    <s v="234"/>
    <m/>
    <s v=""/>
    <s v="5447634"/>
    <s v="C005RD234"/>
    <s v="SMEI LUCA"/>
    <s v="pippo"/>
    <s v="FATTIBILITA' DEL 2025 TOBACCO"/>
    <s v="Go"/>
    <s v="5447634"/>
    <n v="2025"/>
    <s v="LAYOUT - PROPOSTE E DEFINIZIONE"/>
    <s v="K005.00012"/>
    <s v="Int."/>
    <s v="CONV NGP PLATFORM ENG"/>
    <s v="Est."/>
    <s v="C005RD334"/>
    <s v="Seren E."/>
    <s v="Gamberini G."/>
    <s v="LAY"/>
    <s v="TOB"/>
    <s v="TOB PK"/>
    <s v="K"/>
    <s v="FATTIBILITA' DEL 2025 TOBACCO"/>
    <s v="345"/>
    <s v="CANALI E LAYOUT"/>
    <s v="Seren"/>
    <s v="LAYOUT"/>
    <n v="84"/>
    <n v="0"/>
    <n v="0"/>
    <n v="0"/>
    <n v="0"/>
    <n v="0"/>
    <n v="0"/>
    <n v="0"/>
    <n v="0"/>
    <n v="0"/>
    <n v="0"/>
    <n v="0"/>
    <n v="84"/>
    <s v="10"/>
    <s v="Proposte di layout"/>
    <s v="234"/>
    <s v="Seren E."/>
    <s v="K"/>
    <s v="K005.00012.PAC.999"/>
    <s v="sì"/>
    <s v=""/>
    <s v=""/>
    <m/>
    <s v="OTHERS (1)"/>
    <m/>
    <s v=""/>
    <m/>
    <m/>
  </r>
  <r>
    <s v="no"/>
    <n v="2023"/>
    <x v="0"/>
    <x v="0"/>
    <s v="5"/>
    <s v=""/>
    <s v="5"/>
    <m/>
    <e v="#REF!"/>
    <s v="10"/>
    <n v="0"/>
    <n v="0"/>
    <m/>
    <m/>
    <m/>
    <m/>
    <m/>
    <m/>
    <m/>
    <m/>
    <m/>
    <m/>
    <s v="CONV NGP PLATFORM ENG"/>
    <s v="Gamberini G."/>
    <e v="#N/A"/>
    <s v="Go"/>
    <s v="234"/>
    <m/>
    <s v=""/>
    <s v="5447634"/>
    <s v="C005RD234"/>
    <s v="SMEI LUCA"/>
    <s v="pippo"/>
    <s v="FATTIBILITA' DEL 2025 TOBACCO"/>
    <s v="Go"/>
    <s v="5447634"/>
    <n v="2025"/>
    <s v="LAYOUT - PROPOSTE E DEFINIZIONE"/>
    <s v="K005.00012"/>
    <s v="Int."/>
    <s v="CONV NGP PLATFORM ENG"/>
    <s v="Est."/>
    <s v="C005RD334"/>
    <s v="Seren E."/>
    <s v="Gamberini G."/>
    <s v="LAY"/>
    <s v="TOB"/>
    <s v="TOB PK"/>
    <s v="K"/>
    <s v="FATTIBILITA' DEL 2025 TOBACCO"/>
    <s v="345"/>
    <s v="CANALI E LAYOUT"/>
    <s v="Seren"/>
    <s v="LAYOUT"/>
    <n v="84"/>
    <n v="0"/>
    <n v="0"/>
    <n v="0"/>
    <n v="0"/>
    <n v="0"/>
    <n v="0"/>
    <n v="0"/>
    <n v="0"/>
    <n v="0"/>
    <n v="0"/>
    <n v="0"/>
    <n v="84"/>
    <s v="10"/>
    <s v="Proposte di layout"/>
    <s v="234"/>
    <s v="Seren E."/>
    <s v="K"/>
    <s v="K005.00012.PAC.999"/>
    <s v="sì"/>
    <s v=""/>
    <s v=""/>
    <m/>
    <s v="OTHERS (1)"/>
    <m/>
    <s v=""/>
    <m/>
    <m/>
  </r>
  <r>
    <s v="no"/>
    <n v="2024"/>
    <x v="0"/>
    <x v="0"/>
    <s v="5"/>
    <s v=""/>
    <s v="5"/>
    <m/>
    <e v="#REF!"/>
    <s v="10"/>
    <n v="0"/>
    <n v="0"/>
    <m/>
    <m/>
    <m/>
    <m/>
    <m/>
    <m/>
    <m/>
    <m/>
    <m/>
    <m/>
    <s v="CONV NGP PLATFORM ENG"/>
    <s v="Gamberini G."/>
    <e v="#N/A"/>
    <s v="Go"/>
    <s v="234"/>
    <m/>
    <s v=""/>
    <s v="5447634"/>
    <s v="C005RD234"/>
    <s v="SMEI LUCA"/>
    <s v="pippo"/>
    <s v="FATTIBILITA' DEL 2025 TOBACCO"/>
    <s v="Go"/>
    <s v="5447634"/>
    <n v="2025"/>
    <s v="LAYOUT - PROPOSTE E DEFINIZIONE"/>
    <s v="K005.00012"/>
    <s v="Int."/>
    <s v="CONV NGP PLATFORM ENG"/>
    <s v="Est."/>
    <s v="C005RD334"/>
    <s v="Seren E."/>
    <s v="Gamberini G."/>
    <s v="LAY"/>
    <s v="TOB"/>
    <s v="TOB PK"/>
    <s v="K"/>
    <s v="FATTIBILITA' DEL 2025 TOBACCO"/>
    <s v="345"/>
    <s v="CANALI E LAYOUT"/>
    <s v="Seren"/>
    <s v="LAYOUT"/>
    <n v="84"/>
    <n v="0"/>
    <n v="0"/>
    <n v="0"/>
    <n v="0"/>
    <n v="0"/>
    <n v="0"/>
    <n v="0"/>
    <n v="0"/>
    <n v="0"/>
    <n v="0"/>
    <n v="0"/>
    <n v="84"/>
    <s v="10"/>
    <s v="Proposte di layout"/>
    <s v="234"/>
    <s v="Seren E."/>
    <s v="K"/>
    <s v="K005.00012.PAC.999"/>
    <s v="sì"/>
    <s v=""/>
    <s v=""/>
    <m/>
    <s v="OTHERS (1)"/>
    <m/>
    <s v=""/>
    <m/>
    <m/>
  </r>
  <r>
    <s v="no"/>
    <n v="2024"/>
    <x v="0"/>
    <x v="0"/>
    <s v="5"/>
    <s v=""/>
    <s v="5"/>
    <m/>
    <e v="#REF!"/>
    <s v="10"/>
    <n v="0"/>
    <n v="0"/>
    <m/>
    <m/>
    <m/>
    <m/>
    <m/>
    <m/>
    <m/>
    <m/>
    <m/>
    <m/>
    <s v="CONV NGP PLATFORM ENG"/>
    <s v="Gamberini G."/>
    <e v="#N/A"/>
    <s v="Go"/>
    <s v="234"/>
    <m/>
    <s v=""/>
    <s v="5447634"/>
    <s v="C005RD234"/>
    <s v="SMEI LUCA"/>
    <s v="pippo"/>
    <s v="FATTIBILITA' DEL 2025 TOBACCO"/>
    <s v="Go"/>
    <s v="5447634"/>
    <n v="2025"/>
    <s v="LAYOUT - PROPOSTE E DEFINIZIONE"/>
    <s v="K005.00012"/>
    <s v="Int."/>
    <s v="CONV NGP PLATFORM ENG"/>
    <s v="Est."/>
    <s v="C005RD334"/>
    <s v="Seren E."/>
    <s v="Gamberini G."/>
    <s v="LAY"/>
    <s v="TOB"/>
    <s v="TOB PK"/>
    <s v="K"/>
    <s v="FATTIBILITA' DEL 2025 TOBACCO"/>
    <s v="345"/>
    <s v="CANALI E LAYOUT"/>
    <s v="Seren"/>
    <s v="LAYOUT"/>
    <n v="84"/>
    <n v="0"/>
    <n v="0"/>
    <n v="0"/>
    <n v="0"/>
    <n v="0"/>
    <n v="0"/>
    <n v="0"/>
    <n v="0"/>
    <n v="0"/>
    <n v="0"/>
    <n v="0"/>
    <n v="84"/>
    <s v="10"/>
    <s v="Proposte di layout"/>
    <s v="234"/>
    <s v="Seren E."/>
    <s v="K"/>
    <s v="K005.00012.PAC.999"/>
    <s v="sì"/>
    <s v=""/>
    <s v=""/>
    <m/>
    <s v="OTHERS (1)"/>
    <m/>
    <s v=""/>
    <m/>
    <m/>
  </r>
  <r>
    <s v="no"/>
    <n v="2024"/>
    <x v="0"/>
    <x v="0"/>
    <s v="5"/>
    <s v=""/>
    <s v="5"/>
    <m/>
    <e v="#REF!"/>
    <s v="10"/>
    <n v="0"/>
    <n v="0"/>
    <m/>
    <m/>
    <m/>
    <m/>
    <m/>
    <m/>
    <m/>
    <m/>
    <m/>
    <m/>
    <s v="CONV NGP PLATFORM ENG"/>
    <s v="Gamberini G."/>
    <e v="#N/A"/>
    <s v="Go"/>
    <s v="234"/>
    <m/>
    <s v=""/>
    <s v="5447634"/>
    <s v="C005RD234"/>
    <s v="SMEI LUCA"/>
    <s v="pippo"/>
    <s v="FATTIBILITA' DEL 2025 TOBACCO"/>
    <s v="Go"/>
    <s v="5447634"/>
    <n v="2025"/>
    <s v="LAYOUT - PROPOSTE E DEFINIZIONE"/>
    <s v="K005.00012"/>
    <s v="Int."/>
    <s v="CONV NGP PLATFORM ENG"/>
    <s v="Est."/>
    <s v="C005RD334"/>
    <s v="Seren E."/>
    <s v="Gamberini G."/>
    <s v="LAY"/>
    <s v="TOB"/>
    <s v="TOB PK"/>
    <s v="K"/>
    <s v="FATTIBILITA' DEL 2025 TOBACCO"/>
    <s v="345"/>
    <s v="CANALI E LAYOUT"/>
    <s v="Seren"/>
    <s v="LAYOUT"/>
    <n v="84"/>
    <n v="0"/>
    <n v="0"/>
    <n v="0"/>
    <n v="0"/>
    <n v="0"/>
    <n v="0"/>
    <n v="0"/>
    <n v="0"/>
    <n v="0"/>
    <n v="0"/>
    <n v="0"/>
    <n v="84"/>
    <s v="10"/>
    <s v="Proposte di layout"/>
    <s v="234"/>
    <s v="Seren E."/>
    <s v="K"/>
    <s v="K005.00012.PAC.999"/>
    <s v="sì"/>
    <s v=""/>
    <s v=""/>
    <m/>
    <s v="OTHERS (1)"/>
    <m/>
    <s v=""/>
    <m/>
    <m/>
  </r>
  <r>
    <s v="no"/>
    <n v="2024"/>
    <x v="0"/>
    <x v="0"/>
    <s v="5"/>
    <s v=""/>
    <s v="5"/>
    <m/>
    <e v="#REF!"/>
    <s v="10"/>
    <n v="0"/>
    <n v="0"/>
    <m/>
    <m/>
    <m/>
    <m/>
    <m/>
    <m/>
    <m/>
    <m/>
    <m/>
    <m/>
    <s v="CONV NGP PLATFORM ENG"/>
    <s v="Gamberini G."/>
    <e v="#N/A"/>
    <s v="Go"/>
    <s v="234"/>
    <m/>
    <s v=""/>
    <s v="5447634"/>
    <s v="C005RD234"/>
    <s v="SMEI LUCA"/>
    <s v="pippo"/>
    <s v="FATTIBILITA' DEL 2025 TOBACCO"/>
    <s v="Go"/>
    <s v="5447634"/>
    <n v="2025"/>
    <s v="LAYOUT - PROPOSTE E DEFINIZIONE"/>
    <s v="K005.00012"/>
    <s v="Int."/>
    <s v="CONV NGP PLATFORM ENG"/>
    <s v="Est."/>
    <s v="C005RD334"/>
    <s v="Seren E."/>
    <s v="Gamberini G."/>
    <s v="LAY"/>
    <s v="TOB"/>
    <s v="TOB PK"/>
    <s v="K"/>
    <s v="FATTIBILITA' DEL 2025 TOBACCO"/>
    <s v="345"/>
    <s v="CANALI E LAYOUT"/>
    <s v="Seren"/>
    <s v="LAYOUT"/>
    <n v="84"/>
    <n v="0"/>
    <n v="0"/>
    <n v="0"/>
    <n v="0"/>
    <n v="0"/>
    <n v="0"/>
    <n v="0"/>
    <n v="0"/>
    <n v="0"/>
    <n v="0"/>
    <n v="0"/>
    <n v="84"/>
    <s v="10"/>
    <s v="Proposte di layout"/>
    <s v="234"/>
    <s v="Seren E."/>
    <s v="K"/>
    <s v="K005.00012.PAC.999"/>
    <s v="sì"/>
    <s v=""/>
    <s v=""/>
    <m/>
    <s v="OTHERS (1)"/>
    <m/>
    <s v=""/>
    <m/>
    <m/>
  </r>
  <r>
    <s v="no"/>
    <n v="2024"/>
    <x v="0"/>
    <x v="0"/>
    <s v="5"/>
    <s v=""/>
    <s v="5"/>
    <m/>
    <e v="#REF!"/>
    <s v="10"/>
    <n v="0"/>
    <n v="0"/>
    <m/>
    <m/>
    <m/>
    <m/>
    <m/>
    <m/>
    <m/>
    <m/>
    <m/>
    <m/>
    <s v="CONV NGP PLATFORM ENG"/>
    <s v="Gamberini G."/>
    <e v="#N/A"/>
    <s v="Go"/>
    <s v="234"/>
    <m/>
    <s v=""/>
    <s v="5447634"/>
    <s v="C005RD234"/>
    <s v="SMEI LUCA"/>
    <s v="pippo"/>
    <s v="FATTIBILITA' DEL 2025 TOBACCO"/>
    <s v="Go"/>
    <s v="5447634"/>
    <n v="2025"/>
    <s v="LAYOUT - PROPOSTE E DEFINIZIONE"/>
    <s v="K005.00012"/>
    <s v="Int."/>
    <s v="CONV NGP PLATFORM ENG"/>
    <s v="Est."/>
    <s v="C005RD334"/>
    <s v="Seren E."/>
    <s v="Gamberini G."/>
    <s v="LAY"/>
    <s v="TOB"/>
    <s v="TOB PK"/>
    <s v="K"/>
    <s v="FATTIBILITA' DEL 2025 TOBACCO"/>
    <s v="345"/>
    <s v="CANALI E LAYOUT"/>
    <s v="Seren"/>
    <s v="LAYOUT"/>
    <n v="84"/>
    <n v="0"/>
    <n v="0"/>
    <n v="0"/>
    <n v="0"/>
    <n v="0"/>
    <n v="0"/>
    <n v="0"/>
    <n v="0"/>
    <n v="0"/>
    <n v="0"/>
    <n v="0"/>
    <n v="84"/>
    <s v="10"/>
    <s v="Proposte di layout"/>
    <s v="234"/>
    <s v="Seren E."/>
    <s v="K"/>
    <s v="K005.00012.PAC.999"/>
    <s v="sì"/>
    <s v=""/>
    <s v=""/>
    <m/>
    <s v="OTHERS (1)"/>
    <m/>
    <s v=""/>
    <m/>
    <m/>
  </r>
  <r>
    <s v="no"/>
    <n v="2025"/>
    <x v="0"/>
    <x v="0"/>
    <s v="5"/>
    <s v=""/>
    <s v="5"/>
    <m/>
    <e v="#REF!"/>
    <s v="10"/>
    <n v="0"/>
    <n v="0"/>
    <m/>
    <m/>
    <m/>
    <m/>
    <m/>
    <m/>
    <m/>
    <m/>
    <m/>
    <m/>
    <s v="CONV NGP PLATFORM ENG"/>
    <s v="Gamberini G."/>
    <e v="#N/A"/>
    <s v="Go"/>
    <s v="234"/>
    <m/>
    <s v=""/>
    <s v="5447634"/>
    <s v="C005RD234"/>
    <s v="SMEI LUCA"/>
    <s v="pippo"/>
    <s v="FATTIBILITA' DEL 2025 TOBACCO"/>
    <s v="Go"/>
    <s v="5447634"/>
    <n v="2025"/>
    <s v="LAYOUT - PROPOSTE E DEFINIZIONE"/>
    <s v="K005.00012"/>
    <s v="Int."/>
    <s v="CONV NGP PLATFORM ENG"/>
    <s v="Est."/>
    <s v="C005RD334"/>
    <s v="Seren E."/>
    <s v="Gamberini G."/>
    <s v="LAY"/>
    <s v="TOB"/>
    <s v="TOB PK"/>
    <s v="K"/>
    <s v="FATTIBILITA' DEL 2025 TOBACCO"/>
    <s v="345"/>
    <s v="CANALI E LAYOUT"/>
    <s v="Seren"/>
    <s v="LAYOUT"/>
    <n v="84"/>
    <n v="0"/>
    <n v="0"/>
    <n v="0"/>
    <n v="0"/>
    <n v="0"/>
    <n v="0"/>
    <n v="0"/>
    <n v="0"/>
    <n v="0"/>
    <n v="0"/>
    <n v="0"/>
    <n v="84"/>
    <s v="10"/>
    <s v="Proposte di layout"/>
    <s v="234"/>
    <s v="Seren E."/>
    <s v="K"/>
    <s v="K005.00012.PAC.999"/>
    <s v="sì"/>
    <s v=""/>
    <s v=""/>
    <m/>
    <s v="OTHERS (1)"/>
    <m/>
    <s v=""/>
    <m/>
    <m/>
  </r>
  <r>
    <s v="no"/>
    <n v="2025"/>
    <x v="0"/>
    <x v="0"/>
    <s v="5"/>
    <s v=""/>
    <s v="5"/>
    <m/>
    <e v="#REF!"/>
    <s v="10"/>
    <n v="0"/>
    <n v="0"/>
    <m/>
    <m/>
    <m/>
    <m/>
    <m/>
    <m/>
    <m/>
    <m/>
    <m/>
    <m/>
    <s v="CONV NGP PLATFORM ENG"/>
    <s v="Gamberini G."/>
    <e v="#N/A"/>
    <s v="Go"/>
    <s v="234"/>
    <m/>
    <s v=""/>
    <s v="5447634"/>
    <s v="C005RD234"/>
    <s v="SMEI LUCA"/>
    <s v="pippo"/>
    <s v="FATTIBILITA' DEL 2025 TOBACCO"/>
    <s v="Go"/>
    <s v="5447634"/>
    <n v="2025"/>
    <s v="LAYOUT - PROPOSTE E DEFINIZIONE"/>
    <s v="K005.00012"/>
    <s v="Int."/>
    <s v="CONV NGP PLATFORM ENG"/>
    <s v="Est."/>
    <s v="C005RD334"/>
    <s v="Seren E."/>
    <s v="Gamberini G."/>
    <s v="LAY"/>
    <s v="TOB"/>
    <s v="TOB PK"/>
    <s v="K"/>
    <s v="FATTIBILITA' DEL 2025 TOBACCO"/>
    <s v="345"/>
    <s v="CANALI E LAYOUT"/>
    <s v="Seren"/>
    <s v="LAYOUT"/>
    <n v="84"/>
    <n v="0"/>
    <n v="0"/>
    <n v="0"/>
    <n v="0"/>
    <n v="0"/>
    <n v="0"/>
    <n v="0"/>
    <n v="0"/>
    <n v="0"/>
    <n v="0"/>
    <n v="0"/>
    <n v="84"/>
    <s v="10"/>
    <s v="Proposte di layout"/>
    <s v="234"/>
    <s v="Seren E."/>
    <s v="K"/>
    <s v="K005.00012.PAC.999"/>
    <s v="sì"/>
    <s v=""/>
    <s v=""/>
    <m/>
    <s v="OTHERS (1)"/>
    <m/>
    <s v=""/>
    <m/>
    <m/>
  </r>
  <r>
    <s v="no"/>
    <n v="2025"/>
    <x v="0"/>
    <x v="0"/>
    <s v="5"/>
    <s v=""/>
    <s v="5"/>
    <m/>
    <e v="#REF!"/>
    <s v="10"/>
    <n v="0"/>
    <n v="0"/>
    <m/>
    <m/>
    <m/>
    <m/>
    <m/>
    <m/>
    <m/>
    <m/>
    <m/>
    <m/>
    <s v="CONV NGP PLATFORM ENG"/>
    <s v="Gamberini G."/>
    <e v="#N/A"/>
    <s v="Go"/>
    <s v="234"/>
    <m/>
    <s v=""/>
    <s v="5447634"/>
    <s v="C005RD234"/>
    <s v="SMEI LUCA"/>
    <s v="pippo"/>
    <s v="FATTIBILITA' DEL 2025 TOBACCO"/>
    <s v="Go"/>
    <s v="5447634"/>
    <n v="2025"/>
    <s v="LAYOUT - PROPOSTE E DEFINIZIONE"/>
    <s v="K005.00012"/>
    <s v="Int."/>
    <s v="CONV NGP PLATFORM ENG"/>
    <s v="Est."/>
    <s v="C005RD334"/>
    <s v="Seren E."/>
    <s v="Gamberini G."/>
    <s v="LAY"/>
    <s v="TOB"/>
    <s v="TOB PK"/>
    <s v="K"/>
    <s v="FATTIBILITA' DEL 2025 TOBACCO"/>
    <s v="345"/>
    <s v="CANALI E LAYOUT"/>
    <s v="Seren"/>
    <s v="LAYOUT"/>
    <n v="84"/>
    <n v="0"/>
    <n v="0"/>
    <n v="0"/>
    <n v="0"/>
    <n v="0"/>
    <n v="0"/>
    <n v="0"/>
    <n v="0"/>
    <n v="0"/>
    <n v="0"/>
    <n v="0"/>
    <n v="84"/>
    <s v="10"/>
    <s v="Proposte di layout"/>
    <s v="234"/>
    <s v="Seren E."/>
    <s v="K"/>
    <s v="K005.00012.PAC.999"/>
    <s v="sì"/>
    <s v=""/>
    <s v=""/>
    <m/>
    <s v="OTHERS (1)"/>
    <m/>
    <s v=""/>
    <m/>
    <m/>
  </r>
  <r>
    <s v="no"/>
    <n v="2025"/>
    <x v="0"/>
    <x v="0"/>
    <s v="5"/>
    <s v=""/>
    <s v="5"/>
    <m/>
    <e v="#REF!"/>
    <s v="10"/>
    <n v="0"/>
    <n v="0"/>
    <m/>
    <m/>
    <m/>
    <m/>
    <m/>
    <m/>
    <m/>
    <m/>
    <m/>
    <m/>
    <s v="CONV NGP PLATFORM ENG"/>
    <s v="Gamberini G."/>
    <e v="#N/A"/>
    <s v="Go"/>
    <s v="234"/>
    <m/>
    <s v=""/>
    <s v="5447634"/>
    <s v="C005RD234"/>
    <s v="SMEI LUCA"/>
    <s v="pippo"/>
    <s v="FATTIBILITA' DEL 2025 TOBACCO"/>
    <s v="Go"/>
    <s v="5447634"/>
    <n v="2025"/>
    <s v="LAYOUT - PROPOSTE E DEFINIZIONE"/>
    <s v="K005.00012"/>
    <s v="Int."/>
    <s v="CONV NGP PLATFORM ENG"/>
    <s v="Est."/>
    <s v="C005RD334"/>
    <s v="Seren E."/>
    <s v="Gamberini G."/>
    <s v="LAY"/>
    <s v="TOB"/>
    <s v="TOB PK"/>
    <s v="K"/>
    <s v="FATTIBILITA' DEL 2025 TOBACCO"/>
    <s v="345"/>
    <s v="CANALI E LAYOUT"/>
    <s v="Seren"/>
    <s v="LAYOUT"/>
    <n v="84"/>
    <n v="0"/>
    <n v="0"/>
    <n v="0"/>
    <n v="0"/>
    <n v="0"/>
    <n v="0"/>
    <n v="0"/>
    <n v="0"/>
    <n v="0"/>
    <n v="0"/>
    <n v="0"/>
    <n v="84"/>
    <s v="10"/>
    <s v="Proposte di layout"/>
    <s v="234"/>
    <s v="Seren E."/>
    <s v="K"/>
    <s v="K005.00012.PAC.999"/>
    <s v="sì"/>
    <s v=""/>
    <s v=""/>
    <m/>
    <s v="OTHERS (1)"/>
    <m/>
    <s v=""/>
    <m/>
    <m/>
  </r>
  <r>
    <s v="no"/>
    <n v="2025"/>
    <x v="0"/>
    <x v="0"/>
    <s v="5"/>
    <s v=""/>
    <s v="5"/>
    <m/>
    <s v="Int"/>
    <s v="10"/>
    <n v="0"/>
    <n v="0"/>
    <m/>
    <m/>
    <m/>
    <m/>
    <m/>
    <m/>
    <m/>
    <m/>
    <m/>
    <m/>
    <s v="CONV NGP PLATFORM ENG"/>
    <s v="Gamberini G."/>
    <e v="#N/A"/>
    <s v="Go"/>
    <s v="234"/>
    <m/>
    <s v=""/>
    <s v="5447634"/>
    <s v="C005RD234"/>
    <s v="SMEI LUCA"/>
    <s v="pippo"/>
    <s v="FATTIBILITA' DEL 2025 TOBACCO"/>
    <s v="Go"/>
    <s v="5447634"/>
    <n v="2025"/>
    <s v="LAYOUT - PROPOSTE E DEFINIZIONE"/>
    <s v="K005.00012"/>
    <s v="Int."/>
    <s v="CONV NGP PLATFORM ENG"/>
    <s v="Est."/>
    <s v="C005RD334"/>
    <s v="Seren E."/>
    <s v="Gamberini G."/>
    <s v="LAY"/>
    <s v="TOB"/>
    <s v="TOB PK"/>
    <s v="K"/>
    <s v="FATTIBILITA' DEL 2025 TOBACCO"/>
    <s v="345"/>
    <s v="CANALI E LAYOUT"/>
    <s v="Seren"/>
    <s v="LAYOUT"/>
    <n v="84"/>
    <n v="0"/>
    <n v="0"/>
    <n v="0"/>
    <n v="0"/>
    <n v="0"/>
    <n v="0"/>
    <n v="0"/>
    <n v="0"/>
    <n v="0"/>
    <n v="0"/>
    <n v="0"/>
    <n v="84"/>
    <s v="10"/>
    <s v="Proposte di layout"/>
    <s v="234"/>
    <s v="Seren E."/>
    <s v="K"/>
    <s v="K005.00012.PAC.999"/>
    <s v="sì"/>
    <s v=""/>
    <s v=""/>
    <m/>
    <s v="OTHERS (1)"/>
    <m/>
    <s v=""/>
    <m/>
    <m/>
  </r>
  <r>
    <s v="no"/>
    <n v="2025"/>
    <x v="0"/>
    <x v="0"/>
    <s v="5"/>
    <s v=""/>
    <s v="5"/>
    <m/>
    <s v="Int"/>
    <s v="10"/>
    <n v="0"/>
    <n v="0"/>
    <n v="0"/>
    <n v="0"/>
    <n v="0"/>
    <n v="0"/>
    <n v="0"/>
    <n v="0"/>
    <n v="0"/>
    <n v="0"/>
    <n v="0"/>
    <n v="84"/>
    <s v="CONV NGP PLATFORM ENG"/>
    <s v="Gamberini G."/>
    <e v="#N/A"/>
    <s v="Go"/>
    <s v="234"/>
    <s v=""/>
    <s v=""/>
    <s v="5447634"/>
    <s v="C005RD234"/>
    <s v="SMEI LUCA"/>
    <s v="pippo"/>
    <s v="FATTIBILITA' DEL 2025 TOBACCO"/>
    <s v="Go"/>
    <s v="5447634"/>
    <n v="2025"/>
    <s v="LAYOUT - PROPOSTE E DEFINIZIONE"/>
    <s v="K005.00012"/>
    <s v="Int."/>
    <s v="CONV NGP PLATFORM ENG"/>
    <s v="Est."/>
    <s v="C005RD334"/>
    <s v="Seren E."/>
    <s v="Gamberini G."/>
    <s v="LAY"/>
    <s v="TOB"/>
    <s v="TOB PK"/>
    <s v="K"/>
    <s v="FATTIBILITA' DEL 2025 TOBACCO"/>
    <s v="345"/>
    <s v="CANALI E LAYOUT"/>
    <s v="Seren"/>
    <s v="LAYOUT"/>
    <n v="84"/>
    <n v="0"/>
    <n v="0"/>
    <n v="0"/>
    <n v="0"/>
    <n v="0"/>
    <n v="0"/>
    <n v="0"/>
    <n v="0"/>
    <n v="0"/>
    <n v="0"/>
    <n v="0"/>
    <n v="84"/>
    <s v="10"/>
    <s v="Proposte di layout"/>
    <s v="234"/>
    <s v="Seren E."/>
    <s v="K"/>
    <s v="K005.00012.PAC.999"/>
    <s v="sì"/>
    <s v=""/>
    <s v=""/>
    <m/>
    <s v="OTHERS (1)"/>
    <m/>
    <s v=""/>
    <m/>
    <m/>
  </r>
  <r>
    <s v="no"/>
    <n v="2025"/>
    <x v="0"/>
    <x v="0"/>
    <s v="5"/>
    <s v=""/>
    <s v="5"/>
    <m/>
    <s v="Int"/>
    <s v="10"/>
    <n v="0"/>
    <n v="0"/>
    <n v="0"/>
    <n v="0"/>
    <n v="0"/>
    <n v="0"/>
    <n v="0"/>
    <n v="0"/>
    <n v="0"/>
    <n v="0"/>
    <n v="0"/>
    <n v="84"/>
    <s v="CONV NGP PLATFORM ENG"/>
    <s v="Gamberini G."/>
    <e v="#N/A"/>
    <s v="Go"/>
    <s v="234"/>
    <s v=""/>
    <s v=""/>
    <s v="5447634"/>
    <s v="C005RD234"/>
    <s v="SMEI LUCA"/>
    <s v="pippo"/>
    <s v="FATTIBILITA' DEL 2025 TOBACCO"/>
    <s v="Go"/>
    <s v="5447634"/>
    <n v="2025"/>
    <s v="LAYOUT - PROPOSTE E DEFINIZIONE"/>
    <s v="K005.00012"/>
    <s v="Int."/>
    <s v="CONV NGP PLATFORM ENG"/>
    <s v="Est."/>
    <s v="C005RD334"/>
    <s v="Seren E."/>
    <s v="Gamberini G."/>
    <s v="LAY"/>
    <s v="TOB"/>
    <s v="TOB PK"/>
    <s v="K"/>
    <s v="FATTIBILITA' DEL 2025 TOBACCO"/>
    <s v="345"/>
    <s v="CANALI E LAYOUT"/>
    <s v="Seren"/>
    <s v="LAYOUT"/>
    <n v="84"/>
    <n v="0"/>
    <n v="0"/>
    <n v="0"/>
    <n v="0"/>
    <n v="0"/>
    <n v="0"/>
    <n v="0"/>
    <n v="0"/>
    <n v="0"/>
    <n v="0"/>
    <n v="0"/>
    <n v="84"/>
    <s v="10"/>
    <s v="Proposte di layout"/>
    <s v="234"/>
    <s v="Seren E."/>
    <s v="K"/>
    <s v="K005.00012.PAC.999"/>
    <s v="sì"/>
    <s v=""/>
    <s v=""/>
    <m/>
    <s v="OTHERS (1)"/>
    <m/>
    <s v=""/>
    <m/>
    <m/>
  </r>
  <r>
    <s v="no"/>
    <n v="2025"/>
    <x v="0"/>
    <x v="0"/>
    <s v="5"/>
    <s v=""/>
    <s v="5"/>
    <m/>
    <s v="Int"/>
    <s v="10"/>
    <n v="0"/>
    <n v="0"/>
    <n v="0"/>
    <n v="0"/>
    <n v="0"/>
    <n v="0"/>
    <n v="0"/>
    <n v="0"/>
    <n v="0"/>
    <n v="0"/>
    <n v="0"/>
    <n v="84"/>
    <s v="CONV NGP PLATFORM ENG"/>
    <s v="Gamberini G."/>
    <e v="#N/A"/>
    <s v="Go"/>
    <s v="234"/>
    <s v=""/>
    <s v=""/>
    <s v="5447634"/>
    <s v="C005RD234"/>
    <s v="SMEI LUCA"/>
    <s v="pippo"/>
    <s v="FATTIBILITA' DEL 2025 TOBACCO"/>
    <s v="Go"/>
    <s v="5447634"/>
    <n v="2025"/>
    <s v="LAYOUT - PROPOSTE E DEFINIZIONE"/>
    <s v="K005.00012"/>
    <s v="Int."/>
    <s v="CONV NGP PLATFORM ENG"/>
    <s v="Est."/>
    <s v="C005RD334"/>
    <s v="Seren E."/>
    <s v="Gamberini G."/>
    <s v="LAY"/>
    <s v="TOB"/>
    <s v="TOB PK"/>
    <s v="K"/>
    <s v="FATTIBILITA' DEL 2025 TOBACCO"/>
    <s v="345"/>
    <s v="CANALI E LAYOUT"/>
    <s v="Seren"/>
    <s v="LAYOUT"/>
    <n v="84"/>
    <n v="0"/>
    <n v="0"/>
    <n v="0"/>
    <n v="0"/>
    <n v="0"/>
    <n v="0"/>
    <n v="0"/>
    <n v="0"/>
    <n v="0"/>
    <n v="0"/>
    <n v="0"/>
    <n v="84"/>
    <s v="10"/>
    <s v="Proposte di layout"/>
    <s v="234"/>
    <s v="Seren E."/>
    <s v="K"/>
    <s v="K005.00012.PAC.999"/>
    <s v="sì"/>
    <s v=""/>
    <s v=""/>
    <m/>
    <s v="OTHERS (1)"/>
    <m/>
    <s v=""/>
    <m/>
    <m/>
  </r>
  <r>
    <s v="no"/>
    <n v="2025"/>
    <x v="0"/>
    <x v="0"/>
    <s v="5"/>
    <s v=""/>
    <s v="5"/>
    <m/>
    <s v="Int"/>
    <s v="10"/>
    <n v="0"/>
    <n v="0"/>
    <n v="0"/>
    <n v="0"/>
    <n v="0"/>
    <n v="0"/>
    <n v="0"/>
    <n v="0"/>
    <n v="0"/>
    <n v="0"/>
    <n v="0"/>
    <n v="84"/>
    <s v="CONV NGP PLATFORM ENG"/>
    <s v="Gamberini G."/>
    <e v="#N/A"/>
    <s v="Go"/>
    <s v="234"/>
    <s v=""/>
    <s v=""/>
    <s v="5447634"/>
    <s v="C005RD234"/>
    <s v="SMEI LUCA"/>
    <s v="pippo"/>
    <s v="FATTIBILITA' DEL 2025 TOBACCO"/>
    <s v="Go"/>
    <s v="5447634"/>
    <n v="2025"/>
    <s v="LAYOUT - PROPOSTE E DEFINIZIONE"/>
    <s v="K005.00012"/>
    <s v="Int."/>
    <s v="CONV NGP PLATFORM ENG"/>
    <s v="Est."/>
    <s v="C005RD334"/>
    <s v="Seren E."/>
    <s v="Gamberini G."/>
    <s v="LAY"/>
    <s v="TOB"/>
    <s v="TOB PK"/>
    <s v="K"/>
    <s v="FATTIBILITA' DEL 2025 TOBACCO"/>
    <s v="345"/>
    <s v="CANALI E LAYOUT"/>
    <s v="Seren"/>
    <s v="LAYOUT"/>
    <n v="84"/>
    <n v="0"/>
    <n v="0"/>
    <n v="0"/>
    <n v="0"/>
    <n v="0"/>
    <n v="0"/>
    <n v="0"/>
    <n v="0"/>
    <n v="0"/>
    <n v="0"/>
    <n v="0"/>
    <n v="84"/>
    <s v="10"/>
    <s v="Proposte di layout"/>
    <s v="234"/>
    <s v="Seren E."/>
    <s v="K"/>
    <s v="K005.00012.PAC.999"/>
    <s v="sì"/>
    <s v=""/>
    <s v=""/>
    <m/>
    <s v="OTHERS (1)"/>
    <m/>
    <s v=""/>
    <m/>
    <m/>
  </r>
  <r>
    <s v="no"/>
    <n v="2025"/>
    <x v="0"/>
    <x v="0"/>
    <s v="5"/>
    <s v=""/>
    <s v="5"/>
    <m/>
    <s v="Int"/>
    <s v="10"/>
    <n v="0"/>
    <n v="0"/>
    <n v="0"/>
    <n v="0"/>
    <n v="0"/>
    <n v="0"/>
    <n v="0"/>
    <n v="0"/>
    <n v="0"/>
    <n v="0"/>
    <n v="0"/>
    <n v="84"/>
    <s v="CONV NGP PLATFORM ENG"/>
    <s v="Gamberini G."/>
    <e v="#N/A"/>
    <s v="Go"/>
    <s v="234"/>
    <s v=""/>
    <s v=""/>
    <s v="5447634"/>
    <s v="C005RD234"/>
    <s v="SMEI LUCA"/>
    <s v="pippo"/>
    <s v="FATTIBILITA' DEL 2025 TOBACCO"/>
    <s v="Go"/>
    <s v="5447634"/>
    <n v="2025"/>
    <s v="LAYOUT - PROPOSTE E DEFINIZIONE"/>
    <s v="K005.00012"/>
    <s v="Int."/>
    <s v="CONV NGP PLATFORM ENG"/>
    <s v="Est."/>
    <s v="C005RD334"/>
    <s v="Seren E."/>
    <s v="Gamberini G."/>
    <s v="LAY"/>
    <s v="TOB"/>
    <s v="TOB PK"/>
    <s v="K"/>
    <s v="FATTIBILITA' DEL 2025 TOBACCO"/>
    <s v="345"/>
    <s v="CANALI E LAYOUT"/>
    <s v="Seren"/>
    <s v="LAYOUT"/>
    <n v="84"/>
    <n v="0"/>
    <n v="0"/>
    <n v="0"/>
    <n v="0"/>
    <n v="0"/>
    <n v="0"/>
    <n v="0"/>
    <n v="0"/>
    <n v="0"/>
    <n v="0"/>
    <n v="0"/>
    <n v="84"/>
    <s v="10"/>
    <s v="Proposte di layout"/>
    <s v="234"/>
    <s v="Seren E."/>
    <s v="K"/>
    <s v="K005.00012.PAC.999"/>
    <s v="sì"/>
    <s v=""/>
    <s v=""/>
    <m/>
    <s v="OTHERS (1)"/>
    <m/>
    <s v="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983B66-B099-438E-BDD3-F97341231C91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" firstHeaderRow="1" firstDataRow="1" firstDataCol="1"/>
  <pivotFields count="82">
    <pivotField showAll="0"/>
    <pivotField dataField="1" showAll="0"/>
    <pivotField showAll="0"/>
    <pivotField axis="axisRow" showAll="0" sortType="ascending">
      <items count="5">
        <item m="1" x="3"/>
        <item m="1" x="2"/>
        <item x="0"/>
        <item m="1"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 v="2"/>
    </i>
    <i t="grand">
      <x/>
    </i>
  </rowItems>
  <colItems count="1">
    <i/>
  </colItems>
  <dataFields count="1">
    <dataField name="Min of Anno_" fld="1" subtotal="min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734A62-7ED5-4AFF-A8FC-4DBDCFB88283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5:D8" firstHeaderRow="1" firstDataRow="1" firstDataCol="1"/>
  <pivotFields count="82">
    <pivotField showAll="0"/>
    <pivotField showAll="0"/>
    <pivotField axis="axisRow" showAll="0" sortType="ascending">
      <items count="4">
        <item m="1" x="1"/>
        <item x="0"/>
        <item m="1" x="2"/>
        <item t="default"/>
      </items>
    </pivotField>
    <pivotField axis="axisRow" showAll="0">
      <items count="5">
        <item m="1" x="3"/>
        <item m="1" x="2"/>
        <item x="0"/>
        <item m="1"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2"/>
    <field x="3"/>
  </rowFields>
  <rowItems count="3">
    <i>
      <x v="1"/>
    </i>
    <i r="1">
      <x v="2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blBudget" displayName="tblBudget" ref="A2:S3" totalsRowShown="0">
  <autoFilter ref="A2:S3" xr:uid="{00000000-0009-0000-0100-000002000000}"/>
  <tableColumns count="19">
    <tableColumn id="1" xr3:uid="{00000000-0010-0000-0000-000001000000}" name="da considerare?_" dataDxfId="69">
      <calculatedColumnFormula>IF(  AND(  tblBudget[[#This Row],[Business ]]&gt;"",  tblBudget[[#This Row],[CATEGORIA]]=""), "no", "sì")</calculatedColumnFormula>
    </tableColumn>
    <tableColumn id="2" xr3:uid="{00000000-0010-0000-0000-000002000000}" name="BusinessArea_">
      <calculatedColumnFormula>tblBudget[[#This Row],[Business ]]</calculatedColumnFormula>
    </tableColumn>
    <tableColumn id="3" xr3:uid="{00000000-0010-0000-0000-000003000000}" name="ProjType_" dataDxfId="68">
      <calculatedColumnFormula>INDEX( tab_ProjTypeCluster[ProjType],
         MATCH(   tblBudget[[#This Row],[CATEGORIA]],
                      tab_ProjTypeCluster[Macro area], 0)  )</calculatedColumnFormula>
    </tableColumn>
    <tableColumn id="4" xr3:uid="{00000000-0010-0000-0000-000004000000}" name="ProjType Cluster 1_" dataDxfId="67">
      <calculatedColumnFormula>INDEX( tab_ProjTypeCluster[ProjType Cluster 1],   MATCH(tblBudget[[#This Row],[CATEGORIA]], tab_ProjTypeCluster[Macro area], 0 ) )</calculatedColumnFormula>
    </tableColumn>
    <tableColumn id="5" xr3:uid="{00000000-0010-0000-0000-000005000000}" name="ProjType Cluster 2_" dataDxfId="66">
      <calculatedColumnFormula>INDEX( tab_ProjTypeCluster[ProjType Cluster 2],   MATCH(tblBudget[[#This Row],[CATEGORIA]], tab_ProjTypeCluster[Macro area], 0) )</calculatedColumnFormula>
    </tableColumn>
    <tableColumn id="6" xr3:uid="{00000000-0010-0000-0000-000006000000}" name="Nome progetto_" dataDxfId="65"/>
    <tableColumn id="7" xr3:uid="{00000000-0010-0000-0000-000007000000}" name="EngUnit area cluster 1_" dataDxfId="64">
      <calculatedColumnFormula>INDEX(tab_resp1liv[EngUnit area cluster 1_],
                    MATCH(SUBSTITUTE( SUBSTITUTE(#REF!, "(ai)", ""), " ", ""),
                                      tab_resp1liv[SearchKey], 0  ) )</calculatedColumnFormula>
    </tableColumn>
    <tableColumn id="8" xr3:uid="{00000000-0010-0000-0000-000008000000}" name="BDG est_" dataDxfId="63">
      <calculatedColumnFormula>tblBudget[[#This Row],[EST]]+tblBudget[[#This Row],[EST3]]</calculatedColumnFormula>
    </tableColumn>
    <tableColumn id="9" xr3:uid="{00000000-0010-0000-0000-000009000000}" name="BDG int_" dataDxfId="62">
      <calculatedColumnFormula>tblBudget[[#This Row],[INT]]+tblBudget[[#This Row],[INT2]]</calculatedColumnFormula>
    </tableColumn>
    <tableColumn id="10" xr3:uid="{00000000-0010-0000-0000-00000A000000}" name="BDG_" dataDxfId="61">
      <calculatedColumnFormula>tblBudget[[#This Row],[TOTALE TOT]]</calculatedColumnFormula>
    </tableColumn>
    <tableColumn id="11" xr3:uid="{00000000-0010-0000-0000-00000B000000}" name="Business "/>
    <tableColumn id="12" xr3:uid="{00000000-0010-0000-0000-00000C000000}" name="CATEGORIA"/>
    <tableColumn id="13" xr3:uid="{00000000-0010-0000-0000-00000D000000}" name="INT"/>
    <tableColumn id="14" xr3:uid="{00000000-0010-0000-0000-00000E000000}" name="EST"/>
    <tableColumn id="15" xr3:uid="{00000000-0010-0000-0000-00000F000000}" name="totale Gamberini"/>
    <tableColumn id="16" xr3:uid="{00000000-0010-0000-0000-000010000000}" name="INT2"/>
    <tableColumn id="17" xr3:uid="{00000000-0010-0000-0000-000011000000}" name="EST3"/>
    <tableColumn id="18" xr3:uid="{00000000-0010-0000-0000-000012000000}" name="totale Lanzarini"/>
    <tableColumn id="19" xr3:uid="{00000000-0010-0000-0000-000013000000}" name="TOTALE TO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tblForecast" displayName="tblForecast" ref="A2:X3" totalsRowShown="0">
  <autoFilter ref="A2:X3" xr:uid="{00000000-0009-0000-0100-000003000000}"/>
  <tableColumns count="24">
    <tableColumn id="1" xr3:uid="{00000000-0010-0000-0100-000001000000}" name="da considerare?" dataDxfId="60">
      <calculatedColumnFormula>IF(  AND(  tblForecast[[#This Row],[Business ]]&gt;"",  tblForecast[[#This Row],[CATEGORIA]]=""), "no", "sì")</calculatedColumnFormula>
    </tableColumn>
    <tableColumn id="2" xr3:uid="{00000000-0010-0000-0100-000002000000}" name="Proj type cluster 1" dataDxfId="59">
      <calculatedColumnFormula>IF(  tblForecast[[#This Row],[da considerare?]]="sì",  INDEX( tab_ProjType[ProjType Cluster 1], MATCH( tblForecast[[#This Row],[CATEGORIA TMP]], tab_ProjType[Macro area],0)),   "")</calculatedColumnFormula>
    </tableColumn>
    <tableColumn id="3" xr3:uid="{00000000-0010-0000-0100-000003000000}" name="Proj type cluster 2" dataDxfId="58">
      <calculatedColumnFormula>IF(  tblForecast[[#This Row],[da considerare?]]="sì",  INDEX( tab_ProjType[ProjType Cluster 2], MATCH( tblForecast[[#This Row],[CATEGORIA TMP]], tab_ProjType[Macro area],0)),   "")</calculatedColumnFormula>
    </tableColumn>
    <tableColumn id="4" xr3:uid="{00000000-0010-0000-0100-000004000000}" name="Business" dataDxfId="57">
      <calculatedColumnFormula>IF(tblForecast[[#This Row],[Business ]]&gt;"",    tblForecast[[#This Row],[Business ]],D2)</calculatedColumnFormula>
    </tableColumn>
    <tableColumn id="5" xr3:uid="{00000000-0010-0000-0100-000005000000}" name="CATEGORIA_" dataDxfId="56">
      <calculatedColumnFormula>tblForecast[[#This Row],[CATEGORIA TMP]]&amp;""</calculatedColumnFormula>
    </tableColumn>
    <tableColumn id="6" xr3:uid="{00000000-0010-0000-0100-000006000000}" name="ENG TOB - INT_" dataDxfId="55">
      <calculatedColumnFormula>tblForecast[[#This Row],[INT]]</calculatedColumnFormula>
    </tableColumn>
    <tableColumn id="7" xr3:uid="{00000000-0010-0000-0100-000007000000}" name="ENG TOB - EST_" dataDxfId="54">
      <calculatedColumnFormula>tblForecast[[#This Row],[EST]]</calculatedColumnFormula>
    </tableColumn>
    <tableColumn id="8" xr3:uid="{00000000-0010-0000-0100-000008000000}" name="ENG TOB Totale_" dataDxfId="53">
      <calculatedColumnFormula>tblForecast[[#This Row],[totale Gamberini]]</calculatedColumnFormula>
    </tableColumn>
    <tableColumn id="9" xr3:uid="{00000000-0010-0000-0100-000009000000}" name="ENG LPP - INT_" dataDxfId="52">
      <calculatedColumnFormula>tblForecast[[#This Row],[INT2]]</calculatedColumnFormula>
    </tableColumn>
    <tableColumn id="10" xr3:uid="{00000000-0010-0000-0100-00000A000000}" name="ENG LPP - EST_" dataDxfId="51">
      <calculatedColumnFormula>tblForecast[[#This Row],[EST3]]</calculatedColumnFormula>
    </tableColumn>
    <tableColumn id="11" xr3:uid="{00000000-0010-0000-0100-00000B000000}" name="ENG LPP Totale_" dataDxfId="50">
      <calculatedColumnFormula>tblForecast[[#This Row],[totale Lanzarini]]</calculatedColumnFormula>
    </tableColumn>
    <tableColumn id="12" xr3:uid="{00000000-0010-0000-0100-00000C000000}" name="int FORECAST_" dataDxfId="49">
      <calculatedColumnFormula>tblForecast[[#This Row],[INT]]+tblForecast[[#This Row],[INT2]]</calculatedColumnFormula>
    </tableColumn>
    <tableColumn id="13" xr3:uid="{00000000-0010-0000-0100-00000D000000}" name="ext FORECAST_" dataDxfId="48">
      <calculatedColumnFormula>tblForecast[[#This Row],[EST]]+tblForecast[[#This Row],[EST3]]</calculatedColumnFormula>
    </tableColumn>
    <tableColumn id="14" xr3:uid="{00000000-0010-0000-0100-00000E000000}" name="FORECAST Totale_" dataDxfId="47">
      <calculatedColumnFormula>tblForecast[[#This Row],[TOTALE TOT]]</calculatedColumnFormula>
    </tableColumn>
    <tableColumn id="15" xr3:uid="{00000000-0010-0000-0100-00000F000000}" name="CATEGORIA TMP" dataDxfId="46">
      <calculatedColumnFormula>IF( LEFT(tblForecast[[#This Row],[CATEGORIA]],3)="R&amp;D", "R&amp;D", tblForecast[[#This Row],[CATEGORIA]] )</calculatedColumnFormula>
    </tableColumn>
    <tableColumn id="16" xr3:uid="{00000000-0010-0000-0100-000010000000}" name="Business "/>
    <tableColumn id="17" xr3:uid="{00000000-0010-0000-0100-000011000000}" name="CATEGORIA"/>
    <tableColumn id="18" xr3:uid="{00000000-0010-0000-0100-000012000000}" name="INT"/>
    <tableColumn id="19" xr3:uid="{00000000-0010-0000-0100-000013000000}" name="EST"/>
    <tableColumn id="20" xr3:uid="{00000000-0010-0000-0100-000014000000}" name="totale Gamberini"/>
    <tableColumn id="21" xr3:uid="{00000000-0010-0000-0100-000015000000}" name="INT2"/>
    <tableColumn id="22" xr3:uid="{00000000-0010-0000-0100-000016000000}" name="EST3"/>
    <tableColumn id="23" xr3:uid="{00000000-0010-0000-0100-000017000000}" name="totale Lanzarini"/>
    <tableColumn id="24" xr3:uid="{00000000-0010-0000-0100-000018000000}" name="TOTALE TO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tblRunRate" displayName="tblRunRate" ref="A1:L2" totalsRowShown="0" dataDxfId="45">
  <autoFilter ref="A1:L2" xr:uid="{00000000-0009-0000-0100-000004000000}"/>
  <tableColumns count="12">
    <tableColumn id="1" xr3:uid="{00000000-0010-0000-0200-000001000000}" name="01" dataDxfId="44"/>
    <tableColumn id="2" xr3:uid="{00000000-0010-0000-0200-000002000000}" name="02" dataDxfId="43"/>
    <tableColumn id="3" xr3:uid="{00000000-0010-0000-0200-000003000000}" name="03" dataDxfId="42"/>
    <tableColumn id="4" xr3:uid="{00000000-0010-0000-0200-000004000000}" name="04" dataDxfId="41"/>
    <tableColumn id="5" xr3:uid="{00000000-0010-0000-0200-000005000000}" name="05" dataDxfId="40"/>
    <tableColumn id="6" xr3:uid="{00000000-0010-0000-0200-000006000000}" name="06" dataDxfId="39"/>
    <tableColumn id="7" xr3:uid="{00000000-0010-0000-0200-000007000000}" name="07" dataDxfId="38"/>
    <tableColumn id="8" xr3:uid="{00000000-0010-0000-0200-000008000000}" name="08" dataDxfId="37"/>
    <tableColumn id="9" xr3:uid="{00000000-0010-0000-0200-000009000000}" name="09" dataDxfId="36"/>
    <tableColumn id="10" xr3:uid="{00000000-0010-0000-0200-00000A000000}" name="10" dataDxfId="35"/>
    <tableColumn id="11" xr3:uid="{00000000-0010-0000-0200-00000B000000}" name="11" dataDxfId="34"/>
    <tableColumn id="12" xr3:uid="{00000000-0010-0000-0200-00000C000000}" name="12" dataDxfId="3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3000000}" name="tabSuperdettagli" displayName="tabSuperdettagli" ref="A2:CD32" totalsRowShown="0" headerRowDxfId="32">
  <autoFilter ref="A2:CD32" xr:uid="{00000000-0009-0000-0100-000001000000}"/>
  <tableColumns count="82">
    <tableColumn id="1" xr3:uid="{00000000-0010-0000-0300-000001000000}" name="da considerare?_" dataDxfId="31">
      <calculatedColumnFormula>IF(  UPPER(LEFT( tabSuperdettagli[[#This Row],[WBE Status]],1) ) = "S",  "sì",  "no"   )</calculatedColumnFormula>
    </tableColumn>
    <tableColumn id="2" xr3:uid="{00000000-0010-0000-0300-000002000000}" name="Anno_" dataDxfId="30"/>
    <tableColumn id="3" xr3:uid="{00000000-0010-0000-0300-000003000000}" name="Anno di prima marcatura (=anno di apertura progetto)" dataDxfId="29">
      <calculatedColumnFormula>VLOOKUP(tabSuperdettagli[[#This Row],[WBS_]], 'pivot di appoggio'!A:B,2,FALSE)</calculatedColumnFormula>
    </tableColumn>
    <tableColumn id="4" xr3:uid="{00000000-0010-0000-0300-000004000000}" name="WBS_" dataDxfId="28">
      <calculatedColumnFormula>LEFT(tabSuperdettagli[[#This Row],[Network]], 10)</calculatedColumnFormula>
    </tableColumn>
    <tableColumn id="5" xr3:uid="{00000000-0010-0000-0300-000005000000}" name="ProjType_" dataDxfId="27">
      <calculatedColumnFormula>LEFT(tabSuperdettagli[[#This Row],[Network]], 1)</calculatedColumnFormula>
    </tableColumn>
    <tableColumn id="6" xr3:uid="{00000000-0010-0000-0300-000006000000}" name="U ProjType_" dataDxfId="26">
      <calculatedColumnFormula>LOWER(TRIM( tabSuperdettagli[[#This Row],[Proj. Type ]] ))</calculatedColumnFormula>
    </tableColumn>
    <tableColumn id="7" xr3:uid="{00000000-0010-0000-0300-000007000000}" name="ProjType Cluster" dataDxfId="25">
      <calculatedColumnFormula>IF( OR( tabSuperdettagli[[#This Row],[ProjType_]]="C", tabSuperdettagli[[#This Row],[ProjType_]]="A", tabSuperdettagli[[#This Row],[ProjType_]]="R", tabSuperdettagli[[#This Row],[ProjType_]]="E"),  "C A R E",
        IF( tabSuperdettagli[[#This Row],[ProjType_]]="U",  "U (" &amp; tabSuperdettagli[[#This Row],[U ProjType_]] &amp; ")",
        tabSuperdettagli[[#This Row],[ProjType_]]) )</calculatedColumnFormula>
    </tableColumn>
    <tableColumn id="8" xr3:uid="{00000000-0010-0000-0300-000008000000}" name="ProjType Cluster2" dataDxfId="24"/>
    <tableColumn id="9" xr3:uid="{00000000-0010-0000-0300-000009000000}" name="BussinessArea Cluster" dataDxfId="23">
      <calculatedColumnFormula>IF(  TRIM(#REF!)&gt; "", TRIM(#REF!), TRIM(tabSuperdettagli[[#This Row],[Resp DT]] ) )</calculatedColumnFormula>
    </tableColumn>
    <tableColumn id="10" xr3:uid="{00000000-0010-0000-0300-00000A000000}" name="ORE_" dataDxfId="22">
      <calculatedColumnFormula>tabSuperdettagli[[#This Row],[07.2025]]</calculatedColumnFormula>
    </tableColumn>
    <tableColumn id="11" xr3:uid="{00000000-0010-0000-0300-00000B000000}" name="gen_" dataDxfId="21">
      <calculatedColumnFormula>tabSuperdettagli[[#This Row],[Resp del Prodotto]]</calculatedColumnFormula>
    </tableColumn>
    <tableColumn id="12" xr3:uid="{00000000-0010-0000-0300-00000C000000}" name="feb_">
      <calculatedColumnFormula>tabSuperdettagli[[#This Row],[Area di bdg]]</calculatedColumnFormula>
    </tableColumn>
    <tableColumn id="13" xr3:uid="{00000000-0010-0000-0300-00000D000000}" name="mar_"/>
    <tableColumn id="14" xr3:uid="{00000000-0010-0000-0300-00000E000000}" name="apr_"/>
    <tableColumn id="15" xr3:uid="{00000000-0010-0000-0300-00000F000000}" name="mag_"/>
    <tableColumn id="16" xr3:uid="{00000000-0010-0000-0300-000010000000}" name="giu_"/>
    <tableColumn id="17" xr3:uid="{00000000-0010-0000-0300-000011000000}" name="lug_"/>
    <tableColumn id="18" xr3:uid="{00000000-0010-0000-0300-000012000000}" name="ago_"/>
    <tableColumn id="19" xr3:uid="{00000000-0010-0000-0300-000013000000}" name="set_"/>
    <tableColumn id="20" xr3:uid="{00000000-0010-0000-0300-000014000000}" name="ott_"/>
    <tableColumn id="21" xr3:uid="{00000000-0010-0000-0300-000015000000}" name="nov_"/>
    <tableColumn id="22" xr3:uid="{00000000-0010-0000-0300-000016000000}" name="dic_"/>
    <tableColumn id="23" xr3:uid="{00000000-0010-0000-0300-000017000000}" name="tipo risorsa_" dataDxfId="20">
      <calculatedColumnFormula>tabSuperdettagli[[#This Row],[PROJ CODE]]</calculatedColumnFormula>
    </tableColumn>
    <tableColumn id="24" xr3:uid="{00000000-0010-0000-0300-000018000000}" name="Resp 1°liv_" dataDxfId="19">
      <calculatedColumnFormula>tabSuperdettagli[[#This Row],[Resp 2°liv]]&amp;""</calculatedColumnFormula>
    </tableColumn>
    <tableColumn id="25" xr3:uid="{00000000-0010-0000-0300-000019000000}" name="EngUnit area cluster 1_" dataDxfId="18">
      <calculatedColumnFormula>INDEX(     tab_resp1liv[EngUnit area cluster 1_],
                    MATCH(   SUBSTITUTE(tabSuperdettagli[[#This Row],[Resp 2°liv]],  " ", ""),
                                      tab_resp1liv[SearchKey],0))</calculatedColumnFormula>
    </tableColumn>
    <tableColumn id="26" xr3:uid="{00000000-0010-0000-0300-00001A000000}" name="WBS description_" dataDxfId="17">
      <calculatedColumnFormula>tabSuperdettagli[[#This Row],[WBS Element]]&amp;""</calculatedColumnFormula>
    </tableColumn>
    <tableColumn id="27" xr3:uid="{00000000-0010-0000-0300-00001B000000}" name="WBE description_" dataDxfId="16">
      <calculatedColumnFormula>tabSuperdettagli[[#This Row],[09.2025]]</calculatedColumnFormula>
    </tableColumn>
    <tableColumn id="28" xr3:uid="{00000000-0010-0000-0300-00001C000000}" name="WBS D description_" dataDxfId="15"/>
    <tableColumn id="29" xr3:uid="{00000000-0010-0000-0300-00001D000000}" name="WBS M description_" dataDxfId="14">
      <calculatedColumnFormula>IF( tabSuperdettagli[[#This Row],[ProjType_]]="M",  IF(  AND(tabSuperdettagli[[#This Row],[Resp 1°liv_]]="Guidotti C.", tabSuperdettagli[[#This Row],[WBE description_]]="Machine Mgmt"), "Documentation", tabSuperdettagli[[#This Row],[WBE description_]]),  "" )</calculatedColumnFormula>
    </tableColumn>
    <tableColumn id="30" xr3:uid="{00000000-0010-0000-0300-00001E000000}" name="WBE per WBS-K" dataDxfId="13">
      <calculatedColumnFormula>LEFT(tabSuperdettagli[[#This Row],[Network]], 18 )</calculatedColumnFormula>
    </tableColumn>
    <tableColumn id="31" xr3:uid="{00000000-0010-0000-0300-00001F000000}" name="Sender Cost Center"/>
    <tableColumn id="32" xr3:uid="{00000000-0010-0000-0300-000020000000}" name="Personnel Number"/>
    <tableColumn id="33" xr3:uid="{00000000-0010-0000-0300-000021000000}" name="Last name First name"/>
    <tableColumn id="34" xr3:uid="{00000000-0010-0000-0300-000022000000}" name="Project Description"/>
    <tableColumn id="35" xr3:uid="{00000000-0010-0000-0300-000023000000}" name="WBS Element"/>
    <tableColumn id="36" xr3:uid="{00000000-0010-0000-0300-000024000000}" name="Network"/>
    <tableColumn id="37" xr3:uid="{00000000-0010-0000-0300-000025000000}" name="Operation/Activity"/>
    <tableColumn id="38" xr3:uid="{00000000-0010-0000-0300-000026000000}" name="Acct assgnt text"/>
    <tableColumn id="39" xr3:uid="{00000000-0010-0000-0300-000027000000}" name="WBS Element - Project Definition (Text)"/>
    <tableColumn id="40" xr3:uid="{00000000-0010-0000-0300-000028000000}" name="Network descr"/>
    <tableColumn id="41" xr3:uid="{00000000-0010-0000-0300-000029000000}" name="PROJ CODE"/>
    <tableColumn id="42" xr3:uid="{00000000-0010-0000-0300-00002A000000}" name="INT/EST"/>
    <tableColumn id="43" xr3:uid="{00000000-0010-0000-0300-00002B000000}" name="Raggr. X Struttura"/>
    <tableColumn id="44" xr3:uid="{00000000-0010-0000-0300-00002C000000}" name="MESE"/>
    <tableColumn id="45" xr3:uid="{00000000-0010-0000-0300-00002D000000}" name="Resp 2°liv"/>
    <tableColumn id="46" xr3:uid="{00000000-0010-0000-0300-00002E000000}" name="CDC bdg"/>
    <tableColumn id="47" xr3:uid="{00000000-0010-0000-0300-00002F000000}" name="Resp 1°liv"/>
    <tableColumn id="48" xr3:uid="{00000000-0010-0000-0300-000030000000}" name="Resp DT"/>
    <tableColumn id="49" xr3:uid="{00000000-0010-0000-0300-000031000000}" name="TIPO REP"/>
    <tableColumn id="50" xr3:uid="{00000000-0010-0000-0300-000032000000}" name="Bus Area GDLT"/>
    <tableColumn id="51" xr3:uid="{00000000-0010-0000-0300-000033000000}" name="Bus Area_2"/>
    <tableColumn id="52" xr3:uid="{00000000-0010-0000-0300-000034000000}" name="tipo progetto"/>
    <tableColumn id="53" xr3:uid="{00000000-0010-0000-0300-000035000000}" name="Proj name"/>
    <tableColumn id="54" xr3:uid="{00000000-0010-0000-0300-000036000000}" name="machine code"/>
    <tableColumn id="55" xr3:uid="{00000000-0010-0000-0300-000037000000}" name="product area"/>
    <tableColumn id="56" xr3:uid="{00000000-0010-0000-0300-000038000000}" name="Resp del Prodotto"/>
    <tableColumn id="57" xr3:uid="{00000000-0010-0000-0300-000039000000}" name="Area di bdg"/>
    <tableColumn id="58" xr3:uid="{00000000-0010-0000-0300-00003A000000}" name="Macchina"/>
    <tableColumn id="59" xr3:uid="{00000000-0010-0000-0300-00003B000000}" name="Sottotipo"/>
    <tableColumn id="60" xr3:uid="{00000000-0010-0000-0300-00003C000000}" name="Cluster"/>
    <tableColumn id="61" xr3:uid="{00000000-0010-0000-0300-00003D000000}" name="Quadrante"/>
    <tableColumn id="62" xr3:uid="{00000000-0010-0000-0300-00003E000000}" name="01.2025"/>
    <tableColumn id="63" xr3:uid="{00000000-0010-0000-0300-00003F000000}" name="02.2025"/>
    <tableColumn id="64" xr3:uid="{00000000-0010-0000-0300-000040000000}" name="03.2025"/>
    <tableColumn id="65" xr3:uid="{00000000-0010-0000-0300-000041000000}" name="04.2025"/>
    <tableColumn id="66" xr3:uid="{00000000-0010-0000-0300-000042000000}" name="05.2025"/>
    <tableColumn id="67" xr3:uid="{00000000-0010-0000-0300-000043000000}" name="06.2025"/>
    <tableColumn id="68" xr3:uid="{00000000-0010-0000-0300-000044000000}" name="07.2025"/>
    <tableColumn id="69" xr3:uid="{00000000-0010-0000-0300-000045000000}" name="08.2025"/>
    <tableColumn id="70" xr3:uid="{00000000-0010-0000-0300-000046000000}" name="09.2025"/>
    <tableColumn id="71" xr3:uid="{00000000-0010-0000-0300-000047000000}" name="10.2025"/>
    <tableColumn id="72" xr3:uid="{00000000-0010-0000-0300-000048000000}" name="11.2025"/>
    <tableColumn id="73" xr3:uid="{00000000-0010-0000-0300-000049000000}" name="12.2025"/>
    <tableColumn id="74" xr3:uid="{00000000-0010-0000-0300-00004A000000}" name="Total"/>
    <tableColumn id="75" xr3:uid="{00000000-0010-0000-0300-00004B000000}" name="WBE Status"/>
    <tableColumn id="76" xr3:uid="{00000000-0010-0000-0300-00004C000000}" name="competence date "/>
    <tableColumn id="77" xr3:uid="{00000000-0010-0000-0300-00004D000000}" name="Proj. Type "/>
    <tableColumn id="78" xr3:uid="{00000000-0010-0000-0300-00004E000000}" name="WBE Name"/>
    <tableColumn id="79" xr3:uid="{00000000-0010-0000-0300-00004F000000}" name="Engineering Area"/>
    <tableColumn id="80" xr3:uid="{00000000-0010-0000-0300-000050000000}" name="Data Accettazione"/>
    <tableColumn id="81" xr3:uid="{00000000-0010-0000-0300-000051000000}" name="Data Uscita GD"/>
    <tableColumn id="82" xr3:uid="{056410C7-2D0B-4A3C-92A3-B542CB575802}" name="REP UT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4000000}" name="tab_ProjType" displayName="tab_ProjType" ref="F1:I15" totalsRowShown="0" headerRowDxfId="12">
  <autoFilter ref="F1:I15" xr:uid="{00000000-0009-0000-0100-000007000000}"/>
  <tableColumns count="4">
    <tableColumn id="1" xr3:uid="{00000000-0010-0000-0400-000001000000}" name="Macro area" dataDxfId="11"/>
    <tableColumn id="2" xr3:uid="{00000000-0010-0000-0400-000002000000}" name="ProjType"/>
    <tableColumn id="3" xr3:uid="{00000000-0010-0000-0400-000003000000}" name="ProjType Cluster 1" dataDxfId="10"/>
    <tableColumn id="4" xr3:uid="{00000000-0010-0000-0400-000004000000}" name="ProjType Cluster 2" dataDxfId="9" dataCellStyle="Normal 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5000000}" name="tab_ProjTypeCluster" displayName="tab_ProjTypeCluster" ref="F1:I21" totalsRowShown="0">
  <autoFilter ref="F1:I21" xr:uid="{00000000-0009-0000-0100-000008000000}"/>
  <tableColumns count="4">
    <tableColumn id="1" xr3:uid="{00000000-0010-0000-0500-000001000000}" name="Macro area"/>
    <tableColumn id="2" xr3:uid="{00000000-0010-0000-0500-000002000000}" name="ProjType"/>
    <tableColumn id="3" xr3:uid="{00000000-0010-0000-0500-000003000000}" name="ProjType Cluster 1" dataDxfId="8"/>
    <tableColumn id="4" xr3:uid="{00000000-0010-0000-0500-000004000000}" name="ProjType Cluster 2" dataDxfId="7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6000000}" name="tab_resp1liv" displayName="tab_resp1liv" ref="A1:C27" totalsRowShown="0">
  <autoFilter ref="A1:C27" xr:uid="{00000000-0009-0000-0100-000009000000}"/>
  <tableColumns count="3">
    <tableColumn id="3" xr3:uid="{00000000-0010-0000-0600-000003000000}" name="SearchKey" dataDxfId="6">
      <calculatedColumnFormula>SUBSTITUTE(tab_resp1liv[[#This Row],[Resp 1°liv2]], " ", "")</calculatedColumnFormula>
    </tableColumn>
    <tableColumn id="1" xr3:uid="{00000000-0010-0000-0600-000001000000}" name="Resp 1°liv2"/>
    <tableColumn id="2" xr3:uid="{00000000-0010-0000-0600-000002000000}" name="EngUnit area cluster 1_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7000000}" name="tab_progettiD" displayName="tab_progettiD" ref="A3:B363" totalsRowShown="0">
  <autoFilter ref="A3:B363" xr:uid="{00000000-0009-0000-0100-00000A000000}"/>
  <sortState xmlns:xlrd2="http://schemas.microsoft.com/office/spreadsheetml/2017/richdata2" ref="A4:B355">
    <sortCondition ref="A3:A355"/>
  </sortState>
  <tableColumns count="2">
    <tableColumn id="1" xr3:uid="{00000000-0010-0000-0700-000001000000}" name="WBS"/>
    <tableColumn id="2" xr3:uid="{00000000-0010-0000-0700-000002000000}" name="PROJECT HIGHLIGHT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8000000}" name="tblIndexPowerpoint7" displayName="tblIndexPowerpoint7" ref="A3:F82" totalsRowShown="0" headerRowDxfId="5">
  <autoFilter ref="A3:F82" xr:uid="{00000000-0009-0000-0100-000006000000}"/>
  <tableColumns count="6">
    <tableColumn id="1" xr3:uid="{00000000-0010-0000-0800-000001000000}" name="Powerpoint File"/>
    <tableColumn id="2" xr3:uid="{00000000-0010-0000-0800-000002000000}" name="Title"/>
    <tableColumn id="3" xr3:uid="{00000000-0010-0000-0800-000003000000}" name="Content 1" dataDxfId="4"/>
    <tableColumn id="4" xr3:uid="{00000000-0010-0000-0800-000004000000}" name="Content 2" dataDxfId="3"/>
    <tableColumn id="5" xr3:uid="{00000000-0010-0000-0800-000005000000}" name="Content 3" dataDxfId="2"/>
    <tableColumn id="6" xr3:uid="{00000000-0010-0000-0800-000006000000}" name="Layout" dataDxfId="1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9000000}" name="tblFieldFilters1213" displayName="tblFieldFilters1213" ref="K3:L15" totalsRowShown="0" headerRowDxfId="0">
  <autoFilter ref="K3:L15" xr:uid="{00000000-0009-0000-0100-00000C000000}"/>
  <sortState xmlns:xlrd2="http://schemas.microsoft.com/office/spreadsheetml/2017/richdata2" ref="K4:L15">
    <sortCondition ref="K4:K15"/>
    <sortCondition ref="L4:L15"/>
  </sortState>
  <tableColumns count="2">
    <tableColumn id="3" xr3:uid="{00000000-0010-0000-0900-000003000000}" name="TABLE"/>
    <tableColumn id="1" xr3:uid="{00000000-0010-0000-0900-000001000000}" name="Nome colonna filtrabile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table" Target="../tables/table9.xml"/><Relationship Id="rId1" Type="http://schemas.openxmlformats.org/officeDocument/2006/relationships/drawing" Target="../drawings/drawing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 tint="0.79998168889431442"/>
  </sheetPr>
  <dimension ref="A1:S3"/>
  <sheetViews>
    <sheetView zoomScaleNormal="100" workbookViewId="0">
      <selection sqref="A1:J1"/>
    </sheetView>
  </sheetViews>
  <sheetFormatPr defaultRowHeight="15" x14ac:dyDescent="0.25"/>
  <cols>
    <col min="1" max="1" width="18.42578125" bestFit="1" customWidth="1"/>
    <col min="2" max="2" width="16.28515625" bestFit="1" customWidth="1"/>
    <col min="3" max="3" width="12.140625" bestFit="1" customWidth="1"/>
    <col min="4" max="5" width="20.5703125" bestFit="1" customWidth="1"/>
    <col min="6" max="6" width="18" bestFit="1" customWidth="1"/>
    <col min="7" max="7" width="23.85546875" bestFit="1" customWidth="1"/>
    <col min="8" max="8" width="11.28515625" bestFit="1" customWidth="1"/>
    <col min="9" max="9" width="11" bestFit="1" customWidth="1"/>
    <col min="10" max="10" width="8.140625" bestFit="1" customWidth="1"/>
    <col min="11" max="11" width="15.85546875" customWidth="1"/>
    <col min="12" max="12" width="15.85546875" bestFit="1" customWidth="1"/>
    <col min="13" max="14" width="8.5703125" bestFit="1" customWidth="1"/>
    <col min="15" max="15" width="20.85546875" bestFit="1" customWidth="1"/>
    <col min="16" max="17" width="9.5703125" bestFit="1" customWidth="1"/>
    <col min="18" max="18" width="19.28515625" bestFit="1" customWidth="1"/>
    <col min="19" max="19" width="16" bestFit="1" customWidth="1"/>
  </cols>
  <sheetData>
    <row r="1" spans="1:19" x14ac:dyDescent="0.25">
      <c r="A1" s="129" t="s">
        <v>0</v>
      </c>
      <c r="B1" s="130"/>
      <c r="C1" s="130"/>
      <c r="D1" s="130"/>
      <c r="E1" s="130"/>
      <c r="F1" s="130"/>
      <c r="G1" s="130"/>
      <c r="H1" s="130"/>
      <c r="I1" s="130"/>
      <c r="J1" s="131"/>
      <c r="K1" s="132" t="s">
        <v>1</v>
      </c>
      <c r="L1" s="133"/>
      <c r="M1" s="133"/>
      <c r="N1" s="133"/>
      <c r="O1" s="133"/>
      <c r="P1" s="133"/>
      <c r="Q1" s="133"/>
      <c r="R1" s="133"/>
      <c r="S1" s="133"/>
    </row>
    <row r="2" spans="1:19" x14ac:dyDescent="0.25">
      <c r="A2" s="68" t="s">
        <v>2</v>
      </c>
      <c r="B2" s="68" t="s">
        <v>3</v>
      </c>
      <c r="C2" s="68" t="s">
        <v>4</v>
      </c>
      <c r="D2" s="68" t="s">
        <v>5</v>
      </c>
      <c r="E2" s="68" t="s">
        <v>6</v>
      </c>
      <c r="F2" s="68" t="s">
        <v>7</v>
      </c>
      <c r="G2" s="68" t="s">
        <v>8</v>
      </c>
      <c r="H2" s="68" t="s">
        <v>9</v>
      </c>
      <c r="I2" s="68" t="s">
        <v>10</v>
      </c>
      <c r="J2" s="68" t="s">
        <v>11</v>
      </c>
      <c r="K2" s="87" t="s">
        <v>205</v>
      </c>
      <c r="L2" s="87" t="s">
        <v>12</v>
      </c>
      <c r="M2" s="87" t="s">
        <v>13</v>
      </c>
      <c r="N2" s="87" t="s">
        <v>14</v>
      </c>
      <c r="O2" s="87" t="s">
        <v>15</v>
      </c>
      <c r="P2" s="87" t="s">
        <v>16</v>
      </c>
      <c r="Q2" s="87" t="s">
        <v>17</v>
      </c>
      <c r="R2" s="87" t="s">
        <v>18</v>
      </c>
      <c r="S2" s="87" t="s">
        <v>19</v>
      </c>
    </row>
    <row r="3" spans="1:19" x14ac:dyDescent="0.25">
      <c r="A3" t="str">
        <f>IF(AND(tblBudget[[#This Row],[Business ]]&gt;"",tblBudget[[#This Row],[CATEGORIA]]=""),"no","sì")</f>
        <v>sì</v>
      </c>
      <c r="B3" t="str">
        <f>tblBudget[[#This Row],[Business ]]</f>
        <v>Business Sample</v>
      </c>
      <c r="C3" t="e">
        <f>INDEX(tab_ProjTypeCluster[ProjType],MATCH(tblBudget[[#This Row],[CATEGORIA]],tab_ProjTypeCluster[Macro area],0))</f>
        <v>#N/A</v>
      </c>
      <c r="D3" t="e">
        <f>INDEX(tab_ProjTypeCluster[ProjType Cluster 1],MATCH(tblBudget[[#This Row],[CATEGORIA]],tab_ProjTypeCluster[Macro area],0))</f>
        <v>#N/A</v>
      </c>
      <c r="E3" t="e">
        <f>INDEX(tab_ProjTypeCluster[ProjType Cluster 2],MATCH(tblBudget[[#This Row],[CATEGORIA]],tab_ProjTypeCluster[Macro area],0))</f>
        <v>#N/A</v>
      </c>
      <c r="G3" t="e">
        <f>INDEX(tab_resp1liv[EngUnit area cluster 1_],MATCH(SUBSTITUTE(SUBSTITUTE(#REF!,"(ai)","")," ",""),tab_resp1liv[SearchKey],0))</f>
        <v>#REF!</v>
      </c>
      <c r="H3">
        <f>tblBudget[[#This Row],[EST]]+tblBudget[[#This Row],[EST3]]</f>
        <v>15</v>
      </c>
      <c r="I3">
        <f>tblBudget[[#This Row],[INT]]+tblBudget[[#This Row],[INT2]]</f>
        <v>25</v>
      </c>
      <c r="J3">
        <f>tblBudget[[#This Row],[TOTALE TOT]]</f>
        <v>80</v>
      </c>
      <c r="K3" t="s">
        <v>236</v>
      </c>
      <c r="L3" t="s">
        <v>237</v>
      </c>
      <c r="M3">
        <v>10</v>
      </c>
      <c r="N3">
        <v>12</v>
      </c>
      <c r="O3">
        <v>22</v>
      </c>
      <c r="P3">
        <v>15</v>
      </c>
      <c r="Q3">
        <v>3</v>
      </c>
      <c r="R3">
        <v>18</v>
      </c>
      <c r="S3">
        <v>80</v>
      </c>
    </row>
  </sheetData>
  <mergeCells count="2">
    <mergeCell ref="A1:J1"/>
    <mergeCell ref="K1:S1"/>
  </mergeCells>
  <pageMargins left="0.7" right="0.7" top="0.75" bottom="0.75" header="0.3" footer="0.3"/>
  <pageSetup paperSize="9"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 tint="0.79998168889431442"/>
  </sheetPr>
  <dimension ref="A1:X3"/>
  <sheetViews>
    <sheetView zoomScaleNormal="100" workbookViewId="0">
      <selection sqref="A1:O1"/>
    </sheetView>
  </sheetViews>
  <sheetFormatPr defaultRowHeight="15" x14ac:dyDescent="0.25"/>
  <cols>
    <col min="1" max="1" width="17.42578125" bestFit="1" customWidth="1"/>
    <col min="2" max="3" width="19.28515625" bestFit="1" customWidth="1"/>
    <col min="4" max="4" width="17.140625" bestFit="1" customWidth="1"/>
    <col min="5" max="5" width="14.5703125" bestFit="1" customWidth="1"/>
    <col min="6" max="6" width="17.28515625" bestFit="1" customWidth="1"/>
    <col min="7" max="7" width="17.42578125" bestFit="1" customWidth="1"/>
    <col min="8" max="8" width="18.42578125" bestFit="1" customWidth="1"/>
    <col min="9" max="9" width="16.5703125" bestFit="1" customWidth="1"/>
    <col min="10" max="10" width="16.7109375" bestFit="1" customWidth="1"/>
    <col min="11" max="11" width="17.85546875" bestFit="1" customWidth="1"/>
    <col min="12" max="12" width="16.42578125" bestFit="1" customWidth="1"/>
    <col min="13" max="13" width="17" bestFit="1" customWidth="1"/>
    <col min="14" max="14" width="19.5703125" bestFit="1" customWidth="1"/>
    <col min="15" max="15" width="18.140625" bestFit="1" customWidth="1"/>
    <col min="16" max="16" width="17.140625" bestFit="1" customWidth="1"/>
    <col min="17" max="17" width="16.28515625" bestFit="1" customWidth="1"/>
    <col min="18" max="18" width="9.42578125" bestFit="1" customWidth="1"/>
    <col min="19" max="19" width="9.5703125" bestFit="1" customWidth="1"/>
    <col min="20" max="20" width="20.85546875" bestFit="1" customWidth="1"/>
    <col min="21" max="21" width="10.42578125" bestFit="1" customWidth="1"/>
    <col min="22" max="22" width="10.5703125" bestFit="1" customWidth="1"/>
    <col min="23" max="23" width="19.42578125" bestFit="1" customWidth="1"/>
    <col min="24" max="24" width="16.7109375" bestFit="1" customWidth="1"/>
  </cols>
  <sheetData>
    <row r="1" spans="1:24" x14ac:dyDescent="0.25">
      <c r="A1" s="129" t="s">
        <v>0</v>
      </c>
      <c r="B1" s="130"/>
      <c r="C1" s="130"/>
      <c r="D1" s="130"/>
      <c r="E1" s="130"/>
      <c r="F1" s="130"/>
      <c r="G1" s="130"/>
      <c r="H1" s="130"/>
      <c r="I1" s="130"/>
      <c r="J1" s="130"/>
      <c r="K1" s="130"/>
      <c r="L1" s="130"/>
      <c r="M1" s="130"/>
      <c r="N1" s="130"/>
      <c r="O1" s="131"/>
      <c r="P1" s="134" t="s">
        <v>1</v>
      </c>
      <c r="Q1" s="134"/>
      <c r="R1" s="134"/>
      <c r="S1" s="134"/>
      <c r="T1" s="134"/>
      <c r="U1" s="134"/>
      <c r="V1" s="134"/>
      <c r="W1" s="134"/>
      <c r="X1" s="135"/>
    </row>
    <row r="2" spans="1:24" x14ac:dyDescent="0.25">
      <c r="A2" s="68" t="s">
        <v>20</v>
      </c>
      <c r="B2" s="68" t="s">
        <v>21</v>
      </c>
      <c r="C2" s="68" t="s">
        <v>22</v>
      </c>
      <c r="D2" s="68" t="s">
        <v>23</v>
      </c>
      <c r="E2" s="68" t="s">
        <v>24</v>
      </c>
      <c r="F2" s="68" t="s">
        <v>25</v>
      </c>
      <c r="G2" s="68" t="s">
        <v>26</v>
      </c>
      <c r="H2" s="68" t="s">
        <v>27</v>
      </c>
      <c r="I2" s="68" t="s">
        <v>28</v>
      </c>
      <c r="J2" s="68" t="s">
        <v>29</v>
      </c>
      <c r="K2" s="68" t="s">
        <v>30</v>
      </c>
      <c r="L2" s="68" t="s">
        <v>31</v>
      </c>
      <c r="M2" s="68" t="s">
        <v>32</v>
      </c>
      <c r="N2" s="68" t="s">
        <v>33</v>
      </c>
      <c r="O2" s="72" t="s">
        <v>34</v>
      </c>
      <c r="P2" s="87" t="s">
        <v>205</v>
      </c>
      <c r="Q2" s="87" t="s">
        <v>12</v>
      </c>
      <c r="R2" s="87" t="s">
        <v>13</v>
      </c>
      <c r="S2" s="87" t="s">
        <v>14</v>
      </c>
      <c r="T2" s="87" t="s">
        <v>15</v>
      </c>
      <c r="U2" s="87" t="s">
        <v>16</v>
      </c>
      <c r="V2" s="87" t="s">
        <v>17</v>
      </c>
      <c r="W2" s="87" t="s">
        <v>18</v>
      </c>
      <c r="X2" s="87" t="s">
        <v>19</v>
      </c>
    </row>
    <row r="3" spans="1:24" x14ac:dyDescent="0.25">
      <c r="A3" t="str">
        <f>IF(AND(tblForecast[[#This Row],[Business ]]&gt;"",tblForecast[[#This Row],[CATEGORIA]]=""),"no","sì")</f>
        <v>sì</v>
      </c>
      <c r="B3" t="e">
        <f>IF(tblForecast[[#This Row],[da considerare?]]="sì",INDEX(tab_ProjType[ProjType Cluster 1],MATCH(tblForecast[[#This Row],[CATEGORIA TMP]],tab_ProjType[Macro area],0)),"")</f>
        <v>#N/A</v>
      </c>
      <c r="C3" t="e">
        <f>IF(tblForecast[[#This Row],[da considerare?]]="sì",INDEX(tab_ProjType[ProjType Cluster 2],MATCH(tblForecast[[#This Row],[CATEGORIA TMP]],tab_ProjType[Macro area],0)),"")</f>
        <v>#N/A</v>
      </c>
      <c r="D3" t="str">
        <f>IF(tblForecast[[#This Row],[Business ]]&gt;"",tblForecast[[#This Row],[Business ]],D2)</f>
        <v>Business Sample</v>
      </c>
      <c r="E3" t="str">
        <f>tblForecast[[#This Row],[CATEGORIA TMP]]&amp;""</f>
        <v>Categoria A</v>
      </c>
      <c r="F3">
        <f>tblForecast[[#This Row],[INT]]</f>
        <v>10</v>
      </c>
      <c r="G3">
        <f>tblForecast[[#This Row],[EST]]</f>
        <v>12</v>
      </c>
      <c r="H3">
        <f>tblForecast[[#This Row],[totale Gamberini]]</f>
        <v>22</v>
      </c>
      <c r="I3">
        <f>tblForecast[[#This Row],[INT2]]</f>
        <v>15</v>
      </c>
      <c r="J3">
        <f>tblForecast[[#This Row],[EST3]]</f>
        <v>3</v>
      </c>
      <c r="K3">
        <f>tblForecast[[#This Row],[totale Lanzarini]]</f>
        <v>18</v>
      </c>
      <c r="L3">
        <f>tblForecast[[#This Row],[INT]]+tblForecast[[#This Row],[INT2]]</f>
        <v>25</v>
      </c>
      <c r="M3">
        <f>tblForecast[[#This Row],[EST]]+tblForecast[[#This Row],[EST3]]</f>
        <v>15</v>
      </c>
      <c r="N3">
        <f>tblForecast[[#This Row],[TOTALE TOT]]</f>
        <v>80</v>
      </c>
      <c r="O3" t="str">
        <f>IF(LEFT(tblForecast[[#This Row],[CATEGORIA]],3)="R&amp;D","R&amp;D",tblForecast[[#This Row],[CATEGORIA]])</f>
        <v>Categoria A</v>
      </c>
      <c r="P3" t="s">
        <v>236</v>
      </c>
      <c r="Q3" t="s">
        <v>237</v>
      </c>
      <c r="R3">
        <v>10</v>
      </c>
      <c r="S3">
        <v>12</v>
      </c>
      <c r="T3">
        <v>22</v>
      </c>
      <c r="U3">
        <v>15</v>
      </c>
      <c r="V3">
        <v>3</v>
      </c>
      <c r="W3">
        <v>18</v>
      </c>
      <c r="X3">
        <v>80</v>
      </c>
    </row>
  </sheetData>
  <mergeCells count="2">
    <mergeCell ref="P1:X1"/>
    <mergeCell ref="A1:O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 tint="0.79998168889431442"/>
  </sheetPr>
  <dimension ref="A1:L2"/>
  <sheetViews>
    <sheetView zoomScaleNormal="100" workbookViewId="0"/>
  </sheetViews>
  <sheetFormatPr defaultRowHeight="15" x14ac:dyDescent="0.25"/>
  <sheetData>
    <row r="1" spans="1:12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</row>
    <row r="2" spans="1:12" x14ac:dyDescent="0.25">
      <c r="A2" s="53">
        <v>0.15</v>
      </c>
      <c r="B2" s="53">
        <v>0.1</v>
      </c>
      <c r="C2" s="53">
        <v>0.05</v>
      </c>
      <c r="D2" s="53">
        <v>0.1</v>
      </c>
      <c r="E2" s="53">
        <v>0.15</v>
      </c>
      <c r="F2" s="53">
        <v>0.2</v>
      </c>
      <c r="G2" s="53">
        <v>0.25</v>
      </c>
      <c r="H2" s="53">
        <v>0.2</v>
      </c>
      <c r="I2" s="53">
        <v>0.15</v>
      </c>
      <c r="J2" s="53">
        <v>0.1</v>
      </c>
      <c r="K2" s="53">
        <v>0.05</v>
      </c>
      <c r="L2" s="53">
        <v>0.1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 tint="0.79998168889431442"/>
  </sheetPr>
  <dimension ref="A1:CD32"/>
  <sheetViews>
    <sheetView tabSelected="1" zoomScaleNormal="100" workbookViewId="0">
      <selection activeCell="B18" sqref="B18"/>
    </sheetView>
  </sheetViews>
  <sheetFormatPr defaultRowHeight="15" x14ac:dyDescent="0.25"/>
  <cols>
    <col min="1" max="1" width="20.7109375" bestFit="1" customWidth="1"/>
    <col min="2" max="2" width="11.28515625" bestFit="1" customWidth="1"/>
    <col min="3" max="3" width="54.140625" bestFit="1" customWidth="1"/>
    <col min="4" max="4" width="10.7109375" bestFit="1" customWidth="1"/>
    <col min="5" max="5" width="14.42578125" bestFit="1" customWidth="1"/>
    <col min="6" max="6" width="16.28515625" bestFit="1" customWidth="1"/>
    <col min="7" max="8" width="22.85546875" bestFit="1" customWidth="1"/>
    <col min="9" max="9" width="27.85546875" bestFit="1" customWidth="1"/>
    <col min="10" max="10" width="10.140625" bestFit="1" customWidth="1"/>
    <col min="11" max="11" width="9.85546875" bestFit="1" customWidth="1"/>
    <col min="12" max="12" width="9.5703125" bestFit="1" customWidth="1"/>
    <col min="13" max="13" width="10" bestFit="1" customWidth="1"/>
    <col min="14" max="14" width="9.42578125" bestFit="1" customWidth="1"/>
    <col min="15" max="15" width="10.28515625" bestFit="1" customWidth="1"/>
    <col min="16" max="17" width="9.28515625" bestFit="1" customWidth="1"/>
    <col min="18" max="18" width="9.7109375" bestFit="1" customWidth="1"/>
    <col min="19" max="19" width="9.28515625" bestFit="1" customWidth="1"/>
    <col min="20" max="20" width="9.140625" bestFit="1" customWidth="1"/>
    <col min="21" max="21" width="9.85546875" bestFit="1" customWidth="1"/>
    <col min="22" max="22" width="9.140625" bestFit="1" customWidth="1"/>
    <col min="23" max="23" width="16.42578125" bestFit="1" customWidth="1"/>
    <col min="24" max="24" width="15.140625" bestFit="1" customWidth="1"/>
    <col min="25" max="25" width="26.140625" bestFit="1" customWidth="1"/>
    <col min="26" max="27" width="21.28515625" bestFit="1" customWidth="1"/>
    <col min="28" max="28" width="23.140625" bestFit="1" customWidth="1"/>
    <col min="29" max="29" width="23.7109375" bestFit="1" customWidth="1"/>
    <col min="30" max="30" width="19.7109375" bestFit="1" customWidth="1"/>
    <col min="31" max="31" width="22.85546875" bestFit="1" customWidth="1"/>
    <col min="32" max="32" width="22.5703125" bestFit="1" customWidth="1"/>
    <col min="33" max="33" width="24.42578125" bestFit="1" customWidth="1"/>
    <col min="34" max="34" width="22.7109375" bestFit="1" customWidth="1"/>
    <col min="35" max="35" width="17.7109375" bestFit="1" customWidth="1"/>
    <col min="36" max="36" width="13.28515625" bestFit="1" customWidth="1"/>
    <col min="37" max="37" width="22.42578125" bestFit="1" customWidth="1"/>
    <col min="38" max="38" width="19.42578125" bestFit="1" customWidth="1"/>
    <col min="39" max="39" width="19.5703125" bestFit="1" customWidth="1"/>
    <col min="40" max="40" width="18.5703125" bestFit="1" customWidth="1"/>
    <col min="41" max="41" width="15.28515625" bestFit="1" customWidth="1"/>
    <col min="42" max="42" width="12.42578125" bestFit="1" customWidth="1"/>
    <col min="43" max="43" width="21" bestFit="1" customWidth="1"/>
    <col min="44" max="44" width="10.42578125" bestFit="1" customWidth="1"/>
    <col min="45" max="45" width="14.140625" bestFit="1" customWidth="1"/>
    <col min="46" max="46" width="12.85546875" bestFit="1" customWidth="1"/>
    <col min="47" max="47" width="14.140625" bestFit="1" customWidth="1"/>
    <col min="48" max="48" width="12.5703125" bestFit="1" customWidth="1"/>
    <col min="49" max="49" width="13.42578125" bestFit="1" customWidth="1"/>
    <col min="50" max="50" width="18.42578125" bestFit="1" customWidth="1"/>
    <col min="51" max="51" width="15.28515625" bestFit="1" customWidth="1"/>
    <col min="52" max="52" width="17.28515625" bestFit="1" customWidth="1"/>
    <col min="53" max="53" width="14.5703125" bestFit="1" customWidth="1"/>
    <col min="54" max="54" width="18" bestFit="1" customWidth="1"/>
    <col min="55" max="55" width="16.7109375" bestFit="1" customWidth="1"/>
    <col min="56" max="56" width="21.5703125" bestFit="1" customWidth="1"/>
    <col min="57" max="57" width="15.5703125" bestFit="1" customWidth="1"/>
    <col min="58" max="58" width="14" bestFit="1" customWidth="1"/>
    <col min="59" max="59" width="13.85546875" bestFit="1" customWidth="1"/>
    <col min="60" max="60" width="11.85546875" bestFit="1" customWidth="1"/>
    <col min="61" max="61" width="15" bestFit="1" customWidth="1"/>
    <col min="62" max="69" width="13.5703125" bestFit="1" customWidth="1"/>
    <col min="70" max="73" width="12.140625" bestFit="1" customWidth="1"/>
    <col min="74" max="74" width="10" bestFit="1" customWidth="1"/>
    <col min="75" max="75" width="15.5703125" bestFit="1" customWidth="1"/>
    <col min="76" max="76" width="21.5703125" bestFit="1" customWidth="1"/>
    <col min="77" max="77" width="14.85546875" bestFit="1" customWidth="1"/>
    <col min="78" max="78" width="15.42578125" bestFit="1" customWidth="1"/>
    <col min="79" max="79" width="20.85546875" bestFit="1" customWidth="1"/>
    <col min="80" max="80" width="21.5703125" bestFit="1" customWidth="1"/>
    <col min="81" max="81" width="18.7109375" bestFit="1" customWidth="1"/>
    <col min="82" max="82" width="11.7109375" bestFit="1" customWidth="1"/>
  </cols>
  <sheetData>
    <row r="1" spans="1:82" ht="15.75" thickBot="1" x14ac:dyDescent="0.3">
      <c r="A1" s="129" t="s">
        <v>0</v>
      </c>
      <c r="B1" s="130"/>
      <c r="C1" s="130"/>
      <c r="D1" s="130"/>
      <c r="E1" s="130"/>
      <c r="F1" s="130"/>
      <c r="G1" s="130"/>
      <c r="H1" s="130"/>
      <c r="I1" s="130"/>
      <c r="J1" s="130"/>
      <c r="K1" s="130"/>
      <c r="L1" s="130"/>
      <c r="M1" s="130"/>
      <c r="N1" s="130"/>
      <c r="O1" s="130"/>
      <c r="P1" s="130"/>
      <c r="Q1" s="130"/>
      <c r="R1" s="130"/>
      <c r="S1" s="130"/>
      <c r="T1" s="130"/>
      <c r="U1" s="130"/>
      <c r="V1" s="130"/>
      <c r="W1" s="130"/>
      <c r="X1" s="130"/>
      <c r="Y1" s="130"/>
      <c r="Z1" s="130"/>
      <c r="AA1" s="130"/>
      <c r="AB1" s="130"/>
      <c r="AC1" s="130"/>
      <c r="AD1" s="131"/>
      <c r="AE1" s="136" t="s">
        <v>1</v>
      </c>
      <c r="AF1" s="137"/>
      <c r="AG1" s="137"/>
      <c r="AH1" s="137"/>
      <c r="AI1" s="137"/>
      <c r="AJ1" s="137"/>
      <c r="AK1" s="137"/>
      <c r="AL1" s="137"/>
      <c r="AM1" s="137"/>
      <c r="AN1" s="137"/>
      <c r="AO1" s="137"/>
      <c r="AP1" s="137"/>
      <c r="AQ1" s="137"/>
      <c r="AR1" s="137"/>
      <c r="AS1" s="137"/>
      <c r="AT1" s="137"/>
      <c r="AU1" s="137"/>
      <c r="AV1" s="137"/>
      <c r="AW1" s="137"/>
      <c r="AX1" s="137"/>
      <c r="AY1" s="137"/>
      <c r="AZ1" s="137"/>
      <c r="BA1" s="137"/>
      <c r="BB1" s="137"/>
      <c r="BC1" s="137"/>
      <c r="BD1" s="137"/>
      <c r="BE1" s="137"/>
      <c r="BF1" s="137"/>
      <c r="BG1" s="137"/>
      <c r="BH1" s="137"/>
      <c r="BI1" s="137"/>
      <c r="BJ1" s="137"/>
      <c r="BK1" s="137"/>
      <c r="BL1" s="137"/>
      <c r="BM1" s="137"/>
      <c r="BN1" s="137"/>
      <c r="BO1" s="137"/>
      <c r="BP1" s="137"/>
      <c r="BQ1" s="137"/>
      <c r="BR1" s="137"/>
      <c r="BS1" s="137"/>
      <c r="BT1" s="137"/>
      <c r="BU1" s="137"/>
      <c r="BV1" s="137"/>
      <c r="BW1" s="137"/>
      <c r="BX1" s="137"/>
      <c r="BY1" s="137"/>
      <c r="BZ1" s="137"/>
      <c r="CA1" s="137"/>
      <c r="CB1" s="137"/>
      <c r="CC1" s="137"/>
      <c r="CD1" s="138"/>
    </row>
    <row r="2" spans="1:82" s="1" customFormat="1" ht="24" x14ac:dyDescent="0.25">
      <c r="A2" s="117" t="s">
        <v>2</v>
      </c>
      <c r="B2" s="117" t="s">
        <v>48</v>
      </c>
      <c r="C2" s="117" t="s">
        <v>49</v>
      </c>
      <c r="D2" s="117" t="s">
        <v>50</v>
      </c>
      <c r="E2" s="117" t="s">
        <v>4</v>
      </c>
      <c r="F2" s="117" t="s">
        <v>51</v>
      </c>
      <c r="G2" s="117" t="s">
        <v>279</v>
      </c>
      <c r="H2" s="117" t="s">
        <v>280</v>
      </c>
      <c r="I2" s="117" t="s">
        <v>281</v>
      </c>
      <c r="J2" s="117" t="s">
        <v>52</v>
      </c>
      <c r="K2" s="117" t="s">
        <v>53</v>
      </c>
      <c r="L2" s="117" t="s">
        <v>54</v>
      </c>
      <c r="M2" s="117" t="s">
        <v>55</v>
      </c>
      <c r="N2" s="117" t="s">
        <v>56</v>
      </c>
      <c r="O2" s="117" t="s">
        <v>57</v>
      </c>
      <c r="P2" s="117" t="s">
        <v>58</v>
      </c>
      <c r="Q2" s="117" t="s">
        <v>59</v>
      </c>
      <c r="R2" s="117" t="s">
        <v>60</v>
      </c>
      <c r="S2" s="117" t="s">
        <v>61</v>
      </c>
      <c r="T2" s="117" t="s">
        <v>62</v>
      </c>
      <c r="U2" s="117" t="s">
        <v>63</v>
      </c>
      <c r="V2" s="117" t="s">
        <v>64</v>
      </c>
      <c r="W2" s="117" t="s">
        <v>65</v>
      </c>
      <c r="X2" s="117" t="s">
        <v>66</v>
      </c>
      <c r="Y2" s="117" t="s">
        <v>8</v>
      </c>
      <c r="Z2" s="117" t="s">
        <v>67</v>
      </c>
      <c r="AA2" s="117" t="s">
        <v>68</v>
      </c>
      <c r="AB2" s="117" t="s">
        <v>69</v>
      </c>
      <c r="AC2" s="117" t="s">
        <v>70</v>
      </c>
      <c r="AD2" s="117" t="s">
        <v>71</v>
      </c>
      <c r="AE2" s="111" t="s">
        <v>244</v>
      </c>
      <c r="AF2" s="111" t="s">
        <v>245</v>
      </c>
      <c r="AG2" s="111" t="s">
        <v>246</v>
      </c>
      <c r="AH2" s="111" t="s">
        <v>247</v>
      </c>
      <c r="AI2" s="111" t="s">
        <v>248</v>
      </c>
      <c r="AJ2" s="111" t="s">
        <v>249</v>
      </c>
      <c r="AK2" s="111" t="s">
        <v>250</v>
      </c>
      <c r="AL2" s="111" t="s">
        <v>251</v>
      </c>
      <c r="AM2" s="112" t="s">
        <v>218</v>
      </c>
      <c r="AN2" s="111" t="s">
        <v>219</v>
      </c>
      <c r="AO2" s="111" t="s">
        <v>252</v>
      </c>
      <c r="AP2" s="111" t="s">
        <v>220</v>
      </c>
      <c r="AQ2" s="111" t="s">
        <v>253</v>
      </c>
      <c r="AR2" s="111" t="s">
        <v>221</v>
      </c>
      <c r="AS2" s="111" t="s">
        <v>254</v>
      </c>
      <c r="AT2" s="111" t="s">
        <v>255</v>
      </c>
      <c r="AU2" s="111" t="s">
        <v>256</v>
      </c>
      <c r="AV2" s="111" t="s">
        <v>257</v>
      </c>
      <c r="AW2" s="111" t="s">
        <v>258</v>
      </c>
      <c r="AX2" s="111" t="s">
        <v>222</v>
      </c>
      <c r="AY2" s="111" t="s">
        <v>259</v>
      </c>
      <c r="AZ2" s="113" t="s">
        <v>260</v>
      </c>
      <c r="BA2" s="111" t="s">
        <v>261</v>
      </c>
      <c r="BB2" s="111" t="s">
        <v>262</v>
      </c>
      <c r="BC2" s="111" t="s">
        <v>263</v>
      </c>
      <c r="BD2" s="111" t="s">
        <v>264</v>
      </c>
      <c r="BE2" s="111" t="s">
        <v>223</v>
      </c>
      <c r="BF2" s="113" t="s">
        <v>265</v>
      </c>
      <c r="BG2" s="111" t="s">
        <v>224</v>
      </c>
      <c r="BH2" s="111" t="s">
        <v>225</v>
      </c>
      <c r="BI2" s="111" t="s">
        <v>226</v>
      </c>
      <c r="BJ2" s="114" t="s">
        <v>266</v>
      </c>
      <c r="BK2" s="114" t="s">
        <v>267</v>
      </c>
      <c r="BL2" s="114" t="s">
        <v>268</v>
      </c>
      <c r="BM2" s="114" t="s">
        <v>269</v>
      </c>
      <c r="BN2" s="114" t="s">
        <v>270</v>
      </c>
      <c r="BO2" s="114" t="s">
        <v>271</v>
      </c>
      <c r="BP2" s="114" t="s">
        <v>272</v>
      </c>
      <c r="BQ2" s="114" t="s">
        <v>273</v>
      </c>
      <c r="BR2" s="111" t="s">
        <v>274</v>
      </c>
      <c r="BS2" s="111" t="s">
        <v>275</v>
      </c>
      <c r="BT2" s="111" t="s">
        <v>276</v>
      </c>
      <c r="BU2" s="111" t="s">
        <v>277</v>
      </c>
      <c r="BV2" s="111" t="s">
        <v>227</v>
      </c>
      <c r="BW2" s="111" t="s">
        <v>228</v>
      </c>
      <c r="BX2" s="111" t="s">
        <v>229</v>
      </c>
      <c r="BY2" s="111" t="s">
        <v>230</v>
      </c>
      <c r="BZ2" s="111" t="s">
        <v>231</v>
      </c>
      <c r="CA2" s="111" t="s">
        <v>232</v>
      </c>
      <c r="CB2" s="115" t="s">
        <v>233</v>
      </c>
      <c r="CC2" s="115" t="s">
        <v>234</v>
      </c>
      <c r="CD2" s="116" t="s">
        <v>278</v>
      </c>
    </row>
    <row r="3" spans="1:82" x14ac:dyDescent="0.25">
      <c r="A3" t="str">
        <f>IF(UPPER(LEFT(tabSuperdettagli[[#This Row],[WBE Status]],1))="S","sì","no")</f>
        <v>no</v>
      </c>
      <c r="B3">
        <v>2000</v>
      </c>
      <c r="C3">
        <f>VLOOKUP(tabSuperdettagli[[#This Row],[WBS_]], 'pivot di appoggio'!A:B,2,FALSE)</f>
        <v>2000</v>
      </c>
      <c r="D3" t="str">
        <f>LEFT(tabSuperdettagli[[#This Row],[Network]],10)</f>
        <v>5447634</v>
      </c>
      <c r="E3" t="str">
        <f>LEFT(tabSuperdettagli[[#This Row],[Network]],1)</f>
        <v>5</v>
      </c>
      <c r="F3" t="str">
        <f>LOWER(TRIM(tabSuperdettagli[[#This Row],[Proj. Type ]]))</f>
        <v/>
      </c>
      <c r="G3" t="str">
        <f>IF(OR(tabSuperdettagli[[#This Row],[ProjType_]]="C",tabSuperdettagli[[#This Row],[ProjType_]]="A",tabSuperdettagli[[#This Row],[ProjType_]]="R",tabSuperdettagli[[#This Row],[ProjType_]]="E"),"C A R E",IF(tabSuperdettagli[[#This Row],[ProjType_]]="U","U ("&amp;tabSuperdettagli[[#This Row],[U ProjType_]]&amp;")",tabSuperdettagli[[#This Row],[ProjType_]]))</f>
        <v>5</v>
      </c>
      <c r="I3" t="s">
        <v>238</v>
      </c>
      <c r="J3" t="str">
        <f>tabSuperdettagli[[#This Row],[07.2025]]</f>
        <v>10</v>
      </c>
      <c r="K3">
        <f>tabSuperdettagli[[#This Row],[Resp del Prodotto]]</f>
        <v>0</v>
      </c>
      <c r="L3">
        <f>tabSuperdettagli[[#This Row],[Area di bdg]]</f>
        <v>0</v>
      </c>
      <c r="M3">
        <f>tabSuperdettagli[[#This Row],[Macchina]]</f>
        <v>0</v>
      </c>
      <c r="N3">
        <f>tabSuperdettagli[[#This Row],[Sottotipo]]</f>
        <v>0</v>
      </c>
      <c r="O3">
        <f>tabSuperdettagli[[#This Row],[Cluster]]</f>
        <v>0</v>
      </c>
      <c r="P3">
        <f>tabSuperdettagli[[#This Row],[Quadrante]]</f>
        <v>0</v>
      </c>
      <c r="Q3">
        <f>tabSuperdettagli[[#This Row],[01.2025]]</f>
        <v>0</v>
      </c>
      <c r="R3">
        <f>tabSuperdettagli[[#This Row],[02.2025]]</f>
        <v>0</v>
      </c>
      <c r="S3">
        <f>tabSuperdettagli[[#This Row],[03.2025]]</f>
        <v>0</v>
      </c>
      <c r="T3">
        <f>tabSuperdettagli[[#This Row],[04.2025]]</f>
        <v>0</v>
      </c>
      <c r="U3">
        <f>tabSuperdettagli[[#This Row],[05.2025]]</f>
        <v>0</v>
      </c>
      <c r="V3">
        <f>tabSuperdettagli[[#This Row],[06.2025]]</f>
        <v>84</v>
      </c>
      <c r="W3" t="str">
        <f>tabSuperdettagli[[#This Row],[PROJ CODE]]</f>
        <v>CONV NGP PLATFORM ENG</v>
      </c>
      <c r="X3" t="str">
        <f>tabSuperdettagli[[#This Row],[Resp 2°liv]]&amp;""</f>
        <v>Gamberini G.</v>
      </c>
      <c r="Y3" t="e">
        <f>INDEX(tab_resp1liv[EngUnit area cluster 1_],MATCH(SUBSTITUTE(tabSuperdettagli[[#This Row],[Resp 2°liv]]," ",""),tab_resp1liv[SearchKey],0))</f>
        <v>#N/A</v>
      </c>
      <c r="Z3" t="str">
        <f>tabSuperdettagli[[#This Row],[WBS Element]]&amp;""</f>
        <v>Go</v>
      </c>
      <c r="AA3" t="str">
        <f>tabSuperdettagli[[#This Row],[09.2025]]</f>
        <v>234</v>
      </c>
      <c r="AB3" t="s">
        <v>74</v>
      </c>
      <c r="AC3" t="str">
        <f>IF(tabSuperdettagli[[#This Row],[ProjType_]]="M",IF(AND(tabSuperdettagli[[#This Row],[Resp 1°liv_]]="Guidotti C.",tabSuperdettagli[[#This Row],[WBE description_]]="Machine Mgmt"),"Documentation",tabSuperdettagli[[#This Row],[WBE description_]]),"")</f>
        <v/>
      </c>
      <c r="AD3" t="str">
        <f>LEFT(tabSuperdettagli[[#This Row],[Network]],18)</f>
        <v>5447634</v>
      </c>
      <c r="AE3" t="s">
        <v>75</v>
      </c>
      <c r="AF3" t="s">
        <v>204</v>
      </c>
      <c r="AG3" t="s">
        <v>243</v>
      </c>
      <c r="AH3" t="s">
        <v>192</v>
      </c>
      <c r="AI3" t="s">
        <v>235</v>
      </c>
      <c r="AJ3" t="s">
        <v>193</v>
      </c>
      <c r="AK3">
        <v>2025</v>
      </c>
      <c r="AL3" t="s">
        <v>194</v>
      </c>
      <c r="AM3" t="s">
        <v>195</v>
      </c>
      <c r="AN3" t="s">
        <v>189</v>
      </c>
      <c r="AO3" t="s">
        <v>190</v>
      </c>
      <c r="AP3" t="s">
        <v>239</v>
      </c>
      <c r="AQ3" t="s">
        <v>196</v>
      </c>
      <c r="AR3" t="s">
        <v>197</v>
      </c>
      <c r="AS3" t="s">
        <v>76</v>
      </c>
      <c r="AT3" t="s">
        <v>77</v>
      </c>
      <c r="AU3" t="s">
        <v>35</v>
      </c>
      <c r="AV3" t="s">
        <v>78</v>
      </c>
      <c r="AW3" t="s">
        <v>178</v>
      </c>
      <c r="AX3" t="s">
        <v>192</v>
      </c>
      <c r="AY3" t="s">
        <v>198</v>
      </c>
      <c r="AZ3" t="s">
        <v>199</v>
      </c>
      <c r="BA3" t="s">
        <v>200</v>
      </c>
      <c r="BB3" t="s">
        <v>80</v>
      </c>
      <c r="BC3">
        <v>84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84</v>
      </c>
      <c r="BP3" t="s">
        <v>45</v>
      </c>
      <c r="BQ3" t="s">
        <v>201</v>
      </c>
      <c r="BR3" t="s">
        <v>188</v>
      </c>
      <c r="BS3" t="s">
        <v>197</v>
      </c>
      <c r="BT3" t="s">
        <v>178</v>
      </c>
      <c r="BU3" t="s">
        <v>202</v>
      </c>
      <c r="BV3" t="s">
        <v>191</v>
      </c>
      <c r="BW3" t="s">
        <v>74</v>
      </c>
      <c r="BX3" t="s">
        <v>74</v>
      </c>
      <c r="BZ3" t="s">
        <v>203</v>
      </c>
      <c r="CB3" t="s">
        <v>74</v>
      </c>
    </row>
    <row r="4" spans="1:82" x14ac:dyDescent="0.25">
      <c r="A4" t="str">
        <f>IF(  UPPER(LEFT( tabSuperdettagli[[#This Row],[WBE Status]],1) ) = "S",  "sì",  "no"   )</f>
        <v>no</v>
      </c>
      <c r="B4">
        <v>2020</v>
      </c>
      <c r="C4">
        <f>VLOOKUP(tabSuperdettagli[[#This Row],[WBS_]], 'pivot di appoggio'!A:B,2,FALSE)</f>
        <v>2000</v>
      </c>
      <c r="D4" t="str">
        <f>LEFT(tabSuperdettagli[[#This Row],[Network]], 10)</f>
        <v>5447634</v>
      </c>
      <c r="E4" t="str">
        <f>LEFT(tabSuperdettagli[[#This Row],[Network]], 1)</f>
        <v>5</v>
      </c>
      <c r="F4" t="str">
        <f>LOWER(TRIM( tabSuperdettagli[[#This Row],[Proj. Type ]] ))</f>
        <v/>
      </c>
      <c r="G4" t="str">
        <f>IF( OR( tabSuperdettagli[[#This Row],[ProjType_]]="C", tabSuperdettagli[[#This Row],[ProjType_]]="A", tabSuperdettagli[[#This Row],[ProjType_]]="R", tabSuperdettagli[[#This Row],[ProjType_]]="E"),  "C A R E",
        IF( tabSuperdettagli[[#This Row],[ProjType_]]="U",  "U (" &amp; tabSuperdettagli[[#This Row],[U ProjType_]] &amp; ")",
        tabSuperdettagli[[#This Row],[ProjType_]]) )</f>
        <v>5</v>
      </c>
      <c r="I4" t="e">
        <f>IF(  TRIM(#REF!)&gt; "", TRIM(#REF!), TRIM(tabSuperdettagli[[#This Row],[Resp DT]] ) )</f>
        <v>#REF!</v>
      </c>
      <c r="J4" t="str">
        <f>tabSuperdettagli[[#This Row],[07.2025]]</f>
        <v>10</v>
      </c>
      <c r="K4">
        <f>tabSuperdettagli[[#This Row],[Resp del Prodotto]]</f>
        <v>0</v>
      </c>
      <c r="L4">
        <f>tabSuperdettagli[[#This Row],[Area di bdg]]</f>
        <v>0</v>
      </c>
      <c r="W4" t="str">
        <f>tabSuperdettagli[[#This Row],[PROJ CODE]]</f>
        <v>CONV NGP PLATFORM ENG</v>
      </c>
      <c r="X4" t="str">
        <f>tabSuperdettagli[[#This Row],[Resp 2°liv]]&amp;""</f>
        <v>Gamberini G.</v>
      </c>
      <c r="Y4" t="e">
        <f>INDEX(     tab_resp1liv[EngUnit area cluster 1_],
                    MATCH(   SUBSTITUTE(tabSuperdettagli[[#This Row],[Resp 2°liv]],  " ", ""),
                                      tab_resp1liv[SearchKey],0))</f>
        <v>#N/A</v>
      </c>
      <c r="Z4" t="str">
        <f>tabSuperdettagli[[#This Row],[WBS Element]]&amp;""</f>
        <v>Go</v>
      </c>
      <c r="AA4" t="str">
        <f>tabSuperdettagli[[#This Row],[09.2025]]</f>
        <v>234</v>
      </c>
      <c r="AC4" t="str">
        <f>IF( tabSuperdettagli[[#This Row],[ProjType_]]="M",  IF(  AND(tabSuperdettagli[[#This Row],[Resp 1°liv_]]="Guidotti C.", tabSuperdettagli[[#This Row],[WBE description_]]="Machine Mgmt"), "Documentation", tabSuperdettagli[[#This Row],[WBE description_]]),  "" )</f>
        <v/>
      </c>
      <c r="AD4" t="str">
        <f>LEFT(tabSuperdettagli[[#This Row],[Network]], 18 )</f>
        <v>5447634</v>
      </c>
      <c r="AE4" t="s">
        <v>75</v>
      </c>
      <c r="AF4" t="s">
        <v>204</v>
      </c>
      <c r="AG4" t="s">
        <v>243</v>
      </c>
      <c r="AH4" t="s">
        <v>192</v>
      </c>
      <c r="AI4" t="s">
        <v>235</v>
      </c>
      <c r="AJ4" t="s">
        <v>193</v>
      </c>
      <c r="AK4">
        <v>2025</v>
      </c>
      <c r="AL4" t="s">
        <v>194</v>
      </c>
      <c r="AM4" t="s">
        <v>195</v>
      </c>
      <c r="AN4" t="s">
        <v>189</v>
      </c>
      <c r="AO4" t="s">
        <v>190</v>
      </c>
      <c r="AP4" t="s">
        <v>239</v>
      </c>
      <c r="AQ4" t="s">
        <v>196</v>
      </c>
      <c r="AR4" t="s">
        <v>197</v>
      </c>
      <c r="AS4" t="s">
        <v>76</v>
      </c>
      <c r="AT4" t="s">
        <v>77</v>
      </c>
      <c r="AU4" t="s">
        <v>35</v>
      </c>
      <c r="AV4" t="s">
        <v>78</v>
      </c>
      <c r="AW4" t="s">
        <v>178</v>
      </c>
      <c r="AX4" t="s">
        <v>192</v>
      </c>
      <c r="AY4" t="s">
        <v>198</v>
      </c>
      <c r="AZ4" t="s">
        <v>199</v>
      </c>
      <c r="BA4" t="s">
        <v>200</v>
      </c>
      <c r="BB4" t="s">
        <v>80</v>
      </c>
      <c r="BC4">
        <v>84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84</v>
      </c>
      <c r="BP4" t="s">
        <v>45</v>
      </c>
      <c r="BQ4" t="s">
        <v>201</v>
      </c>
      <c r="BR4" t="s">
        <v>188</v>
      </c>
      <c r="BS4" t="s">
        <v>197</v>
      </c>
      <c r="BT4" t="s">
        <v>178</v>
      </c>
      <c r="BU4" t="s">
        <v>202</v>
      </c>
      <c r="BV4" t="s">
        <v>191</v>
      </c>
      <c r="BW4" t="s">
        <v>74</v>
      </c>
      <c r="BX4" t="s">
        <v>74</v>
      </c>
      <c r="BZ4" t="s">
        <v>203</v>
      </c>
      <c r="CB4" t="s">
        <v>74</v>
      </c>
    </row>
    <row r="5" spans="1:82" x14ac:dyDescent="0.25">
      <c r="A5" t="str">
        <f>IF(  UPPER(LEFT( tabSuperdettagli[[#This Row],[WBE Status]],1) ) = "S",  "sì",  "no"   )</f>
        <v>no</v>
      </c>
      <c r="B5">
        <v>2020</v>
      </c>
      <c r="C5">
        <f>VLOOKUP(tabSuperdettagli[[#This Row],[WBS_]], 'pivot di appoggio'!A:B,2,FALSE)</f>
        <v>2000</v>
      </c>
      <c r="D5" t="str">
        <f>LEFT(tabSuperdettagli[[#This Row],[Network]], 10)</f>
        <v>5447634</v>
      </c>
      <c r="E5" t="str">
        <f>LEFT(tabSuperdettagli[[#This Row],[Network]], 1)</f>
        <v>5</v>
      </c>
      <c r="F5" t="str">
        <f>LOWER(TRIM( tabSuperdettagli[[#This Row],[Proj. Type ]] ))</f>
        <v/>
      </c>
      <c r="G5" t="str">
        <f>IF( OR( tabSuperdettagli[[#This Row],[ProjType_]]="C", tabSuperdettagli[[#This Row],[ProjType_]]="A", tabSuperdettagli[[#This Row],[ProjType_]]="R", tabSuperdettagli[[#This Row],[ProjType_]]="E"),  "C A R E",
        IF( tabSuperdettagli[[#This Row],[ProjType_]]="U",  "U (" &amp; tabSuperdettagli[[#This Row],[U ProjType_]] &amp; ")",
        tabSuperdettagli[[#This Row],[ProjType_]]) )</f>
        <v>5</v>
      </c>
      <c r="I5" t="e">
        <f>IF(  TRIM(#REF!)&gt; "", TRIM(#REF!), TRIM(tabSuperdettagli[[#This Row],[Resp DT]] ) )</f>
        <v>#REF!</v>
      </c>
      <c r="J5" t="str">
        <f>tabSuperdettagli[[#This Row],[07.2025]]</f>
        <v>10</v>
      </c>
      <c r="K5">
        <f>tabSuperdettagli[[#This Row],[Resp del Prodotto]]</f>
        <v>0</v>
      </c>
      <c r="L5">
        <f>tabSuperdettagli[[#This Row],[Area di bdg]]</f>
        <v>0</v>
      </c>
      <c r="W5" t="str">
        <f>tabSuperdettagli[[#This Row],[PROJ CODE]]</f>
        <v>CONV NGP PLATFORM ENG</v>
      </c>
      <c r="X5" t="str">
        <f>tabSuperdettagli[[#This Row],[Resp 2°liv]]&amp;""</f>
        <v>Gamberini G.</v>
      </c>
      <c r="Y5" t="e">
        <f>INDEX(     tab_resp1liv[EngUnit area cluster 1_],
                    MATCH(   SUBSTITUTE(tabSuperdettagli[[#This Row],[Resp 2°liv]],  " ", ""),
                                      tab_resp1liv[SearchKey],0))</f>
        <v>#N/A</v>
      </c>
      <c r="Z5" t="str">
        <f>tabSuperdettagli[[#This Row],[WBS Element]]&amp;""</f>
        <v>Go</v>
      </c>
      <c r="AA5" t="str">
        <f>tabSuperdettagli[[#This Row],[09.2025]]</f>
        <v>234</v>
      </c>
      <c r="AC5" t="str">
        <f>IF( tabSuperdettagli[[#This Row],[ProjType_]]="M",  IF(  AND(tabSuperdettagli[[#This Row],[Resp 1°liv_]]="Guidotti C.", tabSuperdettagli[[#This Row],[WBE description_]]="Machine Mgmt"), "Documentation", tabSuperdettagli[[#This Row],[WBE description_]]),  "" )</f>
        <v/>
      </c>
      <c r="AD5" t="str">
        <f>LEFT(tabSuperdettagli[[#This Row],[Network]], 18 )</f>
        <v>5447634</v>
      </c>
      <c r="AE5" t="s">
        <v>75</v>
      </c>
      <c r="AF5" t="s">
        <v>204</v>
      </c>
      <c r="AG5" t="s">
        <v>243</v>
      </c>
      <c r="AH5" t="s">
        <v>192</v>
      </c>
      <c r="AI5" t="s">
        <v>235</v>
      </c>
      <c r="AJ5" t="s">
        <v>193</v>
      </c>
      <c r="AK5">
        <v>2025</v>
      </c>
      <c r="AL5" t="s">
        <v>194</v>
      </c>
      <c r="AM5" t="s">
        <v>195</v>
      </c>
      <c r="AN5" t="s">
        <v>189</v>
      </c>
      <c r="AO5" t="s">
        <v>190</v>
      </c>
      <c r="AP5" t="s">
        <v>239</v>
      </c>
      <c r="AQ5" t="s">
        <v>196</v>
      </c>
      <c r="AR5" t="s">
        <v>197</v>
      </c>
      <c r="AS5" t="s">
        <v>76</v>
      </c>
      <c r="AT5" t="s">
        <v>77</v>
      </c>
      <c r="AU5" t="s">
        <v>35</v>
      </c>
      <c r="AV5" t="s">
        <v>78</v>
      </c>
      <c r="AW5" t="s">
        <v>178</v>
      </c>
      <c r="AX5" t="s">
        <v>192</v>
      </c>
      <c r="AY5" t="s">
        <v>198</v>
      </c>
      <c r="AZ5" t="s">
        <v>199</v>
      </c>
      <c r="BA5" t="s">
        <v>200</v>
      </c>
      <c r="BB5" t="s">
        <v>80</v>
      </c>
      <c r="BC5">
        <v>84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84</v>
      </c>
      <c r="BP5" t="s">
        <v>45</v>
      </c>
      <c r="BQ5" t="s">
        <v>201</v>
      </c>
      <c r="BR5" t="s">
        <v>188</v>
      </c>
      <c r="BS5" t="s">
        <v>197</v>
      </c>
      <c r="BT5" t="s">
        <v>178</v>
      </c>
      <c r="BU5" t="s">
        <v>202</v>
      </c>
      <c r="BV5" t="s">
        <v>191</v>
      </c>
      <c r="BW5" t="s">
        <v>74</v>
      </c>
      <c r="BX5" t="s">
        <v>74</v>
      </c>
      <c r="BZ5" t="s">
        <v>203</v>
      </c>
      <c r="CB5" t="s">
        <v>74</v>
      </c>
    </row>
    <row r="6" spans="1:82" x14ac:dyDescent="0.25">
      <c r="A6" t="str">
        <f>IF(  UPPER(LEFT( tabSuperdettagli[[#This Row],[WBE Status]],1) ) = "S",  "sì",  "no"   )</f>
        <v>no</v>
      </c>
      <c r="B6">
        <v>2021</v>
      </c>
      <c r="C6">
        <f>VLOOKUP(tabSuperdettagli[[#This Row],[WBS_]], 'pivot di appoggio'!A:B,2,FALSE)</f>
        <v>2000</v>
      </c>
      <c r="D6" t="str">
        <f>LEFT(tabSuperdettagli[[#This Row],[Network]], 10)</f>
        <v>5447634</v>
      </c>
      <c r="E6" t="str">
        <f>LEFT(tabSuperdettagli[[#This Row],[Network]], 1)</f>
        <v>5</v>
      </c>
      <c r="F6" t="str">
        <f>LOWER(TRIM( tabSuperdettagli[[#This Row],[Proj. Type ]] ))</f>
        <v/>
      </c>
      <c r="G6" t="str">
        <f>IF( OR( tabSuperdettagli[[#This Row],[ProjType_]]="C", tabSuperdettagli[[#This Row],[ProjType_]]="A", tabSuperdettagli[[#This Row],[ProjType_]]="R", tabSuperdettagli[[#This Row],[ProjType_]]="E"),  "C A R E",
        IF( tabSuperdettagli[[#This Row],[ProjType_]]="U",  "U (" &amp; tabSuperdettagli[[#This Row],[U ProjType_]] &amp; ")",
        tabSuperdettagli[[#This Row],[ProjType_]]) )</f>
        <v>5</v>
      </c>
      <c r="I6" t="e">
        <f>IF(  TRIM(#REF!)&gt; "", TRIM(#REF!), TRIM(tabSuperdettagli[[#This Row],[Resp DT]] ) )</f>
        <v>#REF!</v>
      </c>
      <c r="J6" t="str">
        <f>tabSuperdettagli[[#This Row],[07.2025]]</f>
        <v>10</v>
      </c>
      <c r="K6">
        <f>tabSuperdettagli[[#This Row],[Resp del Prodotto]]</f>
        <v>0</v>
      </c>
      <c r="L6">
        <f>tabSuperdettagli[[#This Row],[Area di bdg]]</f>
        <v>0</v>
      </c>
      <c r="W6" t="str">
        <f>tabSuperdettagli[[#This Row],[PROJ CODE]]</f>
        <v>CONV NGP PLATFORM ENG</v>
      </c>
      <c r="X6" t="str">
        <f>tabSuperdettagli[[#This Row],[Resp 2°liv]]&amp;""</f>
        <v>Gamberini G.</v>
      </c>
      <c r="Y6" t="e">
        <f>INDEX(     tab_resp1liv[EngUnit area cluster 1_],
                    MATCH(   SUBSTITUTE(tabSuperdettagli[[#This Row],[Resp 2°liv]],  " ", ""),
                                      tab_resp1liv[SearchKey],0))</f>
        <v>#N/A</v>
      </c>
      <c r="Z6" t="str">
        <f>tabSuperdettagli[[#This Row],[WBS Element]]&amp;""</f>
        <v>Go</v>
      </c>
      <c r="AA6" t="str">
        <f>tabSuperdettagli[[#This Row],[09.2025]]</f>
        <v>234</v>
      </c>
      <c r="AC6" t="str">
        <f>IF( tabSuperdettagli[[#This Row],[ProjType_]]="M",  IF(  AND(tabSuperdettagli[[#This Row],[Resp 1°liv_]]="Guidotti C.", tabSuperdettagli[[#This Row],[WBE description_]]="Machine Mgmt"), "Documentation", tabSuperdettagli[[#This Row],[WBE description_]]),  "" )</f>
        <v/>
      </c>
      <c r="AD6" t="str">
        <f>LEFT(tabSuperdettagli[[#This Row],[Network]], 18 )</f>
        <v>5447634</v>
      </c>
      <c r="AE6" t="s">
        <v>75</v>
      </c>
      <c r="AF6" t="s">
        <v>204</v>
      </c>
      <c r="AG6" t="s">
        <v>243</v>
      </c>
      <c r="AH6" t="s">
        <v>192</v>
      </c>
      <c r="AI6" t="s">
        <v>235</v>
      </c>
      <c r="AJ6" t="s">
        <v>193</v>
      </c>
      <c r="AK6">
        <v>2025</v>
      </c>
      <c r="AL6" t="s">
        <v>194</v>
      </c>
      <c r="AM6" t="s">
        <v>195</v>
      </c>
      <c r="AN6" t="s">
        <v>189</v>
      </c>
      <c r="AO6" t="s">
        <v>190</v>
      </c>
      <c r="AP6" t="s">
        <v>239</v>
      </c>
      <c r="AQ6" t="s">
        <v>196</v>
      </c>
      <c r="AR6" t="s">
        <v>197</v>
      </c>
      <c r="AS6" t="s">
        <v>76</v>
      </c>
      <c r="AT6" t="s">
        <v>77</v>
      </c>
      <c r="AU6" t="s">
        <v>35</v>
      </c>
      <c r="AV6" t="s">
        <v>78</v>
      </c>
      <c r="AW6" t="s">
        <v>178</v>
      </c>
      <c r="AX6" t="s">
        <v>192</v>
      </c>
      <c r="AY6" t="s">
        <v>198</v>
      </c>
      <c r="AZ6" t="s">
        <v>199</v>
      </c>
      <c r="BA6" t="s">
        <v>200</v>
      </c>
      <c r="BB6" t="s">
        <v>80</v>
      </c>
      <c r="BC6">
        <v>84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84</v>
      </c>
      <c r="BP6" t="s">
        <v>45</v>
      </c>
      <c r="BQ6" t="s">
        <v>201</v>
      </c>
      <c r="BR6" t="s">
        <v>188</v>
      </c>
      <c r="BS6" t="s">
        <v>197</v>
      </c>
      <c r="BT6" t="s">
        <v>178</v>
      </c>
      <c r="BU6" t="s">
        <v>202</v>
      </c>
      <c r="BV6" t="s">
        <v>191</v>
      </c>
      <c r="BW6" t="s">
        <v>74</v>
      </c>
      <c r="BX6" t="s">
        <v>74</v>
      </c>
      <c r="BZ6" t="s">
        <v>203</v>
      </c>
      <c r="CB6" t="s">
        <v>74</v>
      </c>
    </row>
    <row r="7" spans="1:82" x14ac:dyDescent="0.25">
      <c r="A7" t="str">
        <f>IF(  UPPER(LEFT( tabSuperdettagli[[#This Row],[WBE Status]],1) ) = "S",  "sì",  "no"   )</f>
        <v>no</v>
      </c>
      <c r="B7">
        <v>2021</v>
      </c>
      <c r="C7">
        <f>VLOOKUP(tabSuperdettagli[[#This Row],[WBS_]], 'pivot di appoggio'!A:B,2,FALSE)</f>
        <v>2000</v>
      </c>
      <c r="D7" t="str">
        <f>LEFT(tabSuperdettagli[[#This Row],[Network]], 10)</f>
        <v>5447634</v>
      </c>
      <c r="E7" t="str">
        <f>LEFT(tabSuperdettagli[[#This Row],[Network]], 1)</f>
        <v>5</v>
      </c>
      <c r="F7" t="str">
        <f>LOWER(TRIM( tabSuperdettagli[[#This Row],[Proj. Type ]] ))</f>
        <v/>
      </c>
      <c r="G7" t="str">
        <f>IF( OR( tabSuperdettagli[[#This Row],[ProjType_]]="C", tabSuperdettagli[[#This Row],[ProjType_]]="A", tabSuperdettagli[[#This Row],[ProjType_]]="R", tabSuperdettagli[[#This Row],[ProjType_]]="E"),  "C A R E",
        IF( tabSuperdettagli[[#This Row],[ProjType_]]="U",  "U (" &amp; tabSuperdettagli[[#This Row],[U ProjType_]] &amp; ")",
        tabSuperdettagli[[#This Row],[ProjType_]]) )</f>
        <v>5</v>
      </c>
      <c r="I7" t="e">
        <f>IF(  TRIM(#REF!)&gt; "", TRIM(#REF!), TRIM(tabSuperdettagli[[#This Row],[Resp DT]] ) )</f>
        <v>#REF!</v>
      </c>
      <c r="J7" t="str">
        <f>tabSuperdettagli[[#This Row],[07.2025]]</f>
        <v>10</v>
      </c>
      <c r="K7">
        <f>tabSuperdettagli[[#This Row],[Resp del Prodotto]]</f>
        <v>0</v>
      </c>
      <c r="L7">
        <f>tabSuperdettagli[[#This Row],[Area di bdg]]</f>
        <v>0</v>
      </c>
      <c r="W7" t="str">
        <f>tabSuperdettagli[[#This Row],[PROJ CODE]]</f>
        <v>CONV NGP PLATFORM ENG</v>
      </c>
      <c r="X7" t="str">
        <f>tabSuperdettagli[[#This Row],[Resp 2°liv]]&amp;""</f>
        <v>Gamberini G.</v>
      </c>
      <c r="Y7" t="e">
        <f>INDEX(     tab_resp1liv[EngUnit area cluster 1_],
                    MATCH(   SUBSTITUTE(tabSuperdettagli[[#This Row],[Resp 2°liv]],  " ", ""),
                                      tab_resp1liv[SearchKey],0))</f>
        <v>#N/A</v>
      </c>
      <c r="Z7" t="str">
        <f>tabSuperdettagli[[#This Row],[WBS Element]]&amp;""</f>
        <v>Go</v>
      </c>
      <c r="AA7" t="str">
        <f>tabSuperdettagli[[#This Row],[09.2025]]</f>
        <v>234</v>
      </c>
      <c r="AC7" t="str">
        <f>IF( tabSuperdettagli[[#This Row],[ProjType_]]="M",  IF(  AND(tabSuperdettagli[[#This Row],[Resp 1°liv_]]="Guidotti C.", tabSuperdettagli[[#This Row],[WBE description_]]="Machine Mgmt"), "Documentation", tabSuperdettagli[[#This Row],[WBE description_]]),  "" )</f>
        <v/>
      </c>
      <c r="AD7" t="str">
        <f>LEFT(tabSuperdettagli[[#This Row],[Network]], 18 )</f>
        <v>5447634</v>
      </c>
      <c r="AE7" t="s">
        <v>75</v>
      </c>
      <c r="AF7" t="s">
        <v>204</v>
      </c>
      <c r="AG7" t="s">
        <v>243</v>
      </c>
      <c r="AH7" t="s">
        <v>192</v>
      </c>
      <c r="AI7" t="s">
        <v>235</v>
      </c>
      <c r="AJ7" t="s">
        <v>193</v>
      </c>
      <c r="AK7">
        <v>2025</v>
      </c>
      <c r="AL7" t="s">
        <v>194</v>
      </c>
      <c r="AM7" t="s">
        <v>195</v>
      </c>
      <c r="AN7" t="s">
        <v>189</v>
      </c>
      <c r="AO7" t="s">
        <v>190</v>
      </c>
      <c r="AP7" t="s">
        <v>239</v>
      </c>
      <c r="AQ7" t="s">
        <v>196</v>
      </c>
      <c r="AR7" t="s">
        <v>197</v>
      </c>
      <c r="AS7" t="s">
        <v>76</v>
      </c>
      <c r="AT7" t="s">
        <v>77</v>
      </c>
      <c r="AU7" t="s">
        <v>35</v>
      </c>
      <c r="AV7" t="s">
        <v>78</v>
      </c>
      <c r="AW7" t="s">
        <v>178</v>
      </c>
      <c r="AX7" t="s">
        <v>192</v>
      </c>
      <c r="AY7" t="s">
        <v>198</v>
      </c>
      <c r="AZ7" t="s">
        <v>199</v>
      </c>
      <c r="BA7" t="s">
        <v>200</v>
      </c>
      <c r="BB7" t="s">
        <v>80</v>
      </c>
      <c r="BC7">
        <v>84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84</v>
      </c>
      <c r="BP7" t="s">
        <v>45</v>
      </c>
      <c r="BQ7" t="s">
        <v>201</v>
      </c>
      <c r="BR7" t="s">
        <v>188</v>
      </c>
      <c r="BS7" t="s">
        <v>197</v>
      </c>
      <c r="BT7" t="s">
        <v>178</v>
      </c>
      <c r="BU7" t="s">
        <v>202</v>
      </c>
      <c r="BV7" t="s">
        <v>191</v>
      </c>
      <c r="BW7" t="s">
        <v>74</v>
      </c>
      <c r="BX7" t="s">
        <v>74</v>
      </c>
      <c r="BZ7" t="s">
        <v>203</v>
      </c>
      <c r="CB7" t="s">
        <v>74</v>
      </c>
    </row>
    <row r="8" spans="1:82" x14ac:dyDescent="0.25">
      <c r="A8" t="str">
        <f>IF(  UPPER(LEFT( tabSuperdettagli[[#This Row],[WBE Status]],1) ) = "S",  "sì",  "no"   )</f>
        <v>no</v>
      </c>
      <c r="B8">
        <v>2025</v>
      </c>
      <c r="C8">
        <f>VLOOKUP(tabSuperdettagli[[#This Row],[WBS_]], 'pivot di appoggio'!A:B,2,FALSE)</f>
        <v>2000</v>
      </c>
      <c r="D8" t="str">
        <f>LEFT(tabSuperdettagli[[#This Row],[Network]], 10)</f>
        <v>5447634</v>
      </c>
      <c r="E8" t="str">
        <f>LEFT(tabSuperdettagli[[#This Row],[Network]], 1)</f>
        <v>5</v>
      </c>
      <c r="F8" t="str">
        <f>LOWER(TRIM( tabSuperdettagli[[#This Row],[Proj. Type ]] ))</f>
        <v/>
      </c>
      <c r="G8" t="str">
        <f>IF( OR( tabSuperdettagli[[#This Row],[ProjType_]]="C", tabSuperdettagli[[#This Row],[ProjType_]]="A", tabSuperdettagli[[#This Row],[ProjType_]]="R", tabSuperdettagli[[#This Row],[ProjType_]]="E"),  "C A R E",
        IF( tabSuperdettagli[[#This Row],[ProjType_]]="U",  "U (" &amp; tabSuperdettagli[[#This Row],[U ProjType_]] &amp; ")",
        tabSuperdettagli[[#This Row],[ProjType_]]) )</f>
        <v>5</v>
      </c>
      <c r="I8" t="e">
        <f>IF(  TRIM(#REF!)&gt; "", TRIM(#REF!), TRIM(tabSuperdettagli[[#This Row],[Resp DT]] ) )</f>
        <v>#REF!</v>
      </c>
      <c r="J8" t="str">
        <f>tabSuperdettagli[[#This Row],[07.2025]]</f>
        <v>10</v>
      </c>
      <c r="K8">
        <f>tabSuperdettagli[[#This Row],[Resp del Prodotto]]</f>
        <v>0</v>
      </c>
      <c r="L8">
        <f>tabSuperdettagli[[#This Row],[Area di bdg]]</f>
        <v>0</v>
      </c>
      <c r="W8" t="str">
        <f>tabSuperdettagli[[#This Row],[PROJ CODE]]</f>
        <v>CONV NGP PLATFORM ENG</v>
      </c>
      <c r="X8" t="str">
        <f>tabSuperdettagli[[#This Row],[Resp 2°liv]]&amp;""</f>
        <v>Gamberini G.</v>
      </c>
      <c r="Y8" t="e">
        <f>INDEX(     tab_resp1liv[EngUnit area cluster 1_],
                    MATCH(   SUBSTITUTE(tabSuperdettagli[[#This Row],[Resp 2°liv]],  " ", ""),
                                      tab_resp1liv[SearchKey],0))</f>
        <v>#N/A</v>
      </c>
      <c r="Z8" t="str">
        <f>tabSuperdettagli[[#This Row],[WBS Element]]&amp;""</f>
        <v>Go</v>
      </c>
      <c r="AA8" t="str">
        <f>tabSuperdettagli[[#This Row],[09.2025]]</f>
        <v>234</v>
      </c>
      <c r="AC8" t="str">
        <f>IF( tabSuperdettagli[[#This Row],[ProjType_]]="M",  IF(  AND(tabSuperdettagli[[#This Row],[Resp 1°liv_]]="Guidotti C.", tabSuperdettagli[[#This Row],[WBE description_]]="Machine Mgmt"), "Documentation", tabSuperdettagli[[#This Row],[WBE description_]]),  "" )</f>
        <v/>
      </c>
      <c r="AD8" t="str">
        <f>LEFT(tabSuperdettagli[[#This Row],[Network]], 18 )</f>
        <v>5447634</v>
      </c>
      <c r="AE8" t="s">
        <v>75</v>
      </c>
      <c r="AF8" t="s">
        <v>204</v>
      </c>
      <c r="AG8" t="s">
        <v>243</v>
      </c>
      <c r="AH8" t="s">
        <v>192</v>
      </c>
      <c r="AI8" t="s">
        <v>235</v>
      </c>
      <c r="AJ8" t="s">
        <v>193</v>
      </c>
      <c r="AK8">
        <v>2025</v>
      </c>
      <c r="AL8" t="s">
        <v>194</v>
      </c>
      <c r="AM8" t="s">
        <v>195</v>
      </c>
      <c r="AN8" t="s">
        <v>189</v>
      </c>
      <c r="AO8" t="s">
        <v>190</v>
      </c>
      <c r="AP8" t="s">
        <v>239</v>
      </c>
      <c r="AQ8" t="s">
        <v>196</v>
      </c>
      <c r="AR8" t="s">
        <v>197</v>
      </c>
      <c r="AS8" t="s">
        <v>76</v>
      </c>
      <c r="AT8" t="s">
        <v>77</v>
      </c>
      <c r="AU8" t="s">
        <v>35</v>
      </c>
      <c r="AV8" t="s">
        <v>78</v>
      </c>
      <c r="AW8" t="s">
        <v>178</v>
      </c>
      <c r="AX8" t="s">
        <v>192</v>
      </c>
      <c r="AY8" t="s">
        <v>198</v>
      </c>
      <c r="AZ8" t="s">
        <v>199</v>
      </c>
      <c r="BA8" t="s">
        <v>200</v>
      </c>
      <c r="BB8" t="s">
        <v>80</v>
      </c>
      <c r="BC8">
        <v>84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84</v>
      </c>
      <c r="BP8" t="s">
        <v>45</v>
      </c>
      <c r="BQ8" t="s">
        <v>201</v>
      </c>
      <c r="BR8" t="s">
        <v>188</v>
      </c>
      <c r="BS8" t="s">
        <v>197</v>
      </c>
      <c r="BT8" t="s">
        <v>178</v>
      </c>
      <c r="BU8" t="s">
        <v>202</v>
      </c>
      <c r="BV8" t="s">
        <v>191</v>
      </c>
      <c r="BW8" t="s">
        <v>74</v>
      </c>
      <c r="BX8" t="s">
        <v>74</v>
      </c>
      <c r="BZ8" t="s">
        <v>203</v>
      </c>
      <c r="CB8" t="s">
        <v>74</v>
      </c>
    </row>
    <row r="9" spans="1:82" x14ac:dyDescent="0.25">
      <c r="A9" t="str">
        <f>IF(  UPPER(LEFT( tabSuperdettagli[[#This Row],[WBE Status]],1) ) = "S",  "sì",  "no"   )</f>
        <v>no</v>
      </c>
      <c r="B9">
        <v>2025</v>
      </c>
      <c r="C9">
        <f>VLOOKUP(tabSuperdettagli[[#This Row],[WBS_]], 'pivot di appoggio'!A:B,2,FALSE)</f>
        <v>2000</v>
      </c>
      <c r="D9" t="str">
        <f>LEFT(tabSuperdettagli[[#This Row],[Network]], 10)</f>
        <v>5447634</v>
      </c>
      <c r="E9" t="str">
        <f>LEFT(tabSuperdettagli[[#This Row],[Network]], 1)</f>
        <v>5</v>
      </c>
      <c r="F9" t="str">
        <f>LOWER(TRIM( tabSuperdettagli[[#This Row],[Proj. Type ]] ))</f>
        <v/>
      </c>
      <c r="G9" t="str">
        <f>IF( OR( tabSuperdettagli[[#This Row],[ProjType_]]="C", tabSuperdettagli[[#This Row],[ProjType_]]="A", tabSuperdettagli[[#This Row],[ProjType_]]="R", tabSuperdettagli[[#This Row],[ProjType_]]="E"),  "C A R E",
        IF( tabSuperdettagli[[#This Row],[ProjType_]]="U",  "U (" &amp; tabSuperdettagli[[#This Row],[U ProjType_]] &amp; ")",
        tabSuperdettagli[[#This Row],[ProjType_]]) )</f>
        <v>5</v>
      </c>
      <c r="I9" t="e">
        <f>IF(  TRIM(#REF!)&gt; "", TRIM(#REF!), TRIM(tabSuperdettagli[[#This Row],[Resp DT]] ) )</f>
        <v>#REF!</v>
      </c>
      <c r="J9" t="str">
        <f>tabSuperdettagli[[#This Row],[07.2025]]</f>
        <v>10</v>
      </c>
      <c r="K9">
        <f>tabSuperdettagli[[#This Row],[Resp del Prodotto]]</f>
        <v>0</v>
      </c>
      <c r="L9">
        <f>tabSuperdettagli[[#This Row],[Area di bdg]]</f>
        <v>0</v>
      </c>
      <c r="W9" t="str">
        <f>tabSuperdettagli[[#This Row],[PROJ CODE]]</f>
        <v>CONV NGP PLATFORM ENG</v>
      </c>
      <c r="X9" t="str">
        <f>tabSuperdettagli[[#This Row],[Resp 2°liv]]&amp;""</f>
        <v>Gamberini G.</v>
      </c>
      <c r="Y9" t="e">
        <f>INDEX(     tab_resp1liv[EngUnit area cluster 1_],
                    MATCH(   SUBSTITUTE(tabSuperdettagli[[#This Row],[Resp 2°liv]],  " ", ""),
                                      tab_resp1liv[SearchKey],0))</f>
        <v>#N/A</v>
      </c>
      <c r="Z9" t="str">
        <f>tabSuperdettagli[[#This Row],[WBS Element]]&amp;""</f>
        <v>Go</v>
      </c>
      <c r="AA9" t="str">
        <f>tabSuperdettagli[[#This Row],[09.2025]]</f>
        <v>234</v>
      </c>
      <c r="AC9" t="str">
        <f>IF( tabSuperdettagli[[#This Row],[ProjType_]]="M",  IF(  AND(tabSuperdettagli[[#This Row],[Resp 1°liv_]]="Guidotti C.", tabSuperdettagli[[#This Row],[WBE description_]]="Machine Mgmt"), "Documentation", tabSuperdettagli[[#This Row],[WBE description_]]),  "" )</f>
        <v/>
      </c>
      <c r="AD9" t="str">
        <f>LEFT(tabSuperdettagli[[#This Row],[Network]], 18 )</f>
        <v>5447634</v>
      </c>
      <c r="AE9" t="s">
        <v>75</v>
      </c>
      <c r="AF9" t="s">
        <v>204</v>
      </c>
      <c r="AG9" t="s">
        <v>243</v>
      </c>
      <c r="AH9" t="s">
        <v>192</v>
      </c>
      <c r="AI9" t="s">
        <v>235</v>
      </c>
      <c r="AJ9" t="s">
        <v>193</v>
      </c>
      <c r="AK9">
        <v>2025</v>
      </c>
      <c r="AL9" t="s">
        <v>194</v>
      </c>
      <c r="AM9" t="s">
        <v>195</v>
      </c>
      <c r="AN9" t="s">
        <v>189</v>
      </c>
      <c r="AO9" t="s">
        <v>190</v>
      </c>
      <c r="AP9" t="s">
        <v>239</v>
      </c>
      <c r="AQ9" t="s">
        <v>196</v>
      </c>
      <c r="AR9" t="s">
        <v>197</v>
      </c>
      <c r="AS9" t="s">
        <v>76</v>
      </c>
      <c r="AT9" t="s">
        <v>77</v>
      </c>
      <c r="AU9" t="s">
        <v>35</v>
      </c>
      <c r="AV9" t="s">
        <v>78</v>
      </c>
      <c r="AW9" t="s">
        <v>178</v>
      </c>
      <c r="AX9" t="s">
        <v>192</v>
      </c>
      <c r="AY9" t="s">
        <v>198</v>
      </c>
      <c r="AZ9" t="s">
        <v>199</v>
      </c>
      <c r="BA9" t="s">
        <v>200</v>
      </c>
      <c r="BB9" t="s">
        <v>80</v>
      </c>
      <c r="BC9">
        <v>84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84</v>
      </c>
      <c r="BP9" t="s">
        <v>45</v>
      </c>
      <c r="BQ9" t="s">
        <v>201</v>
      </c>
      <c r="BR9" t="s">
        <v>188</v>
      </c>
      <c r="BS9" t="s">
        <v>197</v>
      </c>
      <c r="BT9" t="s">
        <v>178</v>
      </c>
      <c r="BU9" t="s">
        <v>202</v>
      </c>
      <c r="BV9" t="s">
        <v>191</v>
      </c>
      <c r="BW9" t="s">
        <v>74</v>
      </c>
      <c r="BX9" t="s">
        <v>74</v>
      </c>
      <c r="BZ9" t="s">
        <v>203</v>
      </c>
      <c r="CB9" t="s">
        <v>74</v>
      </c>
    </row>
    <row r="10" spans="1:82" x14ac:dyDescent="0.25">
      <c r="A10" t="str">
        <f>IF(  UPPER(LEFT( tabSuperdettagli[[#This Row],[WBE Status]],1) ) = "S",  "sì",  "no"   )</f>
        <v>no</v>
      </c>
      <c r="B10">
        <v>2025</v>
      </c>
      <c r="C10">
        <f>VLOOKUP(tabSuperdettagli[[#This Row],[WBS_]], 'pivot di appoggio'!A:B,2,FALSE)</f>
        <v>2000</v>
      </c>
      <c r="D10" t="str">
        <f>LEFT(tabSuperdettagli[[#This Row],[Network]], 10)</f>
        <v>5447634</v>
      </c>
      <c r="E10" t="str">
        <f>LEFT(tabSuperdettagli[[#This Row],[Network]], 1)</f>
        <v>5</v>
      </c>
      <c r="F10" t="str">
        <f>LOWER(TRIM( tabSuperdettagli[[#This Row],[Proj. Type ]] ))</f>
        <v/>
      </c>
      <c r="G10" t="str">
        <f>IF( OR( tabSuperdettagli[[#This Row],[ProjType_]]="C", tabSuperdettagli[[#This Row],[ProjType_]]="A", tabSuperdettagli[[#This Row],[ProjType_]]="R", tabSuperdettagli[[#This Row],[ProjType_]]="E"),  "C A R E",
        IF( tabSuperdettagli[[#This Row],[ProjType_]]="U",  "U (" &amp; tabSuperdettagli[[#This Row],[U ProjType_]] &amp; ")",
        tabSuperdettagli[[#This Row],[ProjType_]]) )</f>
        <v>5</v>
      </c>
      <c r="I10" t="e">
        <f>IF(  TRIM(#REF!)&gt; "", TRIM(#REF!), TRIM(tabSuperdettagli[[#This Row],[Resp DT]] ) )</f>
        <v>#REF!</v>
      </c>
      <c r="J10" t="str">
        <f>tabSuperdettagli[[#This Row],[07.2025]]</f>
        <v>10</v>
      </c>
      <c r="K10">
        <f>tabSuperdettagli[[#This Row],[Resp del Prodotto]]</f>
        <v>0</v>
      </c>
      <c r="L10">
        <f>tabSuperdettagli[[#This Row],[Area di bdg]]</f>
        <v>0</v>
      </c>
      <c r="W10" t="str">
        <f>tabSuperdettagli[[#This Row],[PROJ CODE]]</f>
        <v>CONV NGP PLATFORM ENG</v>
      </c>
      <c r="X10" t="str">
        <f>tabSuperdettagli[[#This Row],[Resp 2°liv]]&amp;""</f>
        <v>Gamberini G.</v>
      </c>
      <c r="Y10" t="e">
        <f>INDEX(     tab_resp1liv[EngUnit area cluster 1_],
                    MATCH(   SUBSTITUTE(tabSuperdettagli[[#This Row],[Resp 2°liv]],  " ", ""),
                                      tab_resp1liv[SearchKey],0))</f>
        <v>#N/A</v>
      </c>
      <c r="Z10" t="str">
        <f>tabSuperdettagli[[#This Row],[WBS Element]]&amp;""</f>
        <v>Go</v>
      </c>
      <c r="AA10" t="str">
        <f>tabSuperdettagli[[#This Row],[09.2025]]</f>
        <v>234</v>
      </c>
      <c r="AC10" t="str">
        <f>IF( tabSuperdettagli[[#This Row],[ProjType_]]="M",  IF(  AND(tabSuperdettagli[[#This Row],[Resp 1°liv_]]="Guidotti C.", tabSuperdettagli[[#This Row],[WBE description_]]="Machine Mgmt"), "Documentation", tabSuperdettagli[[#This Row],[WBE description_]]),  "" )</f>
        <v/>
      </c>
      <c r="AD10" t="str">
        <f>LEFT(tabSuperdettagli[[#This Row],[Network]], 18 )</f>
        <v>5447634</v>
      </c>
      <c r="AE10" t="s">
        <v>75</v>
      </c>
      <c r="AF10" t="s">
        <v>204</v>
      </c>
      <c r="AG10" t="s">
        <v>243</v>
      </c>
      <c r="AH10" t="s">
        <v>192</v>
      </c>
      <c r="AI10" t="s">
        <v>235</v>
      </c>
      <c r="AJ10" t="s">
        <v>193</v>
      </c>
      <c r="AK10">
        <v>2025</v>
      </c>
      <c r="AL10" t="s">
        <v>194</v>
      </c>
      <c r="AM10" t="s">
        <v>195</v>
      </c>
      <c r="AN10" t="s">
        <v>189</v>
      </c>
      <c r="AO10" t="s">
        <v>190</v>
      </c>
      <c r="AP10" t="s">
        <v>239</v>
      </c>
      <c r="AQ10" t="s">
        <v>196</v>
      </c>
      <c r="AR10" t="s">
        <v>197</v>
      </c>
      <c r="AS10" t="s">
        <v>76</v>
      </c>
      <c r="AT10" t="s">
        <v>77</v>
      </c>
      <c r="AU10" t="s">
        <v>35</v>
      </c>
      <c r="AV10" t="s">
        <v>78</v>
      </c>
      <c r="AW10" t="s">
        <v>178</v>
      </c>
      <c r="AX10" t="s">
        <v>192</v>
      </c>
      <c r="AY10" t="s">
        <v>198</v>
      </c>
      <c r="AZ10" t="s">
        <v>199</v>
      </c>
      <c r="BA10" t="s">
        <v>200</v>
      </c>
      <c r="BB10" t="s">
        <v>80</v>
      </c>
      <c r="BC10">
        <v>84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84</v>
      </c>
      <c r="BP10" t="s">
        <v>45</v>
      </c>
      <c r="BQ10" t="s">
        <v>201</v>
      </c>
      <c r="BR10" t="s">
        <v>188</v>
      </c>
      <c r="BS10" t="s">
        <v>197</v>
      </c>
      <c r="BT10" t="s">
        <v>178</v>
      </c>
      <c r="BU10" t="s">
        <v>202</v>
      </c>
      <c r="BV10" t="s">
        <v>191</v>
      </c>
      <c r="BW10" t="s">
        <v>74</v>
      </c>
      <c r="BX10" t="s">
        <v>74</v>
      </c>
      <c r="BZ10" t="s">
        <v>203</v>
      </c>
      <c r="CB10" t="s">
        <v>74</v>
      </c>
    </row>
    <row r="11" spans="1:82" x14ac:dyDescent="0.25">
      <c r="A11" t="str">
        <f>IF(  UPPER(LEFT( tabSuperdettagli[[#This Row],[WBE Status]],1) ) = "S",  "sì",  "no"   )</f>
        <v>no</v>
      </c>
      <c r="B11">
        <v>2025</v>
      </c>
      <c r="C11">
        <f>VLOOKUP(tabSuperdettagli[[#This Row],[WBS_]], 'pivot di appoggio'!A:B,2,FALSE)</f>
        <v>2000</v>
      </c>
      <c r="D11" t="str">
        <f>LEFT(tabSuperdettagli[[#This Row],[Network]], 10)</f>
        <v>5447634</v>
      </c>
      <c r="E11" t="str">
        <f>LEFT(tabSuperdettagli[[#This Row],[Network]], 1)</f>
        <v>5</v>
      </c>
      <c r="F11" t="str">
        <f>LOWER(TRIM( tabSuperdettagli[[#This Row],[Proj. Type ]] ))</f>
        <v/>
      </c>
      <c r="G11" t="str">
        <f>IF( OR( tabSuperdettagli[[#This Row],[ProjType_]]="C", tabSuperdettagli[[#This Row],[ProjType_]]="A", tabSuperdettagli[[#This Row],[ProjType_]]="R", tabSuperdettagli[[#This Row],[ProjType_]]="E"),  "C A R E",
        IF( tabSuperdettagli[[#This Row],[ProjType_]]="U",  "U (" &amp; tabSuperdettagli[[#This Row],[U ProjType_]] &amp; ")",
        tabSuperdettagli[[#This Row],[ProjType_]]) )</f>
        <v>5</v>
      </c>
      <c r="I11" t="e">
        <f>IF(  TRIM(#REF!)&gt; "", TRIM(#REF!), TRIM(tabSuperdettagli[[#This Row],[Resp DT]] ) )</f>
        <v>#REF!</v>
      </c>
      <c r="J11" t="str">
        <f>tabSuperdettagli[[#This Row],[07.2025]]</f>
        <v>10</v>
      </c>
      <c r="K11">
        <f>tabSuperdettagli[[#This Row],[Resp del Prodotto]]</f>
        <v>0</v>
      </c>
      <c r="L11">
        <f>tabSuperdettagli[[#This Row],[Area di bdg]]</f>
        <v>0</v>
      </c>
      <c r="W11" t="str">
        <f>tabSuperdettagli[[#This Row],[PROJ CODE]]</f>
        <v>CONV NGP PLATFORM ENG</v>
      </c>
      <c r="X11" t="str">
        <f>tabSuperdettagli[[#This Row],[Resp 2°liv]]&amp;""</f>
        <v>Gamberini G.</v>
      </c>
      <c r="Y11" t="e">
        <f>INDEX(     tab_resp1liv[EngUnit area cluster 1_],
                    MATCH(   SUBSTITUTE(tabSuperdettagli[[#This Row],[Resp 2°liv]],  " ", ""),
                                      tab_resp1liv[SearchKey],0))</f>
        <v>#N/A</v>
      </c>
      <c r="Z11" t="str">
        <f>tabSuperdettagli[[#This Row],[WBS Element]]&amp;""</f>
        <v>Go</v>
      </c>
      <c r="AA11" t="str">
        <f>tabSuperdettagli[[#This Row],[09.2025]]</f>
        <v>234</v>
      </c>
      <c r="AC11" t="str">
        <f>IF( tabSuperdettagli[[#This Row],[ProjType_]]="M",  IF(  AND(tabSuperdettagli[[#This Row],[Resp 1°liv_]]="Guidotti C.", tabSuperdettagli[[#This Row],[WBE description_]]="Machine Mgmt"), "Documentation", tabSuperdettagli[[#This Row],[WBE description_]]),  "" )</f>
        <v/>
      </c>
      <c r="AD11" t="str">
        <f>LEFT(tabSuperdettagli[[#This Row],[Network]], 18 )</f>
        <v>5447634</v>
      </c>
      <c r="AE11" t="s">
        <v>75</v>
      </c>
      <c r="AF11" t="s">
        <v>204</v>
      </c>
      <c r="AG11" t="s">
        <v>243</v>
      </c>
      <c r="AH11" t="s">
        <v>192</v>
      </c>
      <c r="AI11" t="s">
        <v>235</v>
      </c>
      <c r="AJ11" t="s">
        <v>193</v>
      </c>
      <c r="AK11">
        <v>2025</v>
      </c>
      <c r="AL11" t="s">
        <v>194</v>
      </c>
      <c r="AM11" t="s">
        <v>195</v>
      </c>
      <c r="AN11" t="s">
        <v>189</v>
      </c>
      <c r="AO11" t="s">
        <v>190</v>
      </c>
      <c r="AP11" t="s">
        <v>239</v>
      </c>
      <c r="AQ11" t="s">
        <v>196</v>
      </c>
      <c r="AR11" t="s">
        <v>197</v>
      </c>
      <c r="AS11" t="s">
        <v>76</v>
      </c>
      <c r="AT11" t="s">
        <v>77</v>
      </c>
      <c r="AU11" t="s">
        <v>35</v>
      </c>
      <c r="AV11" t="s">
        <v>78</v>
      </c>
      <c r="AW11" t="s">
        <v>178</v>
      </c>
      <c r="AX11" t="s">
        <v>192</v>
      </c>
      <c r="AY11" t="s">
        <v>198</v>
      </c>
      <c r="AZ11" t="s">
        <v>199</v>
      </c>
      <c r="BA11" t="s">
        <v>200</v>
      </c>
      <c r="BB11" t="s">
        <v>80</v>
      </c>
      <c r="BC11">
        <v>84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84</v>
      </c>
      <c r="BP11" t="s">
        <v>45</v>
      </c>
      <c r="BQ11" t="s">
        <v>201</v>
      </c>
      <c r="BR11" t="s">
        <v>188</v>
      </c>
      <c r="BS11" t="s">
        <v>197</v>
      </c>
      <c r="BT11" t="s">
        <v>178</v>
      </c>
      <c r="BU11" t="s">
        <v>202</v>
      </c>
      <c r="BV11" t="s">
        <v>191</v>
      </c>
      <c r="BW11" t="s">
        <v>74</v>
      </c>
      <c r="BX11" t="s">
        <v>74</v>
      </c>
      <c r="BZ11" t="s">
        <v>203</v>
      </c>
      <c r="CB11" t="s">
        <v>74</v>
      </c>
    </row>
    <row r="12" spans="1:82" x14ac:dyDescent="0.25">
      <c r="A12" t="str">
        <f>IF(  UPPER(LEFT( tabSuperdettagli[[#This Row],[WBE Status]],1) ) = "S",  "sì",  "no"   )</f>
        <v>no</v>
      </c>
      <c r="B12">
        <v>2025</v>
      </c>
      <c r="C12">
        <f>VLOOKUP(tabSuperdettagli[[#This Row],[WBS_]], 'pivot di appoggio'!A:B,2,FALSE)</f>
        <v>2000</v>
      </c>
      <c r="D12" t="str">
        <f>LEFT(tabSuperdettagli[[#This Row],[Network]], 10)</f>
        <v>5447634</v>
      </c>
      <c r="E12" t="str">
        <f>LEFT(tabSuperdettagli[[#This Row],[Network]], 1)</f>
        <v>5</v>
      </c>
      <c r="F12" t="str">
        <f>LOWER(TRIM( tabSuperdettagli[[#This Row],[Proj. Type ]] ))</f>
        <v/>
      </c>
      <c r="G12" t="str">
        <f>IF( OR( tabSuperdettagli[[#This Row],[ProjType_]]="C", tabSuperdettagli[[#This Row],[ProjType_]]="A", tabSuperdettagli[[#This Row],[ProjType_]]="R", tabSuperdettagli[[#This Row],[ProjType_]]="E"),  "C A R E",
        IF( tabSuperdettagli[[#This Row],[ProjType_]]="U",  "U (" &amp; tabSuperdettagli[[#This Row],[U ProjType_]] &amp; ")",
        tabSuperdettagli[[#This Row],[ProjType_]]) )</f>
        <v>5</v>
      </c>
      <c r="I12" t="e">
        <f>IF(  TRIM(#REF!)&gt; "", TRIM(#REF!), TRIM(tabSuperdettagli[[#This Row],[Resp DT]] ) )</f>
        <v>#REF!</v>
      </c>
      <c r="J12" t="str">
        <f>tabSuperdettagli[[#This Row],[07.2025]]</f>
        <v>10</v>
      </c>
      <c r="K12">
        <f>tabSuperdettagli[[#This Row],[Resp del Prodotto]]</f>
        <v>0</v>
      </c>
      <c r="L12">
        <f>tabSuperdettagli[[#This Row],[Area di bdg]]</f>
        <v>0</v>
      </c>
      <c r="W12" t="str">
        <f>tabSuperdettagli[[#This Row],[PROJ CODE]]</f>
        <v>CONV NGP PLATFORM ENG</v>
      </c>
      <c r="X12" t="str">
        <f>tabSuperdettagli[[#This Row],[Resp 2°liv]]&amp;""</f>
        <v>Gamberini G.</v>
      </c>
      <c r="Y12" t="e">
        <f>INDEX(     tab_resp1liv[EngUnit area cluster 1_],
                    MATCH(   SUBSTITUTE(tabSuperdettagli[[#This Row],[Resp 2°liv]],  " ", ""),
                                      tab_resp1liv[SearchKey],0))</f>
        <v>#N/A</v>
      </c>
      <c r="Z12" t="str">
        <f>tabSuperdettagli[[#This Row],[WBS Element]]&amp;""</f>
        <v>Go</v>
      </c>
      <c r="AA12" t="str">
        <f>tabSuperdettagli[[#This Row],[09.2025]]</f>
        <v>234</v>
      </c>
      <c r="AC12" t="str">
        <f>IF( tabSuperdettagli[[#This Row],[ProjType_]]="M",  IF(  AND(tabSuperdettagli[[#This Row],[Resp 1°liv_]]="Guidotti C.", tabSuperdettagli[[#This Row],[WBE description_]]="Machine Mgmt"), "Documentation", tabSuperdettagli[[#This Row],[WBE description_]]),  "" )</f>
        <v/>
      </c>
      <c r="AD12" t="str">
        <f>LEFT(tabSuperdettagli[[#This Row],[Network]], 18 )</f>
        <v>5447634</v>
      </c>
      <c r="AE12" t="s">
        <v>75</v>
      </c>
      <c r="AF12" t="s">
        <v>204</v>
      </c>
      <c r="AG12" t="s">
        <v>243</v>
      </c>
      <c r="AH12" t="s">
        <v>192</v>
      </c>
      <c r="AI12" t="s">
        <v>235</v>
      </c>
      <c r="AJ12" t="s">
        <v>193</v>
      </c>
      <c r="AK12">
        <v>2025</v>
      </c>
      <c r="AL12" t="s">
        <v>194</v>
      </c>
      <c r="AM12" t="s">
        <v>195</v>
      </c>
      <c r="AN12" t="s">
        <v>189</v>
      </c>
      <c r="AO12" t="s">
        <v>190</v>
      </c>
      <c r="AP12" t="s">
        <v>239</v>
      </c>
      <c r="AQ12" t="s">
        <v>196</v>
      </c>
      <c r="AR12" t="s">
        <v>197</v>
      </c>
      <c r="AS12" t="s">
        <v>76</v>
      </c>
      <c r="AT12" t="s">
        <v>77</v>
      </c>
      <c r="AU12" t="s">
        <v>35</v>
      </c>
      <c r="AV12" t="s">
        <v>78</v>
      </c>
      <c r="AW12" t="s">
        <v>178</v>
      </c>
      <c r="AX12" t="s">
        <v>192</v>
      </c>
      <c r="AY12" t="s">
        <v>198</v>
      </c>
      <c r="AZ12" t="s">
        <v>199</v>
      </c>
      <c r="BA12" t="s">
        <v>200</v>
      </c>
      <c r="BB12" t="s">
        <v>80</v>
      </c>
      <c r="BC12">
        <v>84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84</v>
      </c>
      <c r="BP12" t="s">
        <v>45</v>
      </c>
      <c r="BQ12" t="s">
        <v>201</v>
      </c>
      <c r="BR12" t="s">
        <v>188</v>
      </c>
      <c r="BS12" t="s">
        <v>197</v>
      </c>
      <c r="BT12" t="s">
        <v>178</v>
      </c>
      <c r="BU12" t="s">
        <v>202</v>
      </c>
      <c r="BV12" t="s">
        <v>191</v>
      </c>
      <c r="BW12" t="s">
        <v>74</v>
      </c>
      <c r="BX12" t="s">
        <v>74</v>
      </c>
      <c r="BZ12" t="s">
        <v>203</v>
      </c>
      <c r="CB12" t="s">
        <v>74</v>
      </c>
    </row>
    <row r="13" spans="1:82" x14ac:dyDescent="0.25">
      <c r="A13" t="str">
        <f>IF(  UPPER(LEFT( tabSuperdettagli[[#This Row],[WBE Status]],1) ) = "S",  "sì",  "no"   )</f>
        <v>no</v>
      </c>
      <c r="B13">
        <v>2025</v>
      </c>
      <c r="C13">
        <f>VLOOKUP(tabSuperdettagli[[#This Row],[WBS_]], 'pivot di appoggio'!A:B,2,FALSE)</f>
        <v>2000</v>
      </c>
      <c r="D13" t="str">
        <f>LEFT(tabSuperdettagli[[#This Row],[Network]], 10)</f>
        <v>5447634</v>
      </c>
      <c r="E13" t="str">
        <f>LEFT(tabSuperdettagli[[#This Row],[Network]], 1)</f>
        <v>5</v>
      </c>
      <c r="F13" t="str">
        <f>LOWER(TRIM( tabSuperdettagli[[#This Row],[Proj. Type ]] ))</f>
        <v/>
      </c>
      <c r="G13" t="str">
        <f>IF( OR( tabSuperdettagli[[#This Row],[ProjType_]]="C", tabSuperdettagli[[#This Row],[ProjType_]]="A", tabSuperdettagli[[#This Row],[ProjType_]]="R", tabSuperdettagli[[#This Row],[ProjType_]]="E"),  "C A R E",
        IF( tabSuperdettagli[[#This Row],[ProjType_]]="U",  "U (" &amp; tabSuperdettagli[[#This Row],[U ProjType_]] &amp; ")",
        tabSuperdettagli[[#This Row],[ProjType_]]) )</f>
        <v>5</v>
      </c>
      <c r="I13" t="e">
        <f>IF(  TRIM(#REF!)&gt; "", TRIM(#REF!), TRIM(tabSuperdettagli[[#This Row],[Resp DT]] ) )</f>
        <v>#REF!</v>
      </c>
      <c r="J13" t="str">
        <f>tabSuperdettagli[[#This Row],[07.2025]]</f>
        <v>10</v>
      </c>
      <c r="K13">
        <f>tabSuperdettagli[[#This Row],[Resp del Prodotto]]</f>
        <v>0</v>
      </c>
      <c r="L13">
        <f>tabSuperdettagli[[#This Row],[Area di bdg]]</f>
        <v>0</v>
      </c>
      <c r="W13" t="str">
        <f>tabSuperdettagli[[#This Row],[PROJ CODE]]</f>
        <v>CONV NGP PLATFORM ENG</v>
      </c>
      <c r="X13" t="str">
        <f>tabSuperdettagli[[#This Row],[Resp 2°liv]]&amp;""</f>
        <v>Gamberini G.</v>
      </c>
      <c r="Y13" t="e">
        <f>INDEX(     tab_resp1liv[EngUnit area cluster 1_],
                    MATCH(   SUBSTITUTE(tabSuperdettagli[[#This Row],[Resp 2°liv]],  " ", ""),
                                      tab_resp1liv[SearchKey],0))</f>
        <v>#N/A</v>
      </c>
      <c r="Z13" t="str">
        <f>tabSuperdettagli[[#This Row],[WBS Element]]&amp;""</f>
        <v>Go</v>
      </c>
      <c r="AA13" t="str">
        <f>tabSuperdettagli[[#This Row],[09.2025]]</f>
        <v>234</v>
      </c>
      <c r="AC13" t="str">
        <f>IF( tabSuperdettagli[[#This Row],[ProjType_]]="M",  IF(  AND(tabSuperdettagli[[#This Row],[Resp 1°liv_]]="Guidotti C.", tabSuperdettagli[[#This Row],[WBE description_]]="Machine Mgmt"), "Documentation", tabSuperdettagli[[#This Row],[WBE description_]]),  "" )</f>
        <v/>
      </c>
      <c r="AD13" t="str">
        <f>LEFT(tabSuperdettagli[[#This Row],[Network]], 18 )</f>
        <v>5447634</v>
      </c>
      <c r="AE13" t="s">
        <v>75</v>
      </c>
      <c r="AF13" t="s">
        <v>204</v>
      </c>
      <c r="AG13" t="s">
        <v>243</v>
      </c>
      <c r="AH13" t="s">
        <v>192</v>
      </c>
      <c r="AI13" t="s">
        <v>235</v>
      </c>
      <c r="AJ13" t="s">
        <v>193</v>
      </c>
      <c r="AK13">
        <v>2025</v>
      </c>
      <c r="AL13" t="s">
        <v>194</v>
      </c>
      <c r="AM13" t="s">
        <v>195</v>
      </c>
      <c r="AN13" t="s">
        <v>189</v>
      </c>
      <c r="AO13" t="s">
        <v>190</v>
      </c>
      <c r="AP13" t="s">
        <v>239</v>
      </c>
      <c r="AQ13" t="s">
        <v>196</v>
      </c>
      <c r="AR13" t="s">
        <v>197</v>
      </c>
      <c r="AS13" t="s">
        <v>76</v>
      </c>
      <c r="AT13" t="s">
        <v>77</v>
      </c>
      <c r="AU13" t="s">
        <v>35</v>
      </c>
      <c r="AV13" t="s">
        <v>78</v>
      </c>
      <c r="AW13" t="s">
        <v>178</v>
      </c>
      <c r="AX13" t="s">
        <v>192</v>
      </c>
      <c r="AY13" t="s">
        <v>198</v>
      </c>
      <c r="AZ13" t="s">
        <v>199</v>
      </c>
      <c r="BA13" t="s">
        <v>200</v>
      </c>
      <c r="BB13" t="s">
        <v>80</v>
      </c>
      <c r="BC13">
        <v>84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84</v>
      </c>
      <c r="BP13" t="s">
        <v>45</v>
      </c>
      <c r="BQ13" t="s">
        <v>201</v>
      </c>
      <c r="BR13" t="s">
        <v>188</v>
      </c>
      <c r="BS13" t="s">
        <v>197</v>
      </c>
      <c r="BT13" t="s">
        <v>178</v>
      </c>
      <c r="BU13" t="s">
        <v>202</v>
      </c>
      <c r="BV13" t="s">
        <v>191</v>
      </c>
      <c r="BW13" t="s">
        <v>74</v>
      </c>
      <c r="BX13" t="s">
        <v>74</v>
      </c>
      <c r="BZ13" t="s">
        <v>203</v>
      </c>
      <c r="CB13" t="s">
        <v>74</v>
      </c>
    </row>
    <row r="14" spans="1:82" x14ac:dyDescent="0.25">
      <c r="A14" t="str">
        <f>IF(  UPPER(LEFT( tabSuperdettagli[[#This Row],[WBE Status]],1) ) = "S",  "sì",  "no"   )</f>
        <v>no</v>
      </c>
      <c r="B14">
        <v>2025</v>
      </c>
      <c r="C14">
        <f>VLOOKUP(tabSuperdettagli[[#This Row],[WBS_]], 'pivot di appoggio'!A:B,2,FALSE)</f>
        <v>2000</v>
      </c>
      <c r="D14" t="str">
        <f>LEFT(tabSuperdettagli[[#This Row],[Network]], 10)</f>
        <v>5447634</v>
      </c>
      <c r="E14" t="str">
        <f>LEFT(tabSuperdettagli[[#This Row],[Network]], 1)</f>
        <v>5</v>
      </c>
      <c r="F14" t="str">
        <f>LOWER(TRIM( tabSuperdettagli[[#This Row],[Proj. Type ]] ))</f>
        <v/>
      </c>
      <c r="G14" t="str">
        <f>IF( OR( tabSuperdettagli[[#This Row],[ProjType_]]="C", tabSuperdettagli[[#This Row],[ProjType_]]="A", tabSuperdettagli[[#This Row],[ProjType_]]="R", tabSuperdettagli[[#This Row],[ProjType_]]="E"),  "C A R E",
        IF( tabSuperdettagli[[#This Row],[ProjType_]]="U",  "U (" &amp; tabSuperdettagli[[#This Row],[U ProjType_]] &amp; ")",
        tabSuperdettagli[[#This Row],[ProjType_]]) )</f>
        <v>5</v>
      </c>
      <c r="I14" t="e">
        <f>IF(  TRIM(#REF!)&gt; "", TRIM(#REF!), TRIM(tabSuperdettagli[[#This Row],[Resp DT]] ) )</f>
        <v>#REF!</v>
      </c>
      <c r="J14" t="str">
        <f>tabSuperdettagli[[#This Row],[07.2025]]</f>
        <v>10</v>
      </c>
      <c r="K14">
        <f>tabSuperdettagli[[#This Row],[Resp del Prodotto]]</f>
        <v>0</v>
      </c>
      <c r="L14">
        <f>tabSuperdettagli[[#This Row],[Area di bdg]]</f>
        <v>0</v>
      </c>
      <c r="W14" t="str">
        <f>tabSuperdettagli[[#This Row],[PROJ CODE]]</f>
        <v>CONV NGP PLATFORM ENG</v>
      </c>
      <c r="X14" t="str">
        <f>tabSuperdettagli[[#This Row],[Resp 2°liv]]&amp;""</f>
        <v>Gamberini G.</v>
      </c>
      <c r="Y14" t="e">
        <f>INDEX(     tab_resp1liv[EngUnit area cluster 1_],
                    MATCH(   SUBSTITUTE(tabSuperdettagli[[#This Row],[Resp 2°liv]],  " ", ""),
                                      tab_resp1liv[SearchKey],0))</f>
        <v>#N/A</v>
      </c>
      <c r="Z14" t="str">
        <f>tabSuperdettagli[[#This Row],[WBS Element]]&amp;""</f>
        <v>Go</v>
      </c>
      <c r="AA14" t="str">
        <f>tabSuperdettagli[[#This Row],[09.2025]]</f>
        <v>234</v>
      </c>
      <c r="AC14" t="str">
        <f>IF( tabSuperdettagli[[#This Row],[ProjType_]]="M",  IF(  AND(tabSuperdettagli[[#This Row],[Resp 1°liv_]]="Guidotti C.", tabSuperdettagli[[#This Row],[WBE description_]]="Machine Mgmt"), "Documentation", tabSuperdettagli[[#This Row],[WBE description_]]),  "" )</f>
        <v/>
      </c>
      <c r="AD14" t="str">
        <f>LEFT(tabSuperdettagli[[#This Row],[Network]], 18 )</f>
        <v>5447634</v>
      </c>
      <c r="AE14" t="s">
        <v>75</v>
      </c>
      <c r="AF14" t="s">
        <v>204</v>
      </c>
      <c r="AG14" t="s">
        <v>243</v>
      </c>
      <c r="AH14" t="s">
        <v>192</v>
      </c>
      <c r="AI14" t="s">
        <v>235</v>
      </c>
      <c r="AJ14" t="s">
        <v>193</v>
      </c>
      <c r="AK14">
        <v>2025</v>
      </c>
      <c r="AL14" t="s">
        <v>194</v>
      </c>
      <c r="AM14" t="s">
        <v>195</v>
      </c>
      <c r="AN14" t="s">
        <v>189</v>
      </c>
      <c r="AO14" t="s">
        <v>190</v>
      </c>
      <c r="AP14" t="s">
        <v>239</v>
      </c>
      <c r="AQ14" t="s">
        <v>196</v>
      </c>
      <c r="AR14" t="s">
        <v>197</v>
      </c>
      <c r="AS14" t="s">
        <v>76</v>
      </c>
      <c r="AT14" t="s">
        <v>77</v>
      </c>
      <c r="AU14" t="s">
        <v>35</v>
      </c>
      <c r="AV14" t="s">
        <v>78</v>
      </c>
      <c r="AW14" t="s">
        <v>178</v>
      </c>
      <c r="AX14" t="s">
        <v>192</v>
      </c>
      <c r="AY14" t="s">
        <v>198</v>
      </c>
      <c r="AZ14" t="s">
        <v>199</v>
      </c>
      <c r="BA14" t="s">
        <v>200</v>
      </c>
      <c r="BB14" t="s">
        <v>80</v>
      </c>
      <c r="BC14">
        <v>84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84</v>
      </c>
      <c r="BP14" t="s">
        <v>45</v>
      </c>
      <c r="BQ14" t="s">
        <v>201</v>
      </c>
      <c r="BR14" t="s">
        <v>188</v>
      </c>
      <c r="BS14" t="s">
        <v>197</v>
      </c>
      <c r="BT14" t="s">
        <v>178</v>
      </c>
      <c r="BU14" t="s">
        <v>202</v>
      </c>
      <c r="BV14" t="s">
        <v>191</v>
      </c>
      <c r="BW14" t="s">
        <v>74</v>
      </c>
      <c r="BX14" t="s">
        <v>74</v>
      </c>
      <c r="BZ14" t="s">
        <v>203</v>
      </c>
      <c r="CB14" t="s">
        <v>74</v>
      </c>
    </row>
    <row r="15" spans="1:82" x14ac:dyDescent="0.25">
      <c r="A15" t="str">
        <f>IF(  UPPER(LEFT( tabSuperdettagli[[#This Row],[WBE Status]],1) ) = "S",  "sì",  "no"   )</f>
        <v>no</v>
      </c>
      <c r="B15">
        <v>2025</v>
      </c>
      <c r="C15">
        <f>VLOOKUP(tabSuperdettagli[[#This Row],[WBS_]], 'pivot di appoggio'!A:B,2,FALSE)</f>
        <v>2000</v>
      </c>
      <c r="D15" t="str">
        <f>LEFT(tabSuperdettagli[[#This Row],[Network]], 10)</f>
        <v>5447634</v>
      </c>
      <c r="E15" t="str">
        <f>LEFT(tabSuperdettagli[[#This Row],[Network]], 1)</f>
        <v>5</v>
      </c>
      <c r="F15" t="str">
        <f>LOWER(TRIM( tabSuperdettagli[[#This Row],[Proj. Type ]] ))</f>
        <v/>
      </c>
      <c r="G15" t="str">
        <f>IF( OR( tabSuperdettagli[[#This Row],[ProjType_]]="C", tabSuperdettagli[[#This Row],[ProjType_]]="A", tabSuperdettagli[[#This Row],[ProjType_]]="R", tabSuperdettagli[[#This Row],[ProjType_]]="E"),  "C A R E",
        IF( tabSuperdettagli[[#This Row],[ProjType_]]="U",  "U (" &amp; tabSuperdettagli[[#This Row],[U ProjType_]] &amp; ")",
        tabSuperdettagli[[#This Row],[ProjType_]]) )</f>
        <v>5</v>
      </c>
      <c r="I15" t="e">
        <f>IF(  TRIM(#REF!)&gt; "", TRIM(#REF!), TRIM(tabSuperdettagli[[#This Row],[Resp DT]] ) )</f>
        <v>#REF!</v>
      </c>
      <c r="J15" t="str">
        <f>tabSuperdettagli[[#This Row],[07.2025]]</f>
        <v>10</v>
      </c>
      <c r="K15">
        <f>tabSuperdettagli[[#This Row],[Resp del Prodotto]]</f>
        <v>0</v>
      </c>
      <c r="L15">
        <f>tabSuperdettagli[[#This Row],[Area di bdg]]</f>
        <v>0</v>
      </c>
      <c r="W15" t="str">
        <f>tabSuperdettagli[[#This Row],[PROJ CODE]]</f>
        <v>CONV NGP PLATFORM ENG</v>
      </c>
      <c r="X15" t="str">
        <f>tabSuperdettagli[[#This Row],[Resp 2°liv]]&amp;""</f>
        <v>Gamberini G.</v>
      </c>
      <c r="Y15" t="e">
        <f>INDEX(     tab_resp1liv[EngUnit area cluster 1_],
                    MATCH(   SUBSTITUTE(tabSuperdettagli[[#This Row],[Resp 2°liv]],  " ", ""),
                                      tab_resp1liv[SearchKey],0))</f>
        <v>#N/A</v>
      </c>
      <c r="Z15" t="str">
        <f>tabSuperdettagli[[#This Row],[WBS Element]]&amp;""</f>
        <v>Go</v>
      </c>
      <c r="AA15" t="str">
        <f>tabSuperdettagli[[#This Row],[09.2025]]</f>
        <v>234</v>
      </c>
      <c r="AC15" t="str">
        <f>IF( tabSuperdettagli[[#This Row],[ProjType_]]="M",  IF(  AND(tabSuperdettagli[[#This Row],[Resp 1°liv_]]="Guidotti C.", tabSuperdettagli[[#This Row],[WBE description_]]="Machine Mgmt"), "Documentation", tabSuperdettagli[[#This Row],[WBE description_]]),  "" )</f>
        <v/>
      </c>
      <c r="AD15" t="str">
        <f>LEFT(tabSuperdettagli[[#This Row],[Network]], 18 )</f>
        <v>5447634</v>
      </c>
      <c r="AE15" t="s">
        <v>75</v>
      </c>
      <c r="AF15" t="s">
        <v>204</v>
      </c>
      <c r="AG15" t="s">
        <v>243</v>
      </c>
      <c r="AH15" t="s">
        <v>192</v>
      </c>
      <c r="AI15" t="s">
        <v>235</v>
      </c>
      <c r="AJ15" t="s">
        <v>193</v>
      </c>
      <c r="AK15">
        <v>2025</v>
      </c>
      <c r="AL15" t="s">
        <v>194</v>
      </c>
      <c r="AM15" t="s">
        <v>195</v>
      </c>
      <c r="AN15" t="s">
        <v>189</v>
      </c>
      <c r="AO15" t="s">
        <v>190</v>
      </c>
      <c r="AP15" t="s">
        <v>239</v>
      </c>
      <c r="AQ15" t="s">
        <v>196</v>
      </c>
      <c r="AR15" t="s">
        <v>197</v>
      </c>
      <c r="AS15" t="s">
        <v>76</v>
      </c>
      <c r="AT15" t="s">
        <v>77</v>
      </c>
      <c r="AU15" t="s">
        <v>35</v>
      </c>
      <c r="AV15" t="s">
        <v>78</v>
      </c>
      <c r="AW15" t="s">
        <v>178</v>
      </c>
      <c r="AX15" t="s">
        <v>192</v>
      </c>
      <c r="AY15" t="s">
        <v>198</v>
      </c>
      <c r="AZ15" t="s">
        <v>199</v>
      </c>
      <c r="BA15" t="s">
        <v>200</v>
      </c>
      <c r="BB15" t="s">
        <v>80</v>
      </c>
      <c r="BC15">
        <v>84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84</v>
      </c>
      <c r="BP15" t="s">
        <v>45</v>
      </c>
      <c r="BQ15" t="s">
        <v>201</v>
      </c>
      <c r="BR15" t="s">
        <v>188</v>
      </c>
      <c r="BS15" t="s">
        <v>197</v>
      </c>
      <c r="BT15" t="s">
        <v>178</v>
      </c>
      <c r="BU15" t="s">
        <v>202</v>
      </c>
      <c r="BV15" t="s">
        <v>191</v>
      </c>
      <c r="BW15" t="s">
        <v>74</v>
      </c>
      <c r="BX15" t="s">
        <v>74</v>
      </c>
      <c r="BZ15" t="s">
        <v>203</v>
      </c>
      <c r="CB15" t="s">
        <v>74</v>
      </c>
    </row>
    <row r="16" spans="1:82" x14ac:dyDescent="0.25">
      <c r="A16" t="str">
        <f>IF(  UPPER(LEFT( tabSuperdettagli[[#This Row],[WBE Status]],1) ) = "S",  "sì",  "no"   )</f>
        <v>no</v>
      </c>
      <c r="B16">
        <v>2025</v>
      </c>
      <c r="C16">
        <f>VLOOKUP(tabSuperdettagli[[#This Row],[WBS_]], 'pivot di appoggio'!A:B,2,FALSE)</f>
        <v>2000</v>
      </c>
      <c r="D16" t="str">
        <f>LEFT(tabSuperdettagli[[#This Row],[Network]], 10)</f>
        <v>5447634</v>
      </c>
      <c r="E16" t="str">
        <f>LEFT(tabSuperdettagli[[#This Row],[Network]], 1)</f>
        <v>5</v>
      </c>
      <c r="F16" t="str">
        <f>LOWER(TRIM( tabSuperdettagli[[#This Row],[Proj. Type ]] ))</f>
        <v/>
      </c>
      <c r="G16" t="str">
        <f>IF( OR( tabSuperdettagli[[#This Row],[ProjType_]]="C", tabSuperdettagli[[#This Row],[ProjType_]]="A", tabSuperdettagli[[#This Row],[ProjType_]]="R", tabSuperdettagli[[#This Row],[ProjType_]]="E"),  "C A R E",
        IF( tabSuperdettagli[[#This Row],[ProjType_]]="U",  "U (" &amp; tabSuperdettagli[[#This Row],[U ProjType_]] &amp; ")",
        tabSuperdettagli[[#This Row],[ProjType_]]) )</f>
        <v>5</v>
      </c>
      <c r="I16" t="e">
        <f>IF(  TRIM(#REF!)&gt; "", TRIM(#REF!), TRIM(tabSuperdettagli[[#This Row],[Resp DT]] ) )</f>
        <v>#REF!</v>
      </c>
      <c r="J16" t="str">
        <f>tabSuperdettagli[[#This Row],[07.2025]]</f>
        <v>10</v>
      </c>
      <c r="K16">
        <f>tabSuperdettagli[[#This Row],[Resp del Prodotto]]</f>
        <v>0</v>
      </c>
      <c r="L16">
        <f>tabSuperdettagli[[#This Row],[Area di bdg]]</f>
        <v>0</v>
      </c>
      <c r="W16" t="str">
        <f>tabSuperdettagli[[#This Row],[PROJ CODE]]</f>
        <v>CONV NGP PLATFORM ENG</v>
      </c>
      <c r="X16" t="str">
        <f>tabSuperdettagli[[#This Row],[Resp 2°liv]]&amp;""</f>
        <v>Gamberini G.</v>
      </c>
      <c r="Y16" t="e">
        <f>INDEX(     tab_resp1liv[EngUnit area cluster 1_],
                    MATCH(   SUBSTITUTE(tabSuperdettagli[[#This Row],[Resp 2°liv]],  " ", ""),
                                      tab_resp1liv[SearchKey],0))</f>
        <v>#N/A</v>
      </c>
      <c r="Z16" t="str">
        <f>tabSuperdettagli[[#This Row],[WBS Element]]&amp;""</f>
        <v>Go</v>
      </c>
      <c r="AA16" t="str">
        <f>tabSuperdettagli[[#This Row],[09.2025]]</f>
        <v>234</v>
      </c>
      <c r="AC16" t="str">
        <f>IF( tabSuperdettagli[[#This Row],[ProjType_]]="M",  IF(  AND(tabSuperdettagli[[#This Row],[Resp 1°liv_]]="Guidotti C.", tabSuperdettagli[[#This Row],[WBE description_]]="Machine Mgmt"), "Documentation", tabSuperdettagli[[#This Row],[WBE description_]]),  "" )</f>
        <v/>
      </c>
      <c r="AD16" t="str">
        <f>LEFT(tabSuperdettagli[[#This Row],[Network]], 18 )</f>
        <v>5447634</v>
      </c>
      <c r="AE16" t="s">
        <v>75</v>
      </c>
      <c r="AF16" t="s">
        <v>204</v>
      </c>
      <c r="AG16" t="s">
        <v>243</v>
      </c>
      <c r="AH16" t="s">
        <v>192</v>
      </c>
      <c r="AI16" t="s">
        <v>235</v>
      </c>
      <c r="AJ16" t="s">
        <v>193</v>
      </c>
      <c r="AK16">
        <v>2025</v>
      </c>
      <c r="AL16" t="s">
        <v>194</v>
      </c>
      <c r="AM16" t="s">
        <v>195</v>
      </c>
      <c r="AN16" t="s">
        <v>189</v>
      </c>
      <c r="AO16" t="s">
        <v>190</v>
      </c>
      <c r="AP16" t="s">
        <v>239</v>
      </c>
      <c r="AQ16" t="s">
        <v>196</v>
      </c>
      <c r="AR16" t="s">
        <v>197</v>
      </c>
      <c r="AS16" t="s">
        <v>76</v>
      </c>
      <c r="AT16" t="s">
        <v>77</v>
      </c>
      <c r="AU16" t="s">
        <v>35</v>
      </c>
      <c r="AV16" t="s">
        <v>78</v>
      </c>
      <c r="AW16" t="s">
        <v>178</v>
      </c>
      <c r="AX16" t="s">
        <v>192</v>
      </c>
      <c r="AY16" t="s">
        <v>198</v>
      </c>
      <c r="AZ16" t="s">
        <v>199</v>
      </c>
      <c r="BA16" t="s">
        <v>200</v>
      </c>
      <c r="BB16" t="s">
        <v>80</v>
      </c>
      <c r="BC16">
        <v>84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84</v>
      </c>
      <c r="BP16" t="s">
        <v>45</v>
      </c>
      <c r="BQ16" t="s">
        <v>201</v>
      </c>
      <c r="BR16" t="s">
        <v>188</v>
      </c>
      <c r="BS16" t="s">
        <v>197</v>
      </c>
      <c r="BT16" t="s">
        <v>178</v>
      </c>
      <c r="BU16" t="s">
        <v>202</v>
      </c>
      <c r="BV16" t="s">
        <v>191</v>
      </c>
      <c r="BW16" t="s">
        <v>74</v>
      </c>
      <c r="BX16" t="s">
        <v>74</v>
      </c>
      <c r="BZ16" t="s">
        <v>203</v>
      </c>
      <c r="CB16" t="s">
        <v>74</v>
      </c>
    </row>
    <row r="17" spans="1:80" x14ac:dyDescent="0.25">
      <c r="A17" t="str">
        <f>IF(  UPPER(LEFT( tabSuperdettagli[[#This Row],[WBE Status]],1) ) = "S",  "sì",  "no"   )</f>
        <v>no</v>
      </c>
      <c r="B17">
        <v>2025</v>
      </c>
      <c r="C17">
        <f>VLOOKUP(tabSuperdettagli[[#This Row],[WBS_]], 'pivot di appoggio'!A:B,2,FALSE)</f>
        <v>2000</v>
      </c>
      <c r="D17" t="str">
        <f>LEFT(tabSuperdettagli[[#This Row],[Network]], 10)</f>
        <v>5447634</v>
      </c>
      <c r="E17" t="str">
        <f>LEFT(tabSuperdettagli[[#This Row],[Network]], 1)</f>
        <v>5</v>
      </c>
      <c r="F17" t="str">
        <f>LOWER(TRIM( tabSuperdettagli[[#This Row],[Proj. Type ]] ))</f>
        <v/>
      </c>
      <c r="G17" t="str">
        <f>IF( OR( tabSuperdettagli[[#This Row],[ProjType_]]="C", tabSuperdettagli[[#This Row],[ProjType_]]="A", tabSuperdettagli[[#This Row],[ProjType_]]="R", tabSuperdettagli[[#This Row],[ProjType_]]="E"),  "C A R E",
        IF( tabSuperdettagli[[#This Row],[ProjType_]]="U",  "U (" &amp; tabSuperdettagli[[#This Row],[U ProjType_]] &amp; ")",
        tabSuperdettagli[[#This Row],[ProjType_]]) )</f>
        <v>5</v>
      </c>
      <c r="I17" t="e">
        <f>IF(  TRIM(#REF!)&gt; "", TRIM(#REF!), TRIM(tabSuperdettagli[[#This Row],[Resp DT]] ) )</f>
        <v>#REF!</v>
      </c>
      <c r="J17" t="str">
        <f>tabSuperdettagli[[#This Row],[07.2025]]</f>
        <v>10</v>
      </c>
      <c r="K17">
        <f>tabSuperdettagli[[#This Row],[Resp del Prodotto]]</f>
        <v>0</v>
      </c>
      <c r="L17">
        <f>tabSuperdettagli[[#This Row],[Area di bdg]]</f>
        <v>0</v>
      </c>
      <c r="W17" t="str">
        <f>tabSuperdettagli[[#This Row],[PROJ CODE]]</f>
        <v>CONV NGP PLATFORM ENG</v>
      </c>
      <c r="X17" t="str">
        <f>tabSuperdettagli[[#This Row],[Resp 2°liv]]&amp;""</f>
        <v>Gamberini G.</v>
      </c>
      <c r="Y17" t="e">
        <f>INDEX(     tab_resp1liv[EngUnit area cluster 1_],
                    MATCH(   SUBSTITUTE(tabSuperdettagli[[#This Row],[Resp 2°liv]],  " ", ""),
                                      tab_resp1liv[SearchKey],0))</f>
        <v>#N/A</v>
      </c>
      <c r="Z17" t="str">
        <f>tabSuperdettagli[[#This Row],[WBS Element]]&amp;""</f>
        <v>Go</v>
      </c>
      <c r="AA17" t="str">
        <f>tabSuperdettagli[[#This Row],[09.2025]]</f>
        <v>234</v>
      </c>
      <c r="AC17" t="str">
        <f>IF( tabSuperdettagli[[#This Row],[ProjType_]]="M",  IF(  AND(tabSuperdettagli[[#This Row],[Resp 1°liv_]]="Guidotti C.", tabSuperdettagli[[#This Row],[WBE description_]]="Machine Mgmt"), "Documentation", tabSuperdettagli[[#This Row],[WBE description_]]),  "" )</f>
        <v/>
      </c>
      <c r="AD17" t="str">
        <f>LEFT(tabSuperdettagli[[#This Row],[Network]], 18 )</f>
        <v>5447634</v>
      </c>
      <c r="AE17" t="s">
        <v>75</v>
      </c>
      <c r="AF17" t="s">
        <v>204</v>
      </c>
      <c r="AG17" t="s">
        <v>243</v>
      </c>
      <c r="AH17" t="s">
        <v>192</v>
      </c>
      <c r="AI17" t="s">
        <v>235</v>
      </c>
      <c r="AJ17" t="s">
        <v>193</v>
      </c>
      <c r="AK17">
        <v>2025</v>
      </c>
      <c r="AL17" t="s">
        <v>194</v>
      </c>
      <c r="AM17" t="s">
        <v>195</v>
      </c>
      <c r="AN17" t="s">
        <v>189</v>
      </c>
      <c r="AO17" t="s">
        <v>190</v>
      </c>
      <c r="AP17" t="s">
        <v>239</v>
      </c>
      <c r="AQ17" t="s">
        <v>196</v>
      </c>
      <c r="AR17" t="s">
        <v>197</v>
      </c>
      <c r="AS17" t="s">
        <v>76</v>
      </c>
      <c r="AT17" t="s">
        <v>77</v>
      </c>
      <c r="AU17" t="s">
        <v>35</v>
      </c>
      <c r="AV17" t="s">
        <v>78</v>
      </c>
      <c r="AW17" t="s">
        <v>178</v>
      </c>
      <c r="AX17" t="s">
        <v>192</v>
      </c>
      <c r="AY17" t="s">
        <v>198</v>
      </c>
      <c r="AZ17" t="s">
        <v>199</v>
      </c>
      <c r="BA17" t="s">
        <v>200</v>
      </c>
      <c r="BB17" t="s">
        <v>80</v>
      </c>
      <c r="BC17">
        <v>84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84</v>
      </c>
      <c r="BP17" t="s">
        <v>45</v>
      </c>
      <c r="BQ17" t="s">
        <v>201</v>
      </c>
      <c r="BR17" t="s">
        <v>188</v>
      </c>
      <c r="BS17" t="s">
        <v>197</v>
      </c>
      <c r="BT17" t="s">
        <v>178</v>
      </c>
      <c r="BU17" t="s">
        <v>202</v>
      </c>
      <c r="BV17" t="s">
        <v>191</v>
      </c>
      <c r="BW17" t="s">
        <v>74</v>
      </c>
      <c r="BX17" t="s">
        <v>74</v>
      </c>
      <c r="BZ17" t="s">
        <v>203</v>
      </c>
      <c r="CB17" t="s">
        <v>74</v>
      </c>
    </row>
    <row r="18" spans="1:80" x14ac:dyDescent="0.25">
      <c r="A18" t="str">
        <f>IF(  UPPER(LEFT( tabSuperdettagli[[#This Row],[WBE Status]],1) ) = "S",  "sì",  "no"   )</f>
        <v>no</v>
      </c>
      <c r="B18">
        <v>2024</v>
      </c>
      <c r="C18">
        <f>VLOOKUP(tabSuperdettagli[[#This Row],[WBS_]], 'pivot di appoggio'!A:B,2,FALSE)</f>
        <v>2000</v>
      </c>
      <c r="D18" t="str">
        <f>LEFT(tabSuperdettagli[[#This Row],[Network]], 10)</f>
        <v>5447634</v>
      </c>
      <c r="E18" t="str">
        <f>LEFT(tabSuperdettagli[[#This Row],[Network]], 1)</f>
        <v>5</v>
      </c>
      <c r="F18" t="str">
        <f>LOWER(TRIM( tabSuperdettagli[[#This Row],[Proj. Type ]] ))</f>
        <v/>
      </c>
      <c r="G18" t="str">
        <f>IF( OR( tabSuperdettagli[[#This Row],[ProjType_]]="C", tabSuperdettagli[[#This Row],[ProjType_]]="A", tabSuperdettagli[[#This Row],[ProjType_]]="R", tabSuperdettagli[[#This Row],[ProjType_]]="E"),  "C A R E",
        IF( tabSuperdettagli[[#This Row],[ProjType_]]="U",  "U (" &amp; tabSuperdettagli[[#This Row],[U ProjType_]] &amp; ")",
        tabSuperdettagli[[#This Row],[ProjType_]]) )</f>
        <v>5</v>
      </c>
      <c r="I18" t="e">
        <f>IF(  TRIM(#REF!)&gt; "", TRIM(#REF!), TRIM(tabSuperdettagli[[#This Row],[Resp DT]] ) )</f>
        <v>#REF!</v>
      </c>
      <c r="J18" t="str">
        <f>tabSuperdettagli[[#This Row],[07.2025]]</f>
        <v>10</v>
      </c>
      <c r="K18">
        <f>tabSuperdettagli[[#This Row],[Resp del Prodotto]]</f>
        <v>0</v>
      </c>
      <c r="L18">
        <f>tabSuperdettagli[[#This Row],[Area di bdg]]</f>
        <v>0</v>
      </c>
      <c r="W18" t="str">
        <f>tabSuperdettagli[[#This Row],[PROJ CODE]]</f>
        <v>CONV NGP PLATFORM ENG</v>
      </c>
      <c r="X18" t="str">
        <f>tabSuperdettagli[[#This Row],[Resp 2°liv]]&amp;""</f>
        <v>Gamberini G.</v>
      </c>
      <c r="Y18" t="e">
        <f>INDEX(     tab_resp1liv[EngUnit area cluster 1_],
                    MATCH(   SUBSTITUTE(tabSuperdettagli[[#This Row],[Resp 2°liv]],  " ", ""),
                                      tab_resp1liv[SearchKey],0))</f>
        <v>#N/A</v>
      </c>
      <c r="Z18" t="str">
        <f>tabSuperdettagli[[#This Row],[WBS Element]]&amp;""</f>
        <v>Go</v>
      </c>
      <c r="AA18" t="str">
        <f>tabSuperdettagli[[#This Row],[09.2025]]</f>
        <v>234</v>
      </c>
      <c r="AC18" t="str">
        <f>IF( tabSuperdettagli[[#This Row],[ProjType_]]="M",  IF(  AND(tabSuperdettagli[[#This Row],[Resp 1°liv_]]="Guidotti C.", tabSuperdettagli[[#This Row],[WBE description_]]="Machine Mgmt"), "Documentation", tabSuperdettagli[[#This Row],[WBE description_]]),  "" )</f>
        <v/>
      </c>
      <c r="AD18" t="str">
        <f>LEFT(tabSuperdettagli[[#This Row],[Network]], 18 )</f>
        <v>5447634</v>
      </c>
      <c r="AE18" t="s">
        <v>75</v>
      </c>
      <c r="AF18" t="s">
        <v>204</v>
      </c>
      <c r="AG18" t="s">
        <v>243</v>
      </c>
      <c r="AH18" t="s">
        <v>192</v>
      </c>
      <c r="AI18" t="s">
        <v>235</v>
      </c>
      <c r="AJ18" t="s">
        <v>193</v>
      </c>
      <c r="AK18">
        <v>2025</v>
      </c>
      <c r="AL18" t="s">
        <v>194</v>
      </c>
      <c r="AM18" t="s">
        <v>195</v>
      </c>
      <c r="AN18" t="s">
        <v>189</v>
      </c>
      <c r="AO18" t="s">
        <v>190</v>
      </c>
      <c r="AP18" t="s">
        <v>239</v>
      </c>
      <c r="AQ18" t="s">
        <v>196</v>
      </c>
      <c r="AR18" t="s">
        <v>197</v>
      </c>
      <c r="AS18" t="s">
        <v>76</v>
      </c>
      <c r="AT18" t="s">
        <v>77</v>
      </c>
      <c r="AU18" t="s">
        <v>35</v>
      </c>
      <c r="AV18" t="s">
        <v>78</v>
      </c>
      <c r="AW18" t="s">
        <v>178</v>
      </c>
      <c r="AX18" t="s">
        <v>192</v>
      </c>
      <c r="AY18" t="s">
        <v>198</v>
      </c>
      <c r="AZ18" t="s">
        <v>199</v>
      </c>
      <c r="BA18" t="s">
        <v>200</v>
      </c>
      <c r="BB18" t="s">
        <v>80</v>
      </c>
      <c r="BC18">
        <v>84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84</v>
      </c>
      <c r="BP18" t="s">
        <v>45</v>
      </c>
      <c r="BQ18" t="s">
        <v>201</v>
      </c>
      <c r="BR18" t="s">
        <v>188</v>
      </c>
      <c r="BS18" t="s">
        <v>197</v>
      </c>
      <c r="BT18" t="s">
        <v>178</v>
      </c>
      <c r="BU18" t="s">
        <v>202</v>
      </c>
      <c r="BV18" t="s">
        <v>191</v>
      </c>
      <c r="BW18" t="s">
        <v>74</v>
      </c>
      <c r="BX18" t="s">
        <v>74</v>
      </c>
      <c r="BZ18" t="s">
        <v>203</v>
      </c>
      <c r="CB18" t="s">
        <v>74</v>
      </c>
    </row>
    <row r="19" spans="1:80" x14ac:dyDescent="0.25">
      <c r="A19" t="str">
        <f>IF(  UPPER(LEFT( tabSuperdettagli[[#This Row],[WBE Status]],1) ) = "S",  "sì",  "no"   )</f>
        <v>no</v>
      </c>
      <c r="B19">
        <v>2024</v>
      </c>
      <c r="C19">
        <f>VLOOKUP(tabSuperdettagli[[#This Row],[WBS_]], 'pivot di appoggio'!A:B,2,FALSE)</f>
        <v>2000</v>
      </c>
      <c r="D19" t="str">
        <f>LEFT(tabSuperdettagli[[#This Row],[Network]], 10)</f>
        <v>5447634</v>
      </c>
      <c r="E19" t="str">
        <f>LEFT(tabSuperdettagli[[#This Row],[Network]], 1)</f>
        <v>5</v>
      </c>
      <c r="F19" t="str">
        <f>LOWER(TRIM( tabSuperdettagli[[#This Row],[Proj. Type ]] ))</f>
        <v/>
      </c>
      <c r="G19" t="str">
        <f>IF( OR( tabSuperdettagli[[#This Row],[ProjType_]]="C", tabSuperdettagli[[#This Row],[ProjType_]]="A", tabSuperdettagli[[#This Row],[ProjType_]]="R", tabSuperdettagli[[#This Row],[ProjType_]]="E"),  "C A R E",
        IF( tabSuperdettagli[[#This Row],[ProjType_]]="U",  "U (" &amp; tabSuperdettagli[[#This Row],[U ProjType_]] &amp; ")",
        tabSuperdettagli[[#This Row],[ProjType_]]) )</f>
        <v>5</v>
      </c>
      <c r="I19" t="e">
        <f>IF(  TRIM(#REF!)&gt; "", TRIM(#REF!), TRIM(tabSuperdettagli[[#This Row],[Resp DT]] ) )</f>
        <v>#REF!</v>
      </c>
      <c r="J19" t="str">
        <f>tabSuperdettagli[[#This Row],[07.2025]]</f>
        <v>10</v>
      </c>
      <c r="K19">
        <f>tabSuperdettagli[[#This Row],[Resp del Prodotto]]</f>
        <v>0</v>
      </c>
      <c r="L19">
        <f>tabSuperdettagli[[#This Row],[Area di bdg]]</f>
        <v>0</v>
      </c>
      <c r="W19" t="str">
        <f>tabSuperdettagli[[#This Row],[PROJ CODE]]</f>
        <v>CONV NGP PLATFORM ENG</v>
      </c>
      <c r="X19" t="str">
        <f>tabSuperdettagli[[#This Row],[Resp 2°liv]]&amp;""</f>
        <v>Gamberini G.</v>
      </c>
      <c r="Y19" t="e">
        <f>INDEX(     tab_resp1liv[EngUnit area cluster 1_],
                    MATCH(   SUBSTITUTE(tabSuperdettagli[[#This Row],[Resp 2°liv]],  " ", ""),
                                      tab_resp1liv[SearchKey],0))</f>
        <v>#N/A</v>
      </c>
      <c r="Z19" t="str">
        <f>tabSuperdettagli[[#This Row],[WBS Element]]&amp;""</f>
        <v>Go</v>
      </c>
      <c r="AA19" t="str">
        <f>tabSuperdettagli[[#This Row],[09.2025]]</f>
        <v>234</v>
      </c>
      <c r="AC19" t="str">
        <f>IF( tabSuperdettagli[[#This Row],[ProjType_]]="M",  IF(  AND(tabSuperdettagli[[#This Row],[Resp 1°liv_]]="Guidotti C.", tabSuperdettagli[[#This Row],[WBE description_]]="Machine Mgmt"), "Documentation", tabSuperdettagli[[#This Row],[WBE description_]]),  "" )</f>
        <v/>
      </c>
      <c r="AD19" t="str">
        <f>LEFT(tabSuperdettagli[[#This Row],[Network]], 18 )</f>
        <v>5447634</v>
      </c>
      <c r="AE19" t="s">
        <v>75</v>
      </c>
      <c r="AF19" t="s">
        <v>204</v>
      </c>
      <c r="AG19" t="s">
        <v>243</v>
      </c>
      <c r="AH19" t="s">
        <v>192</v>
      </c>
      <c r="AI19" t="s">
        <v>235</v>
      </c>
      <c r="AJ19" t="s">
        <v>193</v>
      </c>
      <c r="AK19">
        <v>2025</v>
      </c>
      <c r="AL19" t="s">
        <v>194</v>
      </c>
      <c r="AM19" t="s">
        <v>195</v>
      </c>
      <c r="AN19" t="s">
        <v>189</v>
      </c>
      <c r="AO19" t="s">
        <v>190</v>
      </c>
      <c r="AP19" t="s">
        <v>239</v>
      </c>
      <c r="AQ19" t="s">
        <v>196</v>
      </c>
      <c r="AR19" t="s">
        <v>197</v>
      </c>
      <c r="AS19" t="s">
        <v>76</v>
      </c>
      <c r="AT19" t="s">
        <v>77</v>
      </c>
      <c r="AU19" t="s">
        <v>35</v>
      </c>
      <c r="AV19" t="s">
        <v>78</v>
      </c>
      <c r="AW19" t="s">
        <v>178</v>
      </c>
      <c r="AX19" t="s">
        <v>192</v>
      </c>
      <c r="AY19" t="s">
        <v>198</v>
      </c>
      <c r="AZ19" t="s">
        <v>199</v>
      </c>
      <c r="BA19" t="s">
        <v>200</v>
      </c>
      <c r="BB19" t="s">
        <v>80</v>
      </c>
      <c r="BC19">
        <v>84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84</v>
      </c>
      <c r="BP19" t="s">
        <v>45</v>
      </c>
      <c r="BQ19" t="s">
        <v>201</v>
      </c>
      <c r="BR19" t="s">
        <v>188</v>
      </c>
      <c r="BS19" t="s">
        <v>197</v>
      </c>
      <c r="BT19" t="s">
        <v>178</v>
      </c>
      <c r="BU19" t="s">
        <v>202</v>
      </c>
      <c r="BV19" t="s">
        <v>191</v>
      </c>
      <c r="BW19" t="s">
        <v>74</v>
      </c>
      <c r="BX19" t="s">
        <v>74</v>
      </c>
      <c r="BZ19" t="s">
        <v>203</v>
      </c>
      <c r="CB19" t="s">
        <v>74</v>
      </c>
    </row>
    <row r="20" spans="1:80" x14ac:dyDescent="0.25">
      <c r="A20" t="str">
        <f>IF(  UPPER(LEFT( tabSuperdettagli[[#This Row],[WBE Status]],1) ) = "S",  "sì",  "no"   )</f>
        <v>no</v>
      </c>
      <c r="B20">
        <v>2024</v>
      </c>
      <c r="C20">
        <f>VLOOKUP(tabSuperdettagli[[#This Row],[WBS_]], 'pivot di appoggio'!A:B,2,FALSE)</f>
        <v>2000</v>
      </c>
      <c r="D20" t="str">
        <f>LEFT(tabSuperdettagli[[#This Row],[Network]], 10)</f>
        <v>5447634</v>
      </c>
      <c r="E20" t="str">
        <f>LEFT(tabSuperdettagli[[#This Row],[Network]], 1)</f>
        <v>5</v>
      </c>
      <c r="F20" t="str">
        <f>LOWER(TRIM( tabSuperdettagli[[#This Row],[Proj. Type ]] ))</f>
        <v/>
      </c>
      <c r="G20" t="str">
        <f>IF( OR( tabSuperdettagli[[#This Row],[ProjType_]]="C", tabSuperdettagli[[#This Row],[ProjType_]]="A", tabSuperdettagli[[#This Row],[ProjType_]]="R", tabSuperdettagli[[#This Row],[ProjType_]]="E"),  "C A R E",
        IF( tabSuperdettagli[[#This Row],[ProjType_]]="U",  "U (" &amp; tabSuperdettagli[[#This Row],[U ProjType_]] &amp; ")",
        tabSuperdettagli[[#This Row],[ProjType_]]) )</f>
        <v>5</v>
      </c>
      <c r="I20" t="e">
        <f>IF(  TRIM(#REF!)&gt; "", TRIM(#REF!), TRIM(tabSuperdettagli[[#This Row],[Resp DT]] ) )</f>
        <v>#REF!</v>
      </c>
      <c r="J20" t="str">
        <f>tabSuperdettagli[[#This Row],[07.2025]]</f>
        <v>10</v>
      </c>
      <c r="K20">
        <f>tabSuperdettagli[[#This Row],[Resp del Prodotto]]</f>
        <v>0</v>
      </c>
      <c r="L20">
        <f>tabSuperdettagli[[#This Row],[Area di bdg]]</f>
        <v>0</v>
      </c>
      <c r="W20" t="str">
        <f>tabSuperdettagli[[#This Row],[PROJ CODE]]</f>
        <v>CONV NGP PLATFORM ENG</v>
      </c>
      <c r="X20" t="str">
        <f>tabSuperdettagli[[#This Row],[Resp 2°liv]]&amp;""</f>
        <v>Gamberini G.</v>
      </c>
      <c r="Y20" t="e">
        <f>INDEX(     tab_resp1liv[EngUnit area cluster 1_],
                    MATCH(   SUBSTITUTE(tabSuperdettagli[[#This Row],[Resp 2°liv]],  " ", ""),
                                      tab_resp1liv[SearchKey],0))</f>
        <v>#N/A</v>
      </c>
      <c r="Z20" t="str">
        <f>tabSuperdettagli[[#This Row],[WBS Element]]&amp;""</f>
        <v>Go</v>
      </c>
      <c r="AA20" t="str">
        <f>tabSuperdettagli[[#This Row],[09.2025]]</f>
        <v>234</v>
      </c>
      <c r="AC20" t="str">
        <f>IF( tabSuperdettagli[[#This Row],[ProjType_]]="M",  IF(  AND(tabSuperdettagli[[#This Row],[Resp 1°liv_]]="Guidotti C.", tabSuperdettagli[[#This Row],[WBE description_]]="Machine Mgmt"), "Documentation", tabSuperdettagli[[#This Row],[WBE description_]]),  "" )</f>
        <v/>
      </c>
      <c r="AD20" t="str">
        <f>LEFT(tabSuperdettagli[[#This Row],[Network]], 18 )</f>
        <v>5447634</v>
      </c>
      <c r="AE20" t="s">
        <v>75</v>
      </c>
      <c r="AF20" t="s">
        <v>204</v>
      </c>
      <c r="AG20" t="s">
        <v>243</v>
      </c>
      <c r="AH20" t="s">
        <v>192</v>
      </c>
      <c r="AI20" t="s">
        <v>235</v>
      </c>
      <c r="AJ20" t="s">
        <v>193</v>
      </c>
      <c r="AK20">
        <v>2025</v>
      </c>
      <c r="AL20" t="s">
        <v>194</v>
      </c>
      <c r="AM20" t="s">
        <v>195</v>
      </c>
      <c r="AN20" t="s">
        <v>189</v>
      </c>
      <c r="AO20" t="s">
        <v>190</v>
      </c>
      <c r="AP20" t="s">
        <v>239</v>
      </c>
      <c r="AQ20" t="s">
        <v>196</v>
      </c>
      <c r="AR20" t="s">
        <v>197</v>
      </c>
      <c r="AS20" t="s">
        <v>76</v>
      </c>
      <c r="AT20" t="s">
        <v>77</v>
      </c>
      <c r="AU20" t="s">
        <v>35</v>
      </c>
      <c r="AV20" t="s">
        <v>78</v>
      </c>
      <c r="AW20" t="s">
        <v>178</v>
      </c>
      <c r="AX20" t="s">
        <v>192</v>
      </c>
      <c r="AY20" t="s">
        <v>198</v>
      </c>
      <c r="AZ20" t="s">
        <v>199</v>
      </c>
      <c r="BA20" t="s">
        <v>200</v>
      </c>
      <c r="BB20" t="s">
        <v>80</v>
      </c>
      <c r="BC20">
        <v>84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84</v>
      </c>
      <c r="BP20" t="s">
        <v>45</v>
      </c>
      <c r="BQ20" t="s">
        <v>201</v>
      </c>
      <c r="BR20" t="s">
        <v>188</v>
      </c>
      <c r="BS20" t="s">
        <v>197</v>
      </c>
      <c r="BT20" t="s">
        <v>178</v>
      </c>
      <c r="BU20" t="s">
        <v>202</v>
      </c>
      <c r="BV20" t="s">
        <v>191</v>
      </c>
      <c r="BW20" t="s">
        <v>74</v>
      </c>
      <c r="BX20" t="s">
        <v>74</v>
      </c>
      <c r="BZ20" t="s">
        <v>203</v>
      </c>
      <c r="CB20" t="s">
        <v>74</v>
      </c>
    </row>
    <row r="21" spans="1:80" x14ac:dyDescent="0.25">
      <c r="A21" t="str">
        <f>IF(  UPPER(LEFT( tabSuperdettagli[[#This Row],[WBE Status]],1) ) = "S",  "sì",  "no"   )</f>
        <v>no</v>
      </c>
      <c r="B21">
        <v>2024</v>
      </c>
      <c r="C21">
        <f>VLOOKUP(tabSuperdettagli[[#This Row],[WBS_]], 'pivot di appoggio'!A:B,2,FALSE)</f>
        <v>2000</v>
      </c>
      <c r="D21" t="str">
        <f>LEFT(tabSuperdettagli[[#This Row],[Network]], 10)</f>
        <v>5447634</v>
      </c>
      <c r="E21" t="str">
        <f>LEFT(tabSuperdettagli[[#This Row],[Network]], 1)</f>
        <v>5</v>
      </c>
      <c r="F21" t="str">
        <f>LOWER(TRIM( tabSuperdettagli[[#This Row],[Proj. Type ]] ))</f>
        <v/>
      </c>
      <c r="G21" t="str">
        <f>IF( OR( tabSuperdettagli[[#This Row],[ProjType_]]="C", tabSuperdettagli[[#This Row],[ProjType_]]="A", tabSuperdettagli[[#This Row],[ProjType_]]="R", tabSuperdettagli[[#This Row],[ProjType_]]="E"),  "C A R E",
        IF( tabSuperdettagli[[#This Row],[ProjType_]]="U",  "U (" &amp; tabSuperdettagli[[#This Row],[U ProjType_]] &amp; ")",
        tabSuperdettagli[[#This Row],[ProjType_]]) )</f>
        <v>5</v>
      </c>
      <c r="I21" t="e">
        <f>IF(  TRIM(#REF!)&gt; "", TRIM(#REF!), TRIM(tabSuperdettagli[[#This Row],[Resp DT]] ) )</f>
        <v>#REF!</v>
      </c>
      <c r="J21" t="str">
        <f>tabSuperdettagli[[#This Row],[07.2025]]</f>
        <v>10</v>
      </c>
      <c r="K21">
        <f>tabSuperdettagli[[#This Row],[Resp del Prodotto]]</f>
        <v>0</v>
      </c>
      <c r="L21">
        <f>tabSuperdettagli[[#This Row],[Area di bdg]]</f>
        <v>0</v>
      </c>
      <c r="W21" t="str">
        <f>tabSuperdettagli[[#This Row],[PROJ CODE]]</f>
        <v>CONV NGP PLATFORM ENG</v>
      </c>
      <c r="X21" t="str">
        <f>tabSuperdettagli[[#This Row],[Resp 2°liv]]&amp;""</f>
        <v>Gamberini G.</v>
      </c>
      <c r="Y21" t="e">
        <f>INDEX(     tab_resp1liv[EngUnit area cluster 1_],
                    MATCH(   SUBSTITUTE(tabSuperdettagli[[#This Row],[Resp 2°liv]],  " ", ""),
                                      tab_resp1liv[SearchKey],0))</f>
        <v>#N/A</v>
      </c>
      <c r="Z21" t="str">
        <f>tabSuperdettagli[[#This Row],[WBS Element]]&amp;""</f>
        <v>Go</v>
      </c>
      <c r="AA21" t="str">
        <f>tabSuperdettagli[[#This Row],[09.2025]]</f>
        <v>234</v>
      </c>
      <c r="AC21" t="str">
        <f>IF( tabSuperdettagli[[#This Row],[ProjType_]]="M",  IF(  AND(tabSuperdettagli[[#This Row],[Resp 1°liv_]]="Guidotti C.", tabSuperdettagli[[#This Row],[WBE description_]]="Machine Mgmt"), "Documentation", tabSuperdettagli[[#This Row],[WBE description_]]),  "" )</f>
        <v/>
      </c>
      <c r="AD21" t="str">
        <f>LEFT(tabSuperdettagli[[#This Row],[Network]], 18 )</f>
        <v>5447634</v>
      </c>
      <c r="AE21" t="s">
        <v>75</v>
      </c>
      <c r="AF21" t="s">
        <v>204</v>
      </c>
      <c r="AG21" t="s">
        <v>243</v>
      </c>
      <c r="AH21" t="s">
        <v>192</v>
      </c>
      <c r="AI21" t="s">
        <v>235</v>
      </c>
      <c r="AJ21" t="s">
        <v>193</v>
      </c>
      <c r="AK21">
        <v>2025</v>
      </c>
      <c r="AL21" t="s">
        <v>194</v>
      </c>
      <c r="AM21" t="s">
        <v>195</v>
      </c>
      <c r="AN21" t="s">
        <v>189</v>
      </c>
      <c r="AO21" t="s">
        <v>190</v>
      </c>
      <c r="AP21" t="s">
        <v>239</v>
      </c>
      <c r="AQ21" t="s">
        <v>196</v>
      </c>
      <c r="AR21" t="s">
        <v>197</v>
      </c>
      <c r="AS21" t="s">
        <v>76</v>
      </c>
      <c r="AT21" t="s">
        <v>77</v>
      </c>
      <c r="AU21" t="s">
        <v>35</v>
      </c>
      <c r="AV21" t="s">
        <v>78</v>
      </c>
      <c r="AW21" t="s">
        <v>178</v>
      </c>
      <c r="AX21" t="s">
        <v>192</v>
      </c>
      <c r="AY21" t="s">
        <v>198</v>
      </c>
      <c r="AZ21" t="s">
        <v>199</v>
      </c>
      <c r="BA21" t="s">
        <v>200</v>
      </c>
      <c r="BB21" t="s">
        <v>80</v>
      </c>
      <c r="BC21">
        <v>84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84</v>
      </c>
      <c r="BP21" t="s">
        <v>45</v>
      </c>
      <c r="BQ21" t="s">
        <v>201</v>
      </c>
      <c r="BR21" t="s">
        <v>188</v>
      </c>
      <c r="BS21" t="s">
        <v>197</v>
      </c>
      <c r="BT21" t="s">
        <v>178</v>
      </c>
      <c r="BU21" t="s">
        <v>202</v>
      </c>
      <c r="BV21" t="s">
        <v>191</v>
      </c>
      <c r="BW21" t="s">
        <v>74</v>
      </c>
      <c r="BX21" t="s">
        <v>74</v>
      </c>
      <c r="BZ21" t="s">
        <v>203</v>
      </c>
      <c r="CB21" t="s">
        <v>74</v>
      </c>
    </row>
    <row r="22" spans="1:80" x14ac:dyDescent="0.25">
      <c r="A22" t="str">
        <f>IF(  UPPER(LEFT( tabSuperdettagli[[#This Row],[WBE Status]],1) ) = "S",  "sì",  "no"   )</f>
        <v>no</v>
      </c>
      <c r="B22">
        <v>2024</v>
      </c>
      <c r="C22">
        <f>VLOOKUP(tabSuperdettagli[[#This Row],[WBS_]], 'pivot di appoggio'!A:B,2,FALSE)</f>
        <v>2000</v>
      </c>
      <c r="D22" t="str">
        <f>LEFT(tabSuperdettagli[[#This Row],[Network]], 10)</f>
        <v>5447634</v>
      </c>
      <c r="E22" t="str">
        <f>LEFT(tabSuperdettagli[[#This Row],[Network]], 1)</f>
        <v>5</v>
      </c>
      <c r="F22" t="str">
        <f>LOWER(TRIM( tabSuperdettagli[[#This Row],[Proj. Type ]] ))</f>
        <v/>
      </c>
      <c r="G22" t="str">
        <f>IF( OR( tabSuperdettagli[[#This Row],[ProjType_]]="C", tabSuperdettagli[[#This Row],[ProjType_]]="A", tabSuperdettagli[[#This Row],[ProjType_]]="R", tabSuperdettagli[[#This Row],[ProjType_]]="E"),  "C A R E",
        IF( tabSuperdettagli[[#This Row],[ProjType_]]="U",  "U (" &amp; tabSuperdettagli[[#This Row],[U ProjType_]] &amp; ")",
        tabSuperdettagli[[#This Row],[ProjType_]]) )</f>
        <v>5</v>
      </c>
      <c r="I22" t="e">
        <f>IF(  TRIM(#REF!)&gt; "", TRIM(#REF!), TRIM(tabSuperdettagli[[#This Row],[Resp DT]] ) )</f>
        <v>#REF!</v>
      </c>
      <c r="J22" t="str">
        <f>tabSuperdettagli[[#This Row],[07.2025]]</f>
        <v>10</v>
      </c>
      <c r="K22">
        <f>tabSuperdettagli[[#This Row],[Resp del Prodotto]]</f>
        <v>0</v>
      </c>
      <c r="L22">
        <f>tabSuperdettagli[[#This Row],[Area di bdg]]</f>
        <v>0</v>
      </c>
      <c r="W22" t="str">
        <f>tabSuperdettagli[[#This Row],[PROJ CODE]]</f>
        <v>CONV NGP PLATFORM ENG</v>
      </c>
      <c r="X22" t="str">
        <f>tabSuperdettagli[[#This Row],[Resp 2°liv]]&amp;""</f>
        <v>Gamberini G.</v>
      </c>
      <c r="Y22" t="e">
        <f>INDEX(     tab_resp1liv[EngUnit area cluster 1_],
                    MATCH(   SUBSTITUTE(tabSuperdettagli[[#This Row],[Resp 2°liv]],  " ", ""),
                                      tab_resp1liv[SearchKey],0))</f>
        <v>#N/A</v>
      </c>
      <c r="Z22" t="str">
        <f>tabSuperdettagli[[#This Row],[WBS Element]]&amp;""</f>
        <v>Go</v>
      </c>
      <c r="AA22" t="str">
        <f>tabSuperdettagli[[#This Row],[09.2025]]</f>
        <v>234</v>
      </c>
      <c r="AC22" t="str">
        <f>IF( tabSuperdettagli[[#This Row],[ProjType_]]="M",  IF(  AND(tabSuperdettagli[[#This Row],[Resp 1°liv_]]="Guidotti C.", tabSuperdettagli[[#This Row],[WBE description_]]="Machine Mgmt"), "Documentation", tabSuperdettagli[[#This Row],[WBE description_]]),  "" )</f>
        <v/>
      </c>
      <c r="AD22" t="str">
        <f>LEFT(tabSuperdettagli[[#This Row],[Network]], 18 )</f>
        <v>5447634</v>
      </c>
      <c r="AE22" t="s">
        <v>75</v>
      </c>
      <c r="AF22" t="s">
        <v>204</v>
      </c>
      <c r="AG22" t="s">
        <v>243</v>
      </c>
      <c r="AH22" t="s">
        <v>192</v>
      </c>
      <c r="AI22" t="s">
        <v>235</v>
      </c>
      <c r="AJ22" t="s">
        <v>193</v>
      </c>
      <c r="AK22">
        <v>2025</v>
      </c>
      <c r="AL22" t="s">
        <v>194</v>
      </c>
      <c r="AM22" t="s">
        <v>195</v>
      </c>
      <c r="AN22" t="s">
        <v>189</v>
      </c>
      <c r="AO22" t="s">
        <v>190</v>
      </c>
      <c r="AP22" t="s">
        <v>239</v>
      </c>
      <c r="AQ22" t="s">
        <v>196</v>
      </c>
      <c r="AR22" t="s">
        <v>197</v>
      </c>
      <c r="AS22" t="s">
        <v>76</v>
      </c>
      <c r="AT22" t="s">
        <v>77</v>
      </c>
      <c r="AU22" t="s">
        <v>35</v>
      </c>
      <c r="AV22" t="s">
        <v>78</v>
      </c>
      <c r="AW22" t="s">
        <v>178</v>
      </c>
      <c r="AX22" t="s">
        <v>192</v>
      </c>
      <c r="AY22" t="s">
        <v>198</v>
      </c>
      <c r="AZ22" t="s">
        <v>199</v>
      </c>
      <c r="BA22" t="s">
        <v>200</v>
      </c>
      <c r="BB22" t="s">
        <v>80</v>
      </c>
      <c r="BC22">
        <v>84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84</v>
      </c>
      <c r="BP22" t="s">
        <v>45</v>
      </c>
      <c r="BQ22" t="s">
        <v>201</v>
      </c>
      <c r="BR22" t="s">
        <v>188</v>
      </c>
      <c r="BS22" t="s">
        <v>197</v>
      </c>
      <c r="BT22" t="s">
        <v>178</v>
      </c>
      <c r="BU22" t="s">
        <v>202</v>
      </c>
      <c r="BV22" t="s">
        <v>191</v>
      </c>
      <c r="BW22" t="s">
        <v>74</v>
      </c>
      <c r="BX22" t="s">
        <v>74</v>
      </c>
      <c r="BZ22" t="s">
        <v>203</v>
      </c>
      <c r="CB22" t="s">
        <v>74</v>
      </c>
    </row>
    <row r="23" spans="1:80" x14ac:dyDescent="0.25">
      <c r="A23" t="str">
        <f>IF(  UPPER(LEFT( tabSuperdettagli[[#This Row],[WBE Status]],1) ) = "S",  "sì",  "no"   )</f>
        <v>no</v>
      </c>
      <c r="B23">
        <v>2025</v>
      </c>
      <c r="C23">
        <f>VLOOKUP(tabSuperdettagli[[#This Row],[WBS_]], 'pivot di appoggio'!A:B,2,FALSE)</f>
        <v>2000</v>
      </c>
      <c r="D23" t="str">
        <f>LEFT(tabSuperdettagli[[#This Row],[Network]], 10)</f>
        <v>5447634</v>
      </c>
      <c r="E23" t="str">
        <f>LEFT(tabSuperdettagli[[#This Row],[Network]], 1)</f>
        <v>5</v>
      </c>
      <c r="F23" t="str">
        <f>LOWER(TRIM( tabSuperdettagli[[#This Row],[Proj. Type ]] ))</f>
        <v/>
      </c>
      <c r="G23" t="str">
        <f>IF( OR( tabSuperdettagli[[#This Row],[ProjType_]]="C", tabSuperdettagli[[#This Row],[ProjType_]]="A", tabSuperdettagli[[#This Row],[ProjType_]]="R", tabSuperdettagli[[#This Row],[ProjType_]]="E"),  "C A R E",
        IF( tabSuperdettagli[[#This Row],[ProjType_]]="U",  "U (" &amp; tabSuperdettagli[[#This Row],[U ProjType_]] &amp; ")",
        tabSuperdettagli[[#This Row],[ProjType_]]) )</f>
        <v>5</v>
      </c>
      <c r="I23" t="e">
        <f>IF(  TRIM(#REF!)&gt; "", TRIM(#REF!), TRIM(tabSuperdettagli[[#This Row],[Resp DT]] ) )</f>
        <v>#REF!</v>
      </c>
      <c r="J23" t="str">
        <f>tabSuperdettagli[[#This Row],[07.2025]]</f>
        <v>10</v>
      </c>
      <c r="K23">
        <f>tabSuperdettagli[[#This Row],[Resp del Prodotto]]</f>
        <v>0</v>
      </c>
      <c r="L23">
        <f>tabSuperdettagli[[#This Row],[Area di bdg]]</f>
        <v>0</v>
      </c>
      <c r="W23" t="str">
        <f>tabSuperdettagli[[#This Row],[PROJ CODE]]</f>
        <v>CONV NGP PLATFORM ENG</v>
      </c>
      <c r="X23" t="str">
        <f>tabSuperdettagli[[#This Row],[Resp 2°liv]]&amp;""</f>
        <v>Gamberini G.</v>
      </c>
      <c r="Y23" t="e">
        <f>INDEX(     tab_resp1liv[EngUnit area cluster 1_],
                    MATCH(   SUBSTITUTE(tabSuperdettagli[[#This Row],[Resp 2°liv]],  " ", ""),
                                      tab_resp1liv[SearchKey],0))</f>
        <v>#N/A</v>
      </c>
      <c r="Z23" t="str">
        <f>tabSuperdettagli[[#This Row],[WBS Element]]&amp;""</f>
        <v>Go</v>
      </c>
      <c r="AA23" t="str">
        <f>tabSuperdettagli[[#This Row],[09.2025]]</f>
        <v>234</v>
      </c>
      <c r="AC23" t="str">
        <f>IF( tabSuperdettagli[[#This Row],[ProjType_]]="M",  IF(  AND(tabSuperdettagli[[#This Row],[Resp 1°liv_]]="Guidotti C.", tabSuperdettagli[[#This Row],[WBE description_]]="Machine Mgmt"), "Documentation", tabSuperdettagli[[#This Row],[WBE description_]]),  "" )</f>
        <v/>
      </c>
      <c r="AD23" t="str">
        <f>LEFT(tabSuperdettagli[[#This Row],[Network]], 18 )</f>
        <v>5447634</v>
      </c>
      <c r="AE23" t="s">
        <v>75</v>
      </c>
      <c r="AF23" t="s">
        <v>204</v>
      </c>
      <c r="AG23" t="s">
        <v>243</v>
      </c>
      <c r="AH23" t="s">
        <v>192</v>
      </c>
      <c r="AI23" t="s">
        <v>235</v>
      </c>
      <c r="AJ23" t="s">
        <v>193</v>
      </c>
      <c r="AK23">
        <v>2025</v>
      </c>
      <c r="AL23" t="s">
        <v>194</v>
      </c>
      <c r="AM23" t="s">
        <v>195</v>
      </c>
      <c r="AN23" t="s">
        <v>189</v>
      </c>
      <c r="AO23" t="s">
        <v>190</v>
      </c>
      <c r="AP23" t="s">
        <v>239</v>
      </c>
      <c r="AQ23" t="s">
        <v>196</v>
      </c>
      <c r="AR23" t="s">
        <v>197</v>
      </c>
      <c r="AS23" t="s">
        <v>76</v>
      </c>
      <c r="AT23" t="s">
        <v>77</v>
      </c>
      <c r="AU23" t="s">
        <v>35</v>
      </c>
      <c r="AV23" t="s">
        <v>78</v>
      </c>
      <c r="AW23" t="s">
        <v>178</v>
      </c>
      <c r="AX23" t="s">
        <v>192</v>
      </c>
      <c r="AY23" t="s">
        <v>198</v>
      </c>
      <c r="AZ23" t="s">
        <v>199</v>
      </c>
      <c r="BA23" t="s">
        <v>200</v>
      </c>
      <c r="BB23" t="s">
        <v>80</v>
      </c>
      <c r="BC23">
        <v>84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84</v>
      </c>
      <c r="BP23" t="s">
        <v>45</v>
      </c>
      <c r="BQ23" t="s">
        <v>201</v>
      </c>
      <c r="BR23" t="s">
        <v>188</v>
      </c>
      <c r="BS23" t="s">
        <v>197</v>
      </c>
      <c r="BT23" t="s">
        <v>178</v>
      </c>
      <c r="BU23" t="s">
        <v>202</v>
      </c>
      <c r="BV23" t="s">
        <v>191</v>
      </c>
      <c r="BW23" t="s">
        <v>74</v>
      </c>
      <c r="BX23" t="s">
        <v>74</v>
      </c>
      <c r="BZ23" t="s">
        <v>203</v>
      </c>
      <c r="CB23" t="s">
        <v>74</v>
      </c>
    </row>
    <row r="24" spans="1:80" x14ac:dyDescent="0.25">
      <c r="A24" t="str">
        <f>IF(  UPPER(LEFT( tabSuperdettagli[[#This Row],[WBE Status]],1) ) = "S",  "sì",  "no"   )</f>
        <v>no</v>
      </c>
      <c r="B24">
        <v>2025</v>
      </c>
      <c r="C24">
        <f>VLOOKUP(tabSuperdettagli[[#This Row],[WBS_]], 'pivot di appoggio'!A:B,2,FALSE)</f>
        <v>2000</v>
      </c>
      <c r="D24" t="str">
        <f>LEFT(tabSuperdettagli[[#This Row],[Network]], 10)</f>
        <v>5447634</v>
      </c>
      <c r="E24" t="str">
        <f>LEFT(tabSuperdettagli[[#This Row],[Network]], 1)</f>
        <v>5</v>
      </c>
      <c r="F24" t="str">
        <f>LOWER(TRIM( tabSuperdettagli[[#This Row],[Proj. Type ]] ))</f>
        <v/>
      </c>
      <c r="G24" t="str">
        <f>IF( OR( tabSuperdettagli[[#This Row],[ProjType_]]="C", tabSuperdettagli[[#This Row],[ProjType_]]="A", tabSuperdettagli[[#This Row],[ProjType_]]="R", tabSuperdettagli[[#This Row],[ProjType_]]="E"),  "C A R E",
        IF( tabSuperdettagli[[#This Row],[ProjType_]]="U",  "U (" &amp; tabSuperdettagli[[#This Row],[U ProjType_]] &amp; ")",
        tabSuperdettagli[[#This Row],[ProjType_]]) )</f>
        <v>5</v>
      </c>
      <c r="I24" t="e">
        <f>IF(  TRIM(#REF!)&gt; "", TRIM(#REF!), TRIM(tabSuperdettagli[[#This Row],[Resp DT]] ) )</f>
        <v>#REF!</v>
      </c>
      <c r="J24" t="str">
        <f>tabSuperdettagli[[#This Row],[07.2025]]</f>
        <v>10</v>
      </c>
      <c r="K24">
        <f>tabSuperdettagli[[#This Row],[Resp del Prodotto]]</f>
        <v>0</v>
      </c>
      <c r="L24">
        <f>tabSuperdettagli[[#This Row],[Area di bdg]]</f>
        <v>0</v>
      </c>
      <c r="W24" t="str">
        <f>tabSuperdettagli[[#This Row],[PROJ CODE]]</f>
        <v>CONV NGP PLATFORM ENG</v>
      </c>
      <c r="X24" t="str">
        <f>tabSuperdettagli[[#This Row],[Resp 2°liv]]&amp;""</f>
        <v>Gamberini G.</v>
      </c>
      <c r="Y24" t="e">
        <f>INDEX(     tab_resp1liv[EngUnit area cluster 1_],
                    MATCH(   SUBSTITUTE(tabSuperdettagli[[#This Row],[Resp 2°liv]],  " ", ""),
                                      tab_resp1liv[SearchKey],0))</f>
        <v>#N/A</v>
      </c>
      <c r="Z24" t="str">
        <f>tabSuperdettagli[[#This Row],[WBS Element]]&amp;""</f>
        <v>Go</v>
      </c>
      <c r="AA24" t="str">
        <f>tabSuperdettagli[[#This Row],[09.2025]]</f>
        <v>234</v>
      </c>
      <c r="AC24" t="str">
        <f>IF( tabSuperdettagli[[#This Row],[ProjType_]]="M",  IF(  AND(tabSuperdettagli[[#This Row],[Resp 1°liv_]]="Guidotti C.", tabSuperdettagli[[#This Row],[WBE description_]]="Machine Mgmt"), "Documentation", tabSuperdettagli[[#This Row],[WBE description_]]),  "" )</f>
        <v/>
      </c>
      <c r="AD24" t="str">
        <f>LEFT(tabSuperdettagli[[#This Row],[Network]], 18 )</f>
        <v>5447634</v>
      </c>
      <c r="AE24" t="s">
        <v>75</v>
      </c>
      <c r="AF24" t="s">
        <v>204</v>
      </c>
      <c r="AG24" t="s">
        <v>243</v>
      </c>
      <c r="AH24" t="s">
        <v>192</v>
      </c>
      <c r="AI24" t="s">
        <v>235</v>
      </c>
      <c r="AJ24" t="s">
        <v>193</v>
      </c>
      <c r="AK24">
        <v>2025</v>
      </c>
      <c r="AL24" t="s">
        <v>194</v>
      </c>
      <c r="AM24" t="s">
        <v>195</v>
      </c>
      <c r="AN24" t="s">
        <v>189</v>
      </c>
      <c r="AO24" t="s">
        <v>190</v>
      </c>
      <c r="AP24" t="s">
        <v>239</v>
      </c>
      <c r="AQ24" t="s">
        <v>196</v>
      </c>
      <c r="AR24" t="s">
        <v>197</v>
      </c>
      <c r="AS24" t="s">
        <v>76</v>
      </c>
      <c r="AT24" t="s">
        <v>77</v>
      </c>
      <c r="AU24" t="s">
        <v>35</v>
      </c>
      <c r="AV24" t="s">
        <v>78</v>
      </c>
      <c r="AW24" t="s">
        <v>178</v>
      </c>
      <c r="AX24" t="s">
        <v>192</v>
      </c>
      <c r="AY24" t="s">
        <v>198</v>
      </c>
      <c r="AZ24" t="s">
        <v>199</v>
      </c>
      <c r="BA24" t="s">
        <v>200</v>
      </c>
      <c r="BB24" t="s">
        <v>80</v>
      </c>
      <c r="BC24">
        <v>84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84</v>
      </c>
      <c r="BP24" t="s">
        <v>45</v>
      </c>
      <c r="BQ24" t="s">
        <v>201</v>
      </c>
      <c r="BR24" t="s">
        <v>188</v>
      </c>
      <c r="BS24" t="s">
        <v>197</v>
      </c>
      <c r="BT24" t="s">
        <v>178</v>
      </c>
      <c r="BU24" t="s">
        <v>202</v>
      </c>
      <c r="BV24" t="s">
        <v>191</v>
      </c>
      <c r="BW24" t="s">
        <v>74</v>
      </c>
      <c r="BX24" t="s">
        <v>74</v>
      </c>
      <c r="BZ24" t="s">
        <v>203</v>
      </c>
      <c r="CB24" t="s">
        <v>74</v>
      </c>
    </row>
    <row r="25" spans="1:80" x14ac:dyDescent="0.25">
      <c r="A25" t="str">
        <f>IF(  UPPER(LEFT( tabSuperdettagli[[#This Row],[WBE Status]],1) ) = "S",  "sì",  "no"   )</f>
        <v>no</v>
      </c>
      <c r="B25">
        <v>2025</v>
      </c>
      <c r="C25">
        <f>VLOOKUP(tabSuperdettagli[[#This Row],[WBS_]], 'pivot di appoggio'!A:B,2,FALSE)</f>
        <v>2000</v>
      </c>
      <c r="D25" t="str">
        <f>LEFT(tabSuperdettagli[[#This Row],[Network]], 10)</f>
        <v>5447634</v>
      </c>
      <c r="E25" t="str">
        <f>LEFT(tabSuperdettagli[[#This Row],[Network]], 1)</f>
        <v>5</v>
      </c>
      <c r="F25" t="str">
        <f>LOWER(TRIM( tabSuperdettagli[[#This Row],[Proj. Type ]] ))</f>
        <v/>
      </c>
      <c r="G25" t="str">
        <f>IF( OR( tabSuperdettagli[[#This Row],[ProjType_]]="C", tabSuperdettagli[[#This Row],[ProjType_]]="A", tabSuperdettagli[[#This Row],[ProjType_]]="R", tabSuperdettagli[[#This Row],[ProjType_]]="E"),  "C A R E",
        IF( tabSuperdettagli[[#This Row],[ProjType_]]="U",  "U (" &amp; tabSuperdettagli[[#This Row],[U ProjType_]] &amp; ")",
        tabSuperdettagli[[#This Row],[ProjType_]]) )</f>
        <v>5</v>
      </c>
      <c r="I25" t="e">
        <f>IF(  TRIM(#REF!)&gt; "", TRIM(#REF!), TRIM(tabSuperdettagli[[#This Row],[Resp DT]] ) )</f>
        <v>#REF!</v>
      </c>
      <c r="J25" t="str">
        <f>tabSuperdettagli[[#This Row],[07.2025]]</f>
        <v>10</v>
      </c>
      <c r="K25">
        <f>tabSuperdettagli[[#This Row],[Resp del Prodotto]]</f>
        <v>0</v>
      </c>
      <c r="L25">
        <f>tabSuperdettagli[[#This Row],[Area di bdg]]</f>
        <v>0</v>
      </c>
      <c r="W25" t="str">
        <f>tabSuperdettagli[[#This Row],[PROJ CODE]]</f>
        <v>CONV NGP PLATFORM ENG</v>
      </c>
      <c r="X25" t="str">
        <f>tabSuperdettagli[[#This Row],[Resp 2°liv]]&amp;""</f>
        <v>Gamberini G.</v>
      </c>
      <c r="Y25" t="e">
        <f>INDEX(     tab_resp1liv[EngUnit area cluster 1_],
                    MATCH(   SUBSTITUTE(tabSuperdettagli[[#This Row],[Resp 2°liv]],  " ", ""),
                                      tab_resp1liv[SearchKey],0))</f>
        <v>#N/A</v>
      </c>
      <c r="Z25" t="str">
        <f>tabSuperdettagli[[#This Row],[WBS Element]]&amp;""</f>
        <v>Go</v>
      </c>
      <c r="AA25" t="str">
        <f>tabSuperdettagli[[#This Row],[09.2025]]</f>
        <v>234</v>
      </c>
      <c r="AC25" t="str">
        <f>IF( tabSuperdettagli[[#This Row],[ProjType_]]="M",  IF(  AND(tabSuperdettagli[[#This Row],[Resp 1°liv_]]="Guidotti C.", tabSuperdettagli[[#This Row],[WBE description_]]="Machine Mgmt"), "Documentation", tabSuperdettagli[[#This Row],[WBE description_]]),  "" )</f>
        <v/>
      </c>
      <c r="AD25" t="str">
        <f>LEFT(tabSuperdettagli[[#This Row],[Network]], 18 )</f>
        <v>5447634</v>
      </c>
      <c r="AE25" t="s">
        <v>75</v>
      </c>
      <c r="AF25" t="s">
        <v>204</v>
      </c>
      <c r="AG25" t="s">
        <v>243</v>
      </c>
      <c r="AH25" t="s">
        <v>192</v>
      </c>
      <c r="AI25" t="s">
        <v>235</v>
      </c>
      <c r="AJ25" t="s">
        <v>193</v>
      </c>
      <c r="AK25">
        <v>2025</v>
      </c>
      <c r="AL25" t="s">
        <v>194</v>
      </c>
      <c r="AM25" t="s">
        <v>195</v>
      </c>
      <c r="AN25" t="s">
        <v>189</v>
      </c>
      <c r="AO25" t="s">
        <v>190</v>
      </c>
      <c r="AP25" t="s">
        <v>239</v>
      </c>
      <c r="AQ25" t="s">
        <v>196</v>
      </c>
      <c r="AR25" t="s">
        <v>197</v>
      </c>
      <c r="AS25" t="s">
        <v>76</v>
      </c>
      <c r="AT25" t="s">
        <v>77</v>
      </c>
      <c r="AU25" t="s">
        <v>35</v>
      </c>
      <c r="AV25" t="s">
        <v>78</v>
      </c>
      <c r="AW25" t="s">
        <v>178</v>
      </c>
      <c r="AX25" t="s">
        <v>192</v>
      </c>
      <c r="AY25" t="s">
        <v>198</v>
      </c>
      <c r="AZ25" t="s">
        <v>199</v>
      </c>
      <c r="BA25" t="s">
        <v>200</v>
      </c>
      <c r="BB25" t="s">
        <v>80</v>
      </c>
      <c r="BC25">
        <v>84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84</v>
      </c>
      <c r="BP25" t="s">
        <v>45</v>
      </c>
      <c r="BQ25" t="s">
        <v>201</v>
      </c>
      <c r="BR25" t="s">
        <v>188</v>
      </c>
      <c r="BS25" t="s">
        <v>197</v>
      </c>
      <c r="BT25" t="s">
        <v>178</v>
      </c>
      <c r="BU25" t="s">
        <v>202</v>
      </c>
      <c r="BV25" t="s">
        <v>191</v>
      </c>
      <c r="BW25" t="s">
        <v>74</v>
      </c>
      <c r="BX25" t="s">
        <v>74</v>
      </c>
      <c r="BZ25" t="s">
        <v>203</v>
      </c>
      <c r="CB25" t="s">
        <v>74</v>
      </c>
    </row>
    <row r="26" spans="1:80" x14ac:dyDescent="0.25">
      <c r="A26" t="str">
        <f>IF(  UPPER(LEFT( tabSuperdettagli[[#This Row],[WBE Status]],1) ) = "S",  "sì",  "no"   )</f>
        <v>no</v>
      </c>
      <c r="B26">
        <v>2025</v>
      </c>
      <c r="C26">
        <f>VLOOKUP(tabSuperdettagli[[#This Row],[WBS_]], 'pivot di appoggio'!A:B,2,FALSE)</f>
        <v>2000</v>
      </c>
      <c r="D26" t="str">
        <f>LEFT(tabSuperdettagli[[#This Row],[Network]], 10)</f>
        <v>5447634</v>
      </c>
      <c r="E26" t="str">
        <f>LEFT(tabSuperdettagli[[#This Row],[Network]], 1)</f>
        <v>5</v>
      </c>
      <c r="F26" t="str">
        <f>LOWER(TRIM( tabSuperdettagli[[#This Row],[Proj. Type ]] ))</f>
        <v/>
      </c>
      <c r="G26" t="str">
        <f>IF( OR( tabSuperdettagli[[#This Row],[ProjType_]]="C", tabSuperdettagli[[#This Row],[ProjType_]]="A", tabSuperdettagli[[#This Row],[ProjType_]]="R", tabSuperdettagli[[#This Row],[ProjType_]]="E"),  "C A R E",
        IF( tabSuperdettagli[[#This Row],[ProjType_]]="U",  "U (" &amp; tabSuperdettagli[[#This Row],[U ProjType_]] &amp; ")",
        tabSuperdettagli[[#This Row],[ProjType_]]) )</f>
        <v>5</v>
      </c>
      <c r="I26" t="e">
        <f>IF(  TRIM(#REF!)&gt; "", TRIM(#REF!), TRIM(tabSuperdettagli[[#This Row],[Resp DT]] ) )</f>
        <v>#REF!</v>
      </c>
      <c r="J26" t="str">
        <f>tabSuperdettagli[[#This Row],[07.2025]]</f>
        <v>10</v>
      </c>
      <c r="K26">
        <f>tabSuperdettagli[[#This Row],[Resp del Prodotto]]</f>
        <v>0</v>
      </c>
      <c r="L26">
        <f>tabSuperdettagli[[#This Row],[Area di bdg]]</f>
        <v>0</v>
      </c>
      <c r="W26" t="str">
        <f>tabSuperdettagli[[#This Row],[PROJ CODE]]</f>
        <v>CONV NGP PLATFORM ENG</v>
      </c>
      <c r="X26" t="str">
        <f>tabSuperdettagli[[#This Row],[Resp 2°liv]]&amp;""</f>
        <v>Gamberini G.</v>
      </c>
      <c r="Y26" t="e">
        <f>INDEX(     tab_resp1liv[EngUnit area cluster 1_],
                    MATCH(   SUBSTITUTE(tabSuperdettagli[[#This Row],[Resp 2°liv]],  " ", ""),
                                      tab_resp1liv[SearchKey],0))</f>
        <v>#N/A</v>
      </c>
      <c r="Z26" t="str">
        <f>tabSuperdettagli[[#This Row],[WBS Element]]&amp;""</f>
        <v>Go</v>
      </c>
      <c r="AA26" t="str">
        <f>tabSuperdettagli[[#This Row],[09.2025]]</f>
        <v>234</v>
      </c>
      <c r="AC26" t="str">
        <f>IF( tabSuperdettagli[[#This Row],[ProjType_]]="M",  IF(  AND(tabSuperdettagli[[#This Row],[Resp 1°liv_]]="Guidotti C.", tabSuperdettagli[[#This Row],[WBE description_]]="Machine Mgmt"), "Documentation", tabSuperdettagli[[#This Row],[WBE description_]]),  "" )</f>
        <v/>
      </c>
      <c r="AD26" t="str">
        <f>LEFT(tabSuperdettagli[[#This Row],[Network]], 18 )</f>
        <v>5447634</v>
      </c>
      <c r="AE26" t="s">
        <v>75</v>
      </c>
      <c r="AF26" t="s">
        <v>204</v>
      </c>
      <c r="AG26" t="s">
        <v>243</v>
      </c>
      <c r="AH26" t="s">
        <v>192</v>
      </c>
      <c r="AI26" t="s">
        <v>235</v>
      </c>
      <c r="AJ26" t="s">
        <v>193</v>
      </c>
      <c r="AK26">
        <v>2025</v>
      </c>
      <c r="AL26" t="s">
        <v>194</v>
      </c>
      <c r="AM26" t="s">
        <v>195</v>
      </c>
      <c r="AN26" t="s">
        <v>189</v>
      </c>
      <c r="AO26" t="s">
        <v>190</v>
      </c>
      <c r="AP26" t="s">
        <v>239</v>
      </c>
      <c r="AQ26" t="s">
        <v>196</v>
      </c>
      <c r="AR26" t="s">
        <v>197</v>
      </c>
      <c r="AS26" t="s">
        <v>76</v>
      </c>
      <c r="AT26" t="s">
        <v>77</v>
      </c>
      <c r="AU26" t="s">
        <v>35</v>
      </c>
      <c r="AV26" t="s">
        <v>78</v>
      </c>
      <c r="AW26" t="s">
        <v>178</v>
      </c>
      <c r="AX26" t="s">
        <v>192</v>
      </c>
      <c r="AY26" t="s">
        <v>198</v>
      </c>
      <c r="AZ26" t="s">
        <v>199</v>
      </c>
      <c r="BA26" t="s">
        <v>200</v>
      </c>
      <c r="BB26" t="s">
        <v>80</v>
      </c>
      <c r="BC26">
        <v>84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84</v>
      </c>
      <c r="BP26" t="s">
        <v>45</v>
      </c>
      <c r="BQ26" t="s">
        <v>201</v>
      </c>
      <c r="BR26" t="s">
        <v>188</v>
      </c>
      <c r="BS26" t="s">
        <v>197</v>
      </c>
      <c r="BT26" t="s">
        <v>178</v>
      </c>
      <c r="BU26" t="s">
        <v>202</v>
      </c>
      <c r="BV26" t="s">
        <v>191</v>
      </c>
      <c r="BW26" t="s">
        <v>74</v>
      </c>
      <c r="BX26" t="s">
        <v>74</v>
      </c>
      <c r="BZ26" t="s">
        <v>203</v>
      </c>
      <c r="CB26" t="s">
        <v>74</v>
      </c>
    </row>
    <row r="27" spans="1:80" x14ac:dyDescent="0.25">
      <c r="A27" t="str">
        <f>IF(  UPPER(LEFT( tabSuperdettagli[[#This Row],[WBE Status]],1) ) = "S",  "sì",  "no"   )</f>
        <v>no</v>
      </c>
      <c r="B27">
        <v>2025</v>
      </c>
      <c r="C27">
        <f>VLOOKUP(tabSuperdettagli[[#This Row],[WBS_]], 'pivot di appoggio'!A:B,2,FALSE)</f>
        <v>2000</v>
      </c>
      <c r="D27" t="str">
        <f>LEFT(tabSuperdettagli[[#This Row],[Network]], 10)</f>
        <v>5447634</v>
      </c>
      <c r="E27" t="str">
        <f>LEFT(tabSuperdettagli[[#This Row],[Network]], 1)</f>
        <v>5</v>
      </c>
      <c r="F27" t="str">
        <f>LOWER(TRIM( tabSuperdettagli[[#This Row],[Proj. Type ]] ))</f>
        <v/>
      </c>
      <c r="G27" t="str">
        <f>IF( OR( tabSuperdettagli[[#This Row],[ProjType_]]="C", tabSuperdettagli[[#This Row],[ProjType_]]="A", tabSuperdettagli[[#This Row],[ProjType_]]="R", tabSuperdettagli[[#This Row],[ProjType_]]="E"),  "C A R E",
        IF( tabSuperdettagli[[#This Row],[ProjType_]]="U",  "U (" &amp; tabSuperdettagli[[#This Row],[U ProjType_]] &amp; ")",
        tabSuperdettagli[[#This Row],[ProjType_]]) )</f>
        <v>5</v>
      </c>
      <c r="I27" t="s">
        <v>238</v>
      </c>
      <c r="J27" t="str">
        <f>tabSuperdettagli[[#This Row],[07.2025]]</f>
        <v>10</v>
      </c>
      <c r="K27">
        <f>tabSuperdettagli[[#This Row],[Resp del Prodotto]]</f>
        <v>0</v>
      </c>
      <c r="L27">
        <f>tabSuperdettagli[[#This Row],[Area di bdg]]</f>
        <v>0</v>
      </c>
      <c r="W27" t="str">
        <f>tabSuperdettagli[[#This Row],[PROJ CODE]]</f>
        <v>CONV NGP PLATFORM ENG</v>
      </c>
      <c r="X27" t="str">
        <f>tabSuperdettagli[[#This Row],[Resp 2°liv]]&amp;""</f>
        <v>Gamberini G.</v>
      </c>
      <c r="Y27" t="e">
        <f>INDEX(     tab_resp1liv[EngUnit area cluster 1_],
                    MATCH(   SUBSTITUTE(tabSuperdettagli[[#This Row],[Resp 2°liv]],  " ", ""),
                                      tab_resp1liv[SearchKey],0))</f>
        <v>#N/A</v>
      </c>
      <c r="Z27" t="str">
        <f>tabSuperdettagli[[#This Row],[WBS Element]]&amp;""</f>
        <v>Go</v>
      </c>
      <c r="AA27" t="str">
        <f>tabSuperdettagli[[#This Row],[09.2025]]</f>
        <v>234</v>
      </c>
      <c r="AC27" t="str">
        <f>IF( tabSuperdettagli[[#This Row],[ProjType_]]="M",  IF(  AND(tabSuperdettagli[[#This Row],[Resp 1°liv_]]="Guidotti C.", tabSuperdettagli[[#This Row],[WBE description_]]="Machine Mgmt"), "Documentation", tabSuperdettagli[[#This Row],[WBE description_]]),  "" )</f>
        <v/>
      </c>
      <c r="AD27" t="str">
        <f>LEFT(tabSuperdettagli[[#This Row],[Network]], 18 )</f>
        <v>5447634</v>
      </c>
      <c r="AE27" t="s">
        <v>75</v>
      </c>
      <c r="AF27" t="s">
        <v>204</v>
      </c>
      <c r="AG27" t="s">
        <v>243</v>
      </c>
      <c r="AH27" t="s">
        <v>192</v>
      </c>
      <c r="AI27" t="s">
        <v>235</v>
      </c>
      <c r="AJ27" t="s">
        <v>193</v>
      </c>
      <c r="AK27">
        <v>2025</v>
      </c>
      <c r="AL27" t="s">
        <v>194</v>
      </c>
      <c r="AM27" t="s">
        <v>195</v>
      </c>
      <c r="AN27" t="s">
        <v>189</v>
      </c>
      <c r="AO27" t="s">
        <v>190</v>
      </c>
      <c r="AP27" t="s">
        <v>239</v>
      </c>
      <c r="AQ27" t="s">
        <v>196</v>
      </c>
      <c r="AR27" t="s">
        <v>197</v>
      </c>
      <c r="AS27" t="s">
        <v>76</v>
      </c>
      <c r="AT27" t="s">
        <v>77</v>
      </c>
      <c r="AU27" t="s">
        <v>35</v>
      </c>
      <c r="AV27" t="s">
        <v>78</v>
      </c>
      <c r="AW27" t="s">
        <v>178</v>
      </c>
      <c r="AX27" t="s">
        <v>192</v>
      </c>
      <c r="AY27" t="s">
        <v>198</v>
      </c>
      <c r="AZ27" t="s">
        <v>199</v>
      </c>
      <c r="BA27" t="s">
        <v>200</v>
      </c>
      <c r="BB27" t="s">
        <v>80</v>
      </c>
      <c r="BC27">
        <v>84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84</v>
      </c>
      <c r="BP27" t="s">
        <v>45</v>
      </c>
      <c r="BQ27" t="s">
        <v>201</v>
      </c>
      <c r="BR27" t="s">
        <v>188</v>
      </c>
      <c r="BS27" t="s">
        <v>197</v>
      </c>
      <c r="BT27" t="s">
        <v>178</v>
      </c>
      <c r="BU27" t="s">
        <v>202</v>
      </c>
      <c r="BV27" t="s">
        <v>191</v>
      </c>
      <c r="BW27" t="s">
        <v>74</v>
      </c>
      <c r="BX27" t="s">
        <v>74</v>
      </c>
      <c r="BZ27" t="s">
        <v>203</v>
      </c>
      <c r="CB27" t="s">
        <v>74</v>
      </c>
    </row>
    <row r="28" spans="1:80" x14ac:dyDescent="0.25">
      <c r="A28" t="str">
        <f>IF(UPPER(LEFT(tabSuperdettagli[[#This Row],[WBE Status]],1))="S","sì","no")</f>
        <v>no</v>
      </c>
      <c r="B28">
        <v>2025</v>
      </c>
      <c r="C28">
        <f>VLOOKUP(tabSuperdettagli[[#This Row],[WBS_]], 'pivot di appoggio'!A:B,2,FALSE)</f>
        <v>2000</v>
      </c>
      <c r="D28" t="str">
        <f>LEFT(tabSuperdettagli[[#This Row],[Network]],10)</f>
        <v>5447634</v>
      </c>
      <c r="E28" t="str">
        <f>LEFT(tabSuperdettagli[[#This Row],[Network]],1)</f>
        <v>5</v>
      </c>
      <c r="F28" t="str">
        <f>LOWER(TRIM(tabSuperdettagli[[#This Row],[Proj. Type ]]))</f>
        <v/>
      </c>
      <c r="G28" t="str">
        <f>IF(OR(tabSuperdettagli[[#This Row],[ProjType_]]="C",tabSuperdettagli[[#This Row],[ProjType_]]="A",tabSuperdettagli[[#This Row],[ProjType_]]="R",tabSuperdettagli[[#This Row],[ProjType_]]="E"),"C A R E",IF(tabSuperdettagli[[#This Row],[ProjType_]]="U","U ("&amp;tabSuperdettagli[[#This Row],[U ProjType_]]&amp;")",tabSuperdettagli[[#This Row],[ProjType_]]))</f>
        <v>5</v>
      </c>
      <c r="I28" t="s">
        <v>238</v>
      </c>
      <c r="J28" t="str">
        <f>tabSuperdettagli[[#This Row],[07.2025]]</f>
        <v>10</v>
      </c>
      <c r="K28">
        <f>tabSuperdettagli[[#This Row],[Resp del Prodotto]]</f>
        <v>0</v>
      </c>
      <c r="L28">
        <f>tabSuperdettagli[[#This Row],[Area di bdg]]</f>
        <v>0</v>
      </c>
      <c r="M28">
        <f>tabSuperdettagli[[#This Row],[Macchina]]</f>
        <v>0</v>
      </c>
      <c r="N28">
        <f>tabSuperdettagli[[#This Row],[Sottotipo]]</f>
        <v>0</v>
      </c>
      <c r="O28">
        <f>tabSuperdettagli[[#This Row],[Cluster]]</f>
        <v>0</v>
      </c>
      <c r="P28">
        <f>tabSuperdettagli[[#This Row],[Quadrante]]</f>
        <v>0</v>
      </c>
      <c r="Q28">
        <f>tabSuperdettagli[[#This Row],[01.2025]]</f>
        <v>0</v>
      </c>
      <c r="R28">
        <f>tabSuperdettagli[[#This Row],[02.2025]]</f>
        <v>0</v>
      </c>
      <c r="S28">
        <f>tabSuperdettagli[[#This Row],[03.2025]]</f>
        <v>0</v>
      </c>
      <c r="T28">
        <f>tabSuperdettagli[[#This Row],[04.2025]]</f>
        <v>0</v>
      </c>
      <c r="U28">
        <f>tabSuperdettagli[[#This Row],[05.2025]]</f>
        <v>0</v>
      </c>
      <c r="V28">
        <f>tabSuperdettagli[[#This Row],[06.2025]]</f>
        <v>84</v>
      </c>
      <c r="W28" t="str">
        <f>tabSuperdettagli[[#This Row],[PROJ CODE]]</f>
        <v>CONV NGP PLATFORM ENG</v>
      </c>
      <c r="X28" t="str">
        <f>tabSuperdettagli[[#This Row],[Resp 2°liv]]&amp;""</f>
        <v>Gamberini G.</v>
      </c>
      <c r="Y28" t="e">
        <f>INDEX(tab_resp1liv[EngUnit area cluster 1_],MATCH(SUBSTITUTE(tabSuperdettagli[[#This Row],[Resp 2°liv]]," ",""),tab_resp1liv[SearchKey],0))</f>
        <v>#N/A</v>
      </c>
      <c r="Z28" t="str">
        <f>tabSuperdettagli[[#This Row],[WBS Element]]&amp;""</f>
        <v>Go</v>
      </c>
      <c r="AA28" t="str">
        <f>tabSuperdettagli[[#This Row],[09.2025]]</f>
        <v>234</v>
      </c>
      <c r="AB28" t="s">
        <v>74</v>
      </c>
      <c r="AC28" t="str">
        <f>IF(tabSuperdettagli[[#This Row],[ProjType_]]="M",IF(AND(tabSuperdettagli[[#This Row],[Resp 1°liv_]]="Guidotti C.",tabSuperdettagli[[#This Row],[WBE description_]]="Machine Mgmt"),"Documentation",tabSuperdettagli[[#This Row],[WBE description_]]),"")</f>
        <v/>
      </c>
      <c r="AD28" t="str">
        <f>LEFT(tabSuperdettagli[[#This Row],[Network]],18)</f>
        <v>5447634</v>
      </c>
      <c r="AE28" t="s">
        <v>75</v>
      </c>
      <c r="AF28" t="s">
        <v>204</v>
      </c>
      <c r="AG28" t="s">
        <v>243</v>
      </c>
      <c r="AH28" t="s">
        <v>192</v>
      </c>
      <c r="AI28" t="s">
        <v>235</v>
      </c>
      <c r="AJ28" t="s">
        <v>193</v>
      </c>
      <c r="AK28">
        <v>2025</v>
      </c>
      <c r="AL28" t="s">
        <v>194</v>
      </c>
      <c r="AM28" t="s">
        <v>195</v>
      </c>
      <c r="AN28" t="s">
        <v>189</v>
      </c>
      <c r="AO28" t="s">
        <v>190</v>
      </c>
      <c r="AP28" t="s">
        <v>239</v>
      </c>
      <c r="AQ28" t="s">
        <v>196</v>
      </c>
      <c r="AR28" t="s">
        <v>197</v>
      </c>
      <c r="AS28" t="s">
        <v>76</v>
      </c>
      <c r="AT28" t="s">
        <v>77</v>
      </c>
      <c r="AU28" t="s">
        <v>35</v>
      </c>
      <c r="AV28" t="s">
        <v>78</v>
      </c>
      <c r="AW28" t="s">
        <v>178</v>
      </c>
      <c r="AX28" t="s">
        <v>192</v>
      </c>
      <c r="AY28" t="s">
        <v>198</v>
      </c>
      <c r="AZ28" t="s">
        <v>199</v>
      </c>
      <c r="BA28" t="s">
        <v>200</v>
      </c>
      <c r="BB28" t="s">
        <v>80</v>
      </c>
      <c r="BC28">
        <v>84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84</v>
      </c>
      <c r="BP28" t="s">
        <v>45</v>
      </c>
      <c r="BQ28" t="s">
        <v>201</v>
      </c>
      <c r="BR28" t="s">
        <v>188</v>
      </c>
      <c r="BS28" t="s">
        <v>197</v>
      </c>
      <c r="BT28" t="s">
        <v>178</v>
      </c>
      <c r="BU28" t="s">
        <v>202</v>
      </c>
      <c r="BV28" t="s">
        <v>191</v>
      </c>
      <c r="BW28" t="s">
        <v>74</v>
      </c>
      <c r="BX28" t="s">
        <v>74</v>
      </c>
      <c r="BZ28" t="s">
        <v>203</v>
      </c>
      <c r="CB28" t="s">
        <v>74</v>
      </c>
    </row>
    <row r="29" spans="1:80" x14ac:dyDescent="0.25">
      <c r="A29" t="str">
        <f>IF(UPPER(LEFT(tabSuperdettagli[[#This Row],[WBE Status]],1))="S","sì","no")</f>
        <v>no</v>
      </c>
      <c r="B29">
        <v>2025</v>
      </c>
      <c r="C29">
        <f>VLOOKUP(tabSuperdettagli[[#This Row],[WBS_]], 'pivot di appoggio'!A:B,2,FALSE)</f>
        <v>2000</v>
      </c>
      <c r="D29" t="str">
        <f>LEFT(tabSuperdettagli[[#This Row],[Network]],10)</f>
        <v>5447634</v>
      </c>
      <c r="E29" t="str">
        <f>LEFT(tabSuperdettagli[[#This Row],[Network]],1)</f>
        <v>5</v>
      </c>
      <c r="F29" t="str">
        <f>LOWER(TRIM(tabSuperdettagli[[#This Row],[Proj. Type ]]))</f>
        <v/>
      </c>
      <c r="G29" t="str">
        <f>IF(OR(tabSuperdettagli[[#This Row],[ProjType_]]="C",tabSuperdettagli[[#This Row],[ProjType_]]="A",tabSuperdettagli[[#This Row],[ProjType_]]="R",tabSuperdettagli[[#This Row],[ProjType_]]="E"),"C A R E",IF(tabSuperdettagli[[#This Row],[ProjType_]]="U","U ("&amp;tabSuperdettagli[[#This Row],[U ProjType_]]&amp;")",tabSuperdettagli[[#This Row],[ProjType_]]))</f>
        <v>5</v>
      </c>
      <c r="I29" t="s">
        <v>238</v>
      </c>
      <c r="J29" t="str">
        <f>tabSuperdettagli[[#This Row],[07.2025]]</f>
        <v>10</v>
      </c>
      <c r="K29">
        <f>tabSuperdettagli[[#This Row],[Resp del Prodotto]]</f>
        <v>0</v>
      </c>
      <c r="L29">
        <f>tabSuperdettagli[[#This Row],[Area di bdg]]</f>
        <v>0</v>
      </c>
      <c r="M29">
        <f>tabSuperdettagli[[#This Row],[Macchina]]</f>
        <v>0</v>
      </c>
      <c r="N29">
        <f>tabSuperdettagli[[#This Row],[Sottotipo]]</f>
        <v>0</v>
      </c>
      <c r="O29">
        <f>tabSuperdettagli[[#This Row],[Cluster]]</f>
        <v>0</v>
      </c>
      <c r="P29">
        <f>tabSuperdettagli[[#This Row],[Quadrante]]</f>
        <v>0</v>
      </c>
      <c r="Q29">
        <f>tabSuperdettagli[[#This Row],[01.2025]]</f>
        <v>0</v>
      </c>
      <c r="R29">
        <f>tabSuperdettagli[[#This Row],[02.2025]]</f>
        <v>0</v>
      </c>
      <c r="S29">
        <f>tabSuperdettagli[[#This Row],[03.2025]]</f>
        <v>0</v>
      </c>
      <c r="T29">
        <f>tabSuperdettagli[[#This Row],[04.2025]]</f>
        <v>0</v>
      </c>
      <c r="U29">
        <f>tabSuperdettagli[[#This Row],[05.2025]]</f>
        <v>0</v>
      </c>
      <c r="V29">
        <f>tabSuperdettagli[[#This Row],[06.2025]]</f>
        <v>84</v>
      </c>
      <c r="W29" t="str">
        <f>tabSuperdettagli[[#This Row],[PROJ CODE]]</f>
        <v>CONV NGP PLATFORM ENG</v>
      </c>
      <c r="X29" t="str">
        <f>tabSuperdettagli[[#This Row],[Resp 2°liv]]&amp;""</f>
        <v>Gamberini G.</v>
      </c>
      <c r="Y29" t="e">
        <f>INDEX(tab_resp1liv[EngUnit area cluster 1_],MATCH(SUBSTITUTE(tabSuperdettagli[[#This Row],[Resp 2°liv]]," ",""),tab_resp1liv[SearchKey],0))</f>
        <v>#N/A</v>
      </c>
      <c r="Z29" t="str">
        <f>tabSuperdettagli[[#This Row],[WBS Element]]&amp;""</f>
        <v>Go</v>
      </c>
      <c r="AA29" t="str">
        <f>tabSuperdettagli[[#This Row],[09.2025]]</f>
        <v>234</v>
      </c>
      <c r="AB29" t="s">
        <v>74</v>
      </c>
      <c r="AC29" t="str">
        <f>IF(tabSuperdettagli[[#This Row],[ProjType_]]="M",IF(AND(tabSuperdettagli[[#This Row],[Resp 1°liv_]]="Guidotti C.",tabSuperdettagli[[#This Row],[WBE description_]]="Machine Mgmt"),"Documentation",tabSuperdettagli[[#This Row],[WBE description_]]),"")</f>
        <v/>
      </c>
      <c r="AD29" t="str">
        <f>LEFT(tabSuperdettagli[[#This Row],[Network]],18)</f>
        <v>5447634</v>
      </c>
      <c r="AE29" t="s">
        <v>75</v>
      </c>
      <c r="AF29" t="s">
        <v>204</v>
      </c>
      <c r="AG29" t="s">
        <v>243</v>
      </c>
      <c r="AH29" t="s">
        <v>192</v>
      </c>
      <c r="AI29" t="s">
        <v>235</v>
      </c>
      <c r="AJ29" t="s">
        <v>193</v>
      </c>
      <c r="AK29">
        <v>2025</v>
      </c>
      <c r="AL29" t="s">
        <v>194</v>
      </c>
      <c r="AM29" t="s">
        <v>195</v>
      </c>
      <c r="AN29" t="s">
        <v>189</v>
      </c>
      <c r="AO29" t="s">
        <v>190</v>
      </c>
      <c r="AP29" t="s">
        <v>239</v>
      </c>
      <c r="AQ29" t="s">
        <v>196</v>
      </c>
      <c r="AR29" t="s">
        <v>197</v>
      </c>
      <c r="AS29" t="s">
        <v>76</v>
      </c>
      <c r="AT29" t="s">
        <v>77</v>
      </c>
      <c r="AU29" t="s">
        <v>35</v>
      </c>
      <c r="AV29" t="s">
        <v>78</v>
      </c>
      <c r="AW29" t="s">
        <v>178</v>
      </c>
      <c r="AX29" t="s">
        <v>192</v>
      </c>
      <c r="AY29" t="s">
        <v>198</v>
      </c>
      <c r="AZ29" t="s">
        <v>199</v>
      </c>
      <c r="BA29" t="s">
        <v>200</v>
      </c>
      <c r="BB29" t="s">
        <v>80</v>
      </c>
      <c r="BC29">
        <v>84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84</v>
      </c>
      <c r="BP29" t="s">
        <v>45</v>
      </c>
      <c r="BQ29" t="s">
        <v>201</v>
      </c>
      <c r="BR29" t="s">
        <v>188</v>
      </c>
      <c r="BS29" t="s">
        <v>197</v>
      </c>
      <c r="BT29" t="s">
        <v>178</v>
      </c>
      <c r="BU29" t="s">
        <v>202</v>
      </c>
      <c r="BV29" t="s">
        <v>191</v>
      </c>
      <c r="BW29" t="s">
        <v>74</v>
      </c>
      <c r="BX29" t="s">
        <v>74</v>
      </c>
      <c r="BZ29" t="s">
        <v>203</v>
      </c>
      <c r="CB29" t="s">
        <v>74</v>
      </c>
    </row>
    <row r="30" spans="1:80" x14ac:dyDescent="0.25">
      <c r="A30" t="str">
        <f>IF(UPPER(LEFT(tabSuperdettagli[[#This Row],[WBE Status]],1))="S","sì","no")</f>
        <v>no</v>
      </c>
      <c r="B30">
        <v>2025</v>
      </c>
      <c r="C30">
        <f>VLOOKUP(tabSuperdettagli[[#This Row],[WBS_]], 'pivot di appoggio'!A:B,2,FALSE)</f>
        <v>2000</v>
      </c>
      <c r="D30" t="str">
        <f>LEFT(tabSuperdettagli[[#This Row],[Network]],10)</f>
        <v>5447634</v>
      </c>
      <c r="E30" t="str">
        <f>LEFT(tabSuperdettagli[[#This Row],[Network]],1)</f>
        <v>5</v>
      </c>
      <c r="F30" t="str">
        <f>LOWER(TRIM(tabSuperdettagli[[#This Row],[Proj. Type ]]))</f>
        <v/>
      </c>
      <c r="G30" t="str">
        <f>IF(OR(tabSuperdettagli[[#This Row],[ProjType_]]="C",tabSuperdettagli[[#This Row],[ProjType_]]="A",tabSuperdettagli[[#This Row],[ProjType_]]="R",tabSuperdettagli[[#This Row],[ProjType_]]="E"),"C A R E",IF(tabSuperdettagli[[#This Row],[ProjType_]]="U","U ("&amp;tabSuperdettagli[[#This Row],[U ProjType_]]&amp;")",tabSuperdettagli[[#This Row],[ProjType_]]))</f>
        <v>5</v>
      </c>
      <c r="I30" t="s">
        <v>238</v>
      </c>
      <c r="J30" t="str">
        <f>tabSuperdettagli[[#This Row],[07.2025]]</f>
        <v>10</v>
      </c>
      <c r="K30">
        <f>tabSuperdettagli[[#This Row],[Resp del Prodotto]]</f>
        <v>0</v>
      </c>
      <c r="L30">
        <f>tabSuperdettagli[[#This Row],[Area di bdg]]</f>
        <v>0</v>
      </c>
      <c r="M30">
        <f>tabSuperdettagli[[#This Row],[Macchina]]</f>
        <v>0</v>
      </c>
      <c r="N30">
        <f>tabSuperdettagli[[#This Row],[Sottotipo]]</f>
        <v>0</v>
      </c>
      <c r="O30">
        <f>tabSuperdettagli[[#This Row],[Cluster]]</f>
        <v>0</v>
      </c>
      <c r="P30">
        <f>tabSuperdettagli[[#This Row],[Quadrante]]</f>
        <v>0</v>
      </c>
      <c r="Q30">
        <f>tabSuperdettagli[[#This Row],[01.2025]]</f>
        <v>0</v>
      </c>
      <c r="R30">
        <f>tabSuperdettagli[[#This Row],[02.2025]]</f>
        <v>0</v>
      </c>
      <c r="S30">
        <f>tabSuperdettagli[[#This Row],[03.2025]]</f>
        <v>0</v>
      </c>
      <c r="T30">
        <f>tabSuperdettagli[[#This Row],[04.2025]]</f>
        <v>0</v>
      </c>
      <c r="U30">
        <f>tabSuperdettagli[[#This Row],[05.2025]]</f>
        <v>0</v>
      </c>
      <c r="V30">
        <f>tabSuperdettagli[[#This Row],[06.2025]]</f>
        <v>84</v>
      </c>
      <c r="W30" t="str">
        <f>tabSuperdettagli[[#This Row],[PROJ CODE]]</f>
        <v>CONV NGP PLATFORM ENG</v>
      </c>
      <c r="X30" t="str">
        <f>tabSuperdettagli[[#This Row],[Resp 2°liv]]&amp;""</f>
        <v>Gamberini G.</v>
      </c>
      <c r="Y30" t="e">
        <f>INDEX(tab_resp1liv[EngUnit area cluster 1_],MATCH(SUBSTITUTE(tabSuperdettagli[[#This Row],[Resp 2°liv]]," ",""),tab_resp1liv[SearchKey],0))</f>
        <v>#N/A</v>
      </c>
      <c r="Z30" t="str">
        <f>tabSuperdettagli[[#This Row],[WBS Element]]&amp;""</f>
        <v>Go</v>
      </c>
      <c r="AA30" t="str">
        <f>tabSuperdettagli[[#This Row],[09.2025]]</f>
        <v>234</v>
      </c>
      <c r="AB30" t="s">
        <v>74</v>
      </c>
      <c r="AC30" t="str">
        <f>IF(tabSuperdettagli[[#This Row],[ProjType_]]="M",IF(AND(tabSuperdettagli[[#This Row],[Resp 1°liv_]]="Guidotti C.",tabSuperdettagli[[#This Row],[WBE description_]]="Machine Mgmt"),"Documentation",tabSuperdettagli[[#This Row],[WBE description_]]),"")</f>
        <v/>
      </c>
      <c r="AD30" t="str">
        <f>LEFT(tabSuperdettagli[[#This Row],[Network]],18)</f>
        <v>5447634</v>
      </c>
      <c r="AE30" t="s">
        <v>75</v>
      </c>
      <c r="AF30" t="s">
        <v>204</v>
      </c>
      <c r="AG30" t="s">
        <v>243</v>
      </c>
      <c r="AH30" t="s">
        <v>192</v>
      </c>
      <c r="AI30" t="s">
        <v>235</v>
      </c>
      <c r="AJ30" t="s">
        <v>193</v>
      </c>
      <c r="AK30">
        <v>2025</v>
      </c>
      <c r="AL30" t="s">
        <v>194</v>
      </c>
      <c r="AM30" t="s">
        <v>195</v>
      </c>
      <c r="AN30" t="s">
        <v>189</v>
      </c>
      <c r="AO30" t="s">
        <v>190</v>
      </c>
      <c r="AP30" t="s">
        <v>239</v>
      </c>
      <c r="AQ30" t="s">
        <v>196</v>
      </c>
      <c r="AR30" t="s">
        <v>197</v>
      </c>
      <c r="AS30" t="s">
        <v>76</v>
      </c>
      <c r="AT30" t="s">
        <v>77</v>
      </c>
      <c r="AU30" t="s">
        <v>35</v>
      </c>
      <c r="AV30" t="s">
        <v>78</v>
      </c>
      <c r="AW30" t="s">
        <v>178</v>
      </c>
      <c r="AX30" t="s">
        <v>192</v>
      </c>
      <c r="AY30" t="s">
        <v>198</v>
      </c>
      <c r="AZ30" t="s">
        <v>199</v>
      </c>
      <c r="BA30" t="s">
        <v>200</v>
      </c>
      <c r="BB30" t="s">
        <v>80</v>
      </c>
      <c r="BC30">
        <v>84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84</v>
      </c>
      <c r="BP30" t="s">
        <v>45</v>
      </c>
      <c r="BQ30" t="s">
        <v>201</v>
      </c>
      <c r="BR30" t="s">
        <v>188</v>
      </c>
      <c r="BS30" t="s">
        <v>197</v>
      </c>
      <c r="BT30" t="s">
        <v>178</v>
      </c>
      <c r="BU30" t="s">
        <v>202</v>
      </c>
      <c r="BV30" t="s">
        <v>191</v>
      </c>
      <c r="BW30" t="s">
        <v>74</v>
      </c>
      <c r="BX30" t="s">
        <v>74</v>
      </c>
      <c r="BZ30" t="s">
        <v>203</v>
      </c>
      <c r="CB30" t="s">
        <v>74</v>
      </c>
    </row>
    <row r="31" spans="1:80" x14ac:dyDescent="0.25">
      <c r="A31" t="str">
        <f>IF(UPPER(LEFT(tabSuperdettagli[[#This Row],[WBE Status]],1))="S","sì","no")</f>
        <v>no</v>
      </c>
      <c r="B31">
        <v>2025</v>
      </c>
      <c r="C31">
        <f>VLOOKUP(tabSuperdettagli[[#This Row],[WBS_]], 'pivot di appoggio'!A:B,2,FALSE)</f>
        <v>2000</v>
      </c>
      <c r="D31" t="str">
        <f>LEFT(tabSuperdettagli[[#This Row],[Network]],10)</f>
        <v>5447634</v>
      </c>
      <c r="E31" t="str">
        <f>LEFT(tabSuperdettagli[[#This Row],[Network]],1)</f>
        <v>5</v>
      </c>
      <c r="F31" t="str">
        <f>LOWER(TRIM(tabSuperdettagli[[#This Row],[Proj. Type ]]))</f>
        <v/>
      </c>
      <c r="G31" t="str">
        <f>IF(OR(tabSuperdettagli[[#This Row],[ProjType_]]="C",tabSuperdettagli[[#This Row],[ProjType_]]="A",tabSuperdettagli[[#This Row],[ProjType_]]="R",tabSuperdettagli[[#This Row],[ProjType_]]="E"),"C A R E",IF(tabSuperdettagli[[#This Row],[ProjType_]]="U","U ("&amp;tabSuperdettagli[[#This Row],[U ProjType_]]&amp;")",tabSuperdettagli[[#This Row],[ProjType_]]))</f>
        <v>5</v>
      </c>
      <c r="I31" t="s">
        <v>238</v>
      </c>
      <c r="J31" t="str">
        <f>tabSuperdettagli[[#This Row],[07.2025]]</f>
        <v>10</v>
      </c>
      <c r="K31">
        <f>tabSuperdettagli[[#This Row],[Resp del Prodotto]]</f>
        <v>0</v>
      </c>
      <c r="L31">
        <f>tabSuperdettagli[[#This Row],[Area di bdg]]</f>
        <v>0</v>
      </c>
      <c r="M31">
        <f>tabSuperdettagli[[#This Row],[Macchina]]</f>
        <v>0</v>
      </c>
      <c r="N31">
        <f>tabSuperdettagli[[#This Row],[Sottotipo]]</f>
        <v>0</v>
      </c>
      <c r="O31">
        <f>tabSuperdettagli[[#This Row],[Cluster]]</f>
        <v>0</v>
      </c>
      <c r="P31">
        <f>tabSuperdettagli[[#This Row],[Quadrante]]</f>
        <v>0</v>
      </c>
      <c r="Q31">
        <f>tabSuperdettagli[[#This Row],[01.2025]]</f>
        <v>0</v>
      </c>
      <c r="R31">
        <f>tabSuperdettagli[[#This Row],[02.2025]]</f>
        <v>0</v>
      </c>
      <c r="S31">
        <f>tabSuperdettagli[[#This Row],[03.2025]]</f>
        <v>0</v>
      </c>
      <c r="T31">
        <f>tabSuperdettagli[[#This Row],[04.2025]]</f>
        <v>0</v>
      </c>
      <c r="U31">
        <f>tabSuperdettagli[[#This Row],[05.2025]]</f>
        <v>0</v>
      </c>
      <c r="V31">
        <f>tabSuperdettagli[[#This Row],[06.2025]]</f>
        <v>84</v>
      </c>
      <c r="W31" t="str">
        <f>tabSuperdettagli[[#This Row],[PROJ CODE]]</f>
        <v>CONV NGP PLATFORM ENG</v>
      </c>
      <c r="X31" t="str">
        <f>tabSuperdettagli[[#This Row],[Resp 2°liv]]&amp;""</f>
        <v>Gamberini G.</v>
      </c>
      <c r="Y31" t="e">
        <f>INDEX(tab_resp1liv[EngUnit area cluster 1_],MATCH(SUBSTITUTE(tabSuperdettagli[[#This Row],[Resp 2°liv]]," ",""),tab_resp1liv[SearchKey],0))</f>
        <v>#N/A</v>
      </c>
      <c r="Z31" t="str">
        <f>tabSuperdettagli[[#This Row],[WBS Element]]&amp;""</f>
        <v>Go</v>
      </c>
      <c r="AA31" t="str">
        <f>tabSuperdettagli[[#This Row],[09.2025]]</f>
        <v>234</v>
      </c>
      <c r="AB31" t="s">
        <v>74</v>
      </c>
      <c r="AC31" t="str">
        <f>IF(tabSuperdettagli[[#This Row],[ProjType_]]="M",IF(AND(tabSuperdettagli[[#This Row],[Resp 1°liv_]]="Guidotti C.",tabSuperdettagli[[#This Row],[WBE description_]]="Machine Mgmt"),"Documentation",tabSuperdettagli[[#This Row],[WBE description_]]),"")</f>
        <v/>
      </c>
      <c r="AD31" t="str">
        <f>LEFT(tabSuperdettagli[[#This Row],[Network]],18)</f>
        <v>5447634</v>
      </c>
      <c r="AE31" t="s">
        <v>75</v>
      </c>
      <c r="AF31" t="s">
        <v>204</v>
      </c>
      <c r="AG31" t="s">
        <v>243</v>
      </c>
      <c r="AH31" t="s">
        <v>192</v>
      </c>
      <c r="AI31" t="s">
        <v>235</v>
      </c>
      <c r="AJ31" t="s">
        <v>193</v>
      </c>
      <c r="AK31">
        <v>2025</v>
      </c>
      <c r="AL31" t="s">
        <v>194</v>
      </c>
      <c r="AM31" t="s">
        <v>195</v>
      </c>
      <c r="AN31" t="s">
        <v>189</v>
      </c>
      <c r="AO31" t="s">
        <v>190</v>
      </c>
      <c r="AP31" t="s">
        <v>239</v>
      </c>
      <c r="AQ31" t="s">
        <v>196</v>
      </c>
      <c r="AR31" t="s">
        <v>197</v>
      </c>
      <c r="AS31" t="s">
        <v>76</v>
      </c>
      <c r="AT31" t="s">
        <v>77</v>
      </c>
      <c r="AU31" t="s">
        <v>35</v>
      </c>
      <c r="AV31" t="s">
        <v>78</v>
      </c>
      <c r="AW31" t="s">
        <v>178</v>
      </c>
      <c r="AX31" t="s">
        <v>192</v>
      </c>
      <c r="AY31" t="s">
        <v>198</v>
      </c>
      <c r="AZ31" t="s">
        <v>199</v>
      </c>
      <c r="BA31" t="s">
        <v>200</v>
      </c>
      <c r="BB31" t="s">
        <v>80</v>
      </c>
      <c r="BC31">
        <v>84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84</v>
      </c>
      <c r="BP31" t="s">
        <v>45</v>
      </c>
      <c r="BQ31" t="s">
        <v>201</v>
      </c>
      <c r="BR31" t="s">
        <v>188</v>
      </c>
      <c r="BS31" t="s">
        <v>197</v>
      </c>
      <c r="BT31" t="s">
        <v>178</v>
      </c>
      <c r="BU31" t="s">
        <v>202</v>
      </c>
      <c r="BV31" t="s">
        <v>191</v>
      </c>
      <c r="BW31" t="s">
        <v>74</v>
      </c>
      <c r="BX31" t="s">
        <v>74</v>
      </c>
      <c r="BZ31" t="s">
        <v>203</v>
      </c>
      <c r="CB31" t="s">
        <v>74</v>
      </c>
    </row>
    <row r="32" spans="1:80" x14ac:dyDescent="0.25">
      <c r="A32" t="str">
        <f>IF(UPPER(LEFT(tabSuperdettagli[[#This Row],[WBE Status]],1))="S","sì","no")</f>
        <v>no</v>
      </c>
      <c r="B32">
        <v>2025</v>
      </c>
      <c r="C32">
        <f>VLOOKUP(tabSuperdettagli[[#This Row],[WBS_]], 'pivot di appoggio'!A:B,2,FALSE)</f>
        <v>2000</v>
      </c>
      <c r="D32" t="str">
        <f>LEFT(tabSuperdettagli[[#This Row],[Network]],10)</f>
        <v>5447634</v>
      </c>
      <c r="E32" t="str">
        <f>LEFT(tabSuperdettagli[[#This Row],[Network]],1)</f>
        <v>5</v>
      </c>
      <c r="F32" t="str">
        <f>LOWER(TRIM(tabSuperdettagli[[#This Row],[Proj. Type ]]))</f>
        <v/>
      </c>
      <c r="G32" t="str">
        <f>IF(OR(tabSuperdettagli[[#This Row],[ProjType_]]="C",tabSuperdettagli[[#This Row],[ProjType_]]="A",tabSuperdettagli[[#This Row],[ProjType_]]="R",tabSuperdettagli[[#This Row],[ProjType_]]="E"),"C A R E",IF(tabSuperdettagli[[#This Row],[ProjType_]]="U","U ("&amp;tabSuperdettagli[[#This Row],[U ProjType_]]&amp;")",tabSuperdettagli[[#This Row],[ProjType_]]))</f>
        <v>5</v>
      </c>
      <c r="I32" t="s">
        <v>238</v>
      </c>
      <c r="J32" t="str">
        <f>tabSuperdettagli[[#This Row],[07.2025]]</f>
        <v>10</v>
      </c>
      <c r="K32">
        <f>tabSuperdettagli[[#This Row],[Resp del Prodotto]]</f>
        <v>0</v>
      </c>
      <c r="L32">
        <f>tabSuperdettagli[[#This Row],[Area di bdg]]</f>
        <v>0</v>
      </c>
      <c r="M32">
        <f>tabSuperdettagli[[#This Row],[Macchina]]</f>
        <v>0</v>
      </c>
      <c r="N32">
        <f>tabSuperdettagli[[#This Row],[Sottotipo]]</f>
        <v>0</v>
      </c>
      <c r="O32">
        <f>tabSuperdettagli[[#This Row],[Cluster]]</f>
        <v>0</v>
      </c>
      <c r="P32">
        <f>tabSuperdettagli[[#This Row],[Quadrante]]</f>
        <v>0</v>
      </c>
      <c r="Q32">
        <f>tabSuperdettagli[[#This Row],[01.2025]]</f>
        <v>0</v>
      </c>
      <c r="R32">
        <f>tabSuperdettagli[[#This Row],[02.2025]]</f>
        <v>0</v>
      </c>
      <c r="S32">
        <f>tabSuperdettagli[[#This Row],[03.2025]]</f>
        <v>0</v>
      </c>
      <c r="T32">
        <f>tabSuperdettagli[[#This Row],[04.2025]]</f>
        <v>0</v>
      </c>
      <c r="U32">
        <f>tabSuperdettagli[[#This Row],[05.2025]]</f>
        <v>0</v>
      </c>
      <c r="V32">
        <f>tabSuperdettagli[[#This Row],[06.2025]]</f>
        <v>84</v>
      </c>
      <c r="W32" t="str">
        <f>tabSuperdettagli[[#This Row],[PROJ CODE]]</f>
        <v>CONV NGP PLATFORM ENG</v>
      </c>
      <c r="X32" t="str">
        <f>tabSuperdettagli[[#This Row],[Resp 2°liv]]&amp;""</f>
        <v>Gamberini G.</v>
      </c>
      <c r="Y32" t="e">
        <f>INDEX(tab_resp1liv[EngUnit area cluster 1_],MATCH(SUBSTITUTE(tabSuperdettagli[[#This Row],[Resp 2°liv]]," ",""),tab_resp1liv[SearchKey],0))</f>
        <v>#N/A</v>
      </c>
      <c r="Z32" t="str">
        <f>tabSuperdettagli[[#This Row],[WBS Element]]&amp;""</f>
        <v>Go</v>
      </c>
      <c r="AA32" t="str">
        <f>tabSuperdettagli[[#This Row],[09.2025]]</f>
        <v>234</v>
      </c>
      <c r="AB32" t="s">
        <v>74</v>
      </c>
      <c r="AC32" t="str">
        <f>IF(tabSuperdettagli[[#This Row],[ProjType_]]="M",IF(AND(tabSuperdettagli[[#This Row],[Resp 1°liv_]]="Guidotti C.",tabSuperdettagli[[#This Row],[WBE description_]]="Machine Mgmt"),"Documentation",tabSuperdettagli[[#This Row],[WBE description_]]),"")</f>
        <v/>
      </c>
      <c r="AD32" t="str">
        <f>LEFT(tabSuperdettagli[[#This Row],[Network]],18)</f>
        <v>5447634</v>
      </c>
      <c r="AE32" t="s">
        <v>75</v>
      </c>
      <c r="AF32" t="s">
        <v>204</v>
      </c>
      <c r="AG32" t="s">
        <v>243</v>
      </c>
      <c r="AH32" t="s">
        <v>192</v>
      </c>
      <c r="AI32" t="s">
        <v>235</v>
      </c>
      <c r="AJ32" t="s">
        <v>193</v>
      </c>
      <c r="AK32">
        <v>2025</v>
      </c>
      <c r="AL32" t="s">
        <v>194</v>
      </c>
      <c r="AM32" t="s">
        <v>195</v>
      </c>
      <c r="AN32" t="s">
        <v>189</v>
      </c>
      <c r="AO32" t="s">
        <v>190</v>
      </c>
      <c r="AP32" t="s">
        <v>239</v>
      </c>
      <c r="AQ32" t="s">
        <v>196</v>
      </c>
      <c r="AR32" t="s">
        <v>197</v>
      </c>
      <c r="AS32" t="s">
        <v>76</v>
      </c>
      <c r="AT32" t="s">
        <v>77</v>
      </c>
      <c r="AU32" t="s">
        <v>35</v>
      </c>
      <c r="AV32" t="s">
        <v>78</v>
      </c>
      <c r="AW32" t="s">
        <v>178</v>
      </c>
      <c r="AX32" t="s">
        <v>192</v>
      </c>
      <c r="AY32" t="s">
        <v>198</v>
      </c>
      <c r="AZ32" t="s">
        <v>199</v>
      </c>
      <c r="BA32" t="s">
        <v>200</v>
      </c>
      <c r="BB32" t="s">
        <v>80</v>
      </c>
      <c r="BC32">
        <v>84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84</v>
      </c>
      <c r="BP32" t="s">
        <v>45</v>
      </c>
      <c r="BQ32" t="s">
        <v>201</v>
      </c>
      <c r="BR32" t="s">
        <v>188</v>
      </c>
      <c r="BS32" t="s">
        <v>197</v>
      </c>
      <c r="BT32" t="s">
        <v>178</v>
      </c>
      <c r="BU32" t="s">
        <v>202</v>
      </c>
      <c r="BV32" t="s">
        <v>191</v>
      </c>
      <c r="BW32" t="s">
        <v>74</v>
      </c>
      <c r="BX32" t="s">
        <v>74</v>
      </c>
      <c r="BZ32" t="s">
        <v>203</v>
      </c>
      <c r="CB32" t="s">
        <v>74</v>
      </c>
    </row>
  </sheetData>
  <mergeCells count="2">
    <mergeCell ref="A1:AD1"/>
    <mergeCell ref="AE1:CD1"/>
  </mergeCells>
  <phoneticPr fontId="16" type="noConversion"/>
  <pageMargins left="0.7" right="0.7" top="0.75" bottom="0.75" header="0.3" footer="0.3"/>
  <pageSetup paperSize="9" orientation="portrait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2B473-5D75-4EC5-97EA-2825D8D298DB}">
  <dimension ref="A1:R15"/>
  <sheetViews>
    <sheetView workbookViewId="0"/>
  </sheetViews>
  <sheetFormatPr defaultRowHeight="15" x14ac:dyDescent="0.25"/>
  <cols>
    <col min="1" max="1" width="5.7109375" bestFit="1" customWidth="1"/>
    <col min="2" max="2" width="16.7109375" bestFit="1" customWidth="1"/>
    <col min="3" max="3" width="19.28515625" bestFit="1" customWidth="1"/>
    <col min="4" max="4" width="14.140625" bestFit="1" customWidth="1"/>
    <col min="5" max="5" width="6.85546875" bestFit="1" customWidth="1"/>
    <col min="7" max="7" width="5.7109375" bestFit="1" customWidth="1"/>
    <col min="8" max="8" width="6.42578125" bestFit="1" customWidth="1"/>
    <col min="9" max="9" width="19.140625" bestFit="1" customWidth="1"/>
    <col min="10" max="10" width="16.85546875" bestFit="1" customWidth="1"/>
    <col min="11" max="11" width="16.5703125" bestFit="1" customWidth="1"/>
    <col min="12" max="12" width="12.140625" bestFit="1" customWidth="1"/>
    <col min="13" max="13" width="14.42578125" bestFit="1" customWidth="1"/>
    <col min="14" max="14" width="9.28515625" bestFit="1" customWidth="1"/>
  </cols>
  <sheetData>
    <row r="1" spans="1:18" x14ac:dyDescent="0.25">
      <c r="A1" s="118" t="s">
        <v>282</v>
      </c>
      <c r="B1" s="119" t="s">
        <v>283</v>
      </c>
      <c r="C1" s="119" t="s">
        <v>284</v>
      </c>
      <c r="D1" s="119" t="s">
        <v>285</v>
      </c>
      <c r="E1" s="119" t="s">
        <v>286</v>
      </c>
      <c r="F1" s="119" t="s">
        <v>287</v>
      </c>
      <c r="G1" s="119" t="s">
        <v>288</v>
      </c>
      <c r="H1" s="119" t="s">
        <v>289</v>
      </c>
      <c r="I1" s="119" t="s">
        <v>290</v>
      </c>
      <c r="J1" s="119" t="s">
        <v>291</v>
      </c>
      <c r="K1" s="119" t="s">
        <v>292</v>
      </c>
      <c r="L1" s="119" t="s">
        <v>293</v>
      </c>
      <c r="M1" s="119" t="s">
        <v>294</v>
      </c>
      <c r="N1" s="120" t="s">
        <v>295</v>
      </c>
    </row>
    <row r="2" spans="1:18" x14ac:dyDescent="0.25">
      <c r="A2" s="121" t="s">
        <v>296</v>
      </c>
      <c r="B2" s="122" t="s">
        <v>297</v>
      </c>
      <c r="C2" s="122" t="s">
        <v>297</v>
      </c>
      <c r="D2" s="122" t="s">
        <v>297</v>
      </c>
      <c r="E2" s="122" t="s">
        <v>286</v>
      </c>
      <c r="F2" s="122" t="s">
        <v>298</v>
      </c>
      <c r="G2" s="122" t="s">
        <v>299</v>
      </c>
      <c r="H2" s="122" t="s">
        <v>300</v>
      </c>
      <c r="I2" s="122" t="s">
        <v>74</v>
      </c>
      <c r="J2" s="123">
        <v>42369</v>
      </c>
      <c r="K2" s="122" t="s">
        <v>74</v>
      </c>
      <c r="L2" s="122"/>
      <c r="M2" s="123">
        <v>42145</v>
      </c>
      <c r="N2" s="124" t="s">
        <v>74</v>
      </c>
    </row>
    <row r="3" spans="1:18" x14ac:dyDescent="0.25">
      <c r="A3" s="125" t="s">
        <v>301</v>
      </c>
      <c r="B3" s="126" t="s">
        <v>297</v>
      </c>
      <c r="C3" s="126" t="s">
        <v>302</v>
      </c>
      <c r="D3" s="126" t="s">
        <v>302</v>
      </c>
      <c r="E3" s="126" t="s">
        <v>303</v>
      </c>
      <c r="F3" s="126" t="s">
        <v>304</v>
      </c>
      <c r="G3" s="126" t="s">
        <v>299</v>
      </c>
      <c r="H3" s="126" t="s">
        <v>300</v>
      </c>
      <c r="I3" s="126" t="s">
        <v>74</v>
      </c>
      <c r="J3" s="127">
        <v>42369</v>
      </c>
      <c r="K3" s="126" t="s">
        <v>74</v>
      </c>
      <c r="L3" s="126"/>
      <c r="M3" s="127">
        <v>42145</v>
      </c>
      <c r="N3" s="128" t="s">
        <v>74</v>
      </c>
    </row>
    <row r="15" spans="1:18" x14ac:dyDescent="0.25">
      <c r="R15" t="s">
        <v>305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98FF1-0840-4AD0-9948-EC3F44C2C440}">
  <sheetPr>
    <tabColor theme="4" tint="0.79998168889431442"/>
  </sheetPr>
  <dimension ref="A3:B5"/>
  <sheetViews>
    <sheetView workbookViewId="0"/>
  </sheetViews>
  <sheetFormatPr defaultRowHeight="15" x14ac:dyDescent="0.25"/>
  <cols>
    <col min="1" max="2" width="13.140625" bestFit="1" customWidth="1"/>
  </cols>
  <sheetData>
    <row r="3" spans="1:2" x14ac:dyDescent="0.25">
      <c r="A3" s="109" t="s">
        <v>240</v>
      </c>
      <c r="B3" t="s">
        <v>242</v>
      </c>
    </row>
    <row r="4" spans="1:2" x14ac:dyDescent="0.25">
      <c r="A4" s="70" t="s">
        <v>193</v>
      </c>
      <c r="B4" s="154">
        <v>2000</v>
      </c>
    </row>
    <row r="5" spans="1:2" x14ac:dyDescent="0.25">
      <c r="A5" s="70" t="s">
        <v>241</v>
      </c>
      <c r="B5" s="154">
        <v>2000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9" tint="0.79998168889431442"/>
  </sheetPr>
  <dimension ref="A1:I15"/>
  <sheetViews>
    <sheetView workbookViewId="0"/>
  </sheetViews>
  <sheetFormatPr defaultRowHeight="15" x14ac:dyDescent="0.25"/>
  <cols>
    <col min="1" max="1" width="12.7109375" bestFit="1" customWidth="1"/>
    <col min="6" max="6" width="17.5703125" bestFit="1" customWidth="1"/>
    <col min="7" max="7" width="11.42578125" bestFit="1" customWidth="1"/>
    <col min="8" max="8" width="20.140625" bestFit="1" customWidth="1"/>
    <col min="9" max="9" width="29.7109375" customWidth="1"/>
  </cols>
  <sheetData>
    <row r="1" spans="1:9" x14ac:dyDescent="0.25">
      <c r="A1" s="1" t="s">
        <v>81</v>
      </c>
      <c r="F1" s="69" t="s">
        <v>82</v>
      </c>
      <c r="G1" s="69" t="s">
        <v>83</v>
      </c>
      <c r="H1" s="69" t="s">
        <v>84</v>
      </c>
      <c r="I1" s="69" t="s">
        <v>85</v>
      </c>
    </row>
    <row r="2" spans="1:9" x14ac:dyDescent="0.25">
      <c r="F2" s="70" t="s">
        <v>79</v>
      </c>
      <c r="G2" s="70" t="s">
        <v>79</v>
      </c>
      <c r="H2" s="70" t="s">
        <v>79</v>
      </c>
      <c r="I2" s="70" t="s">
        <v>79</v>
      </c>
    </row>
    <row r="3" spans="1:9" x14ac:dyDescent="0.25">
      <c r="F3" s="70" t="s">
        <v>79</v>
      </c>
      <c r="G3" s="70" t="s">
        <v>79</v>
      </c>
      <c r="H3" s="70" t="s">
        <v>79</v>
      </c>
      <c r="I3" s="70" t="s">
        <v>79</v>
      </c>
    </row>
    <row r="4" spans="1:9" x14ac:dyDescent="0.25">
      <c r="F4" s="70" t="s">
        <v>79</v>
      </c>
      <c r="G4" s="70" t="s">
        <v>79</v>
      </c>
      <c r="H4" s="70" t="s">
        <v>79</v>
      </c>
      <c r="I4" s="70" t="s">
        <v>79</v>
      </c>
    </row>
    <row r="5" spans="1:9" x14ac:dyDescent="0.25">
      <c r="F5" s="70" t="s">
        <v>79</v>
      </c>
      <c r="G5" s="70" t="s">
        <v>79</v>
      </c>
      <c r="H5" s="70" t="s">
        <v>79</v>
      </c>
      <c r="I5" s="70" t="s">
        <v>79</v>
      </c>
    </row>
    <row r="6" spans="1:9" x14ac:dyDescent="0.25">
      <c r="F6" s="70" t="s">
        <v>79</v>
      </c>
      <c r="G6" s="70" t="s">
        <v>79</v>
      </c>
      <c r="H6" s="70" t="s">
        <v>79</v>
      </c>
      <c r="I6" s="70" t="s">
        <v>79</v>
      </c>
    </row>
    <row r="7" spans="1:9" x14ac:dyDescent="0.25">
      <c r="F7" s="70" t="s">
        <v>79</v>
      </c>
      <c r="G7" s="70" t="s">
        <v>79</v>
      </c>
      <c r="H7" s="70" t="s">
        <v>79</v>
      </c>
      <c r="I7" s="70" t="s">
        <v>79</v>
      </c>
    </row>
    <row r="8" spans="1:9" x14ac:dyDescent="0.25">
      <c r="F8" s="70" t="s">
        <v>79</v>
      </c>
      <c r="G8" s="70" t="s">
        <v>79</v>
      </c>
      <c r="H8" s="70" t="s">
        <v>79</v>
      </c>
      <c r="I8" s="70" t="s">
        <v>79</v>
      </c>
    </row>
    <row r="9" spans="1:9" x14ac:dyDescent="0.25">
      <c r="F9" s="70" t="s">
        <v>79</v>
      </c>
      <c r="G9" s="70" t="s">
        <v>79</v>
      </c>
      <c r="H9" s="70" t="s">
        <v>79</v>
      </c>
      <c r="I9" s="70" t="s">
        <v>79</v>
      </c>
    </row>
    <row r="10" spans="1:9" x14ac:dyDescent="0.25">
      <c r="F10" s="70" t="s">
        <v>79</v>
      </c>
      <c r="G10" s="70" t="s">
        <v>79</v>
      </c>
      <c r="H10" s="70" t="s">
        <v>79</v>
      </c>
      <c r="I10" s="70" t="s">
        <v>79</v>
      </c>
    </row>
    <row r="11" spans="1:9" x14ac:dyDescent="0.25">
      <c r="F11" s="70" t="s">
        <v>79</v>
      </c>
      <c r="G11" s="70" t="s">
        <v>79</v>
      </c>
      <c r="H11" s="70" t="s">
        <v>79</v>
      </c>
      <c r="I11" s="70" t="s">
        <v>79</v>
      </c>
    </row>
    <row r="12" spans="1:9" x14ac:dyDescent="0.25">
      <c r="F12" s="70" t="s">
        <v>79</v>
      </c>
      <c r="G12" s="70" t="s">
        <v>79</v>
      </c>
      <c r="H12" s="70" t="s">
        <v>79</v>
      </c>
      <c r="I12" s="70" t="s">
        <v>79</v>
      </c>
    </row>
    <row r="13" spans="1:9" x14ac:dyDescent="0.25">
      <c r="F13" s="70" t="s">
        <v>79</v>
      </c>
      <c r="G13" s="70" t="s">
        <v>79</v>
      </c>
      <c r="H13" s="70" t="s">
        <v>79</v>
      </c>
      <c r="I13" s="70" t="s">
        <v>79</v>
      </c>
    </row>
    <row r="14" spans="1:9" x14ac:dyDescent="0.25">
      <c r="F14" s="70" t="s">
        <v>79</v>
      </c>
      <c r="G14" s="70" t="s">
        <v>79</v>
      </c>
      <c r="H14" s="70" t="s">
        <v>79</v>
      </c>
      <c r="I14" s="70" t="s">
        <v>79</v>
      </c>
    </row>
    <row r="15" spans="1:9" x14ac:dyDescent="0.25">
      <c r="F15" s="70" t="s">
        <v>79</v>
      </c>
      <c r="G15" s="70" t="s">
        <v>79</v>
      </c>
      <c r="H15" s="70" t="s">
        <v>79</v>
      </c>
      <c r="I15" s="70" t="s">
        <v>79</v>
      </c>
    </row>
  </sheetData>
  <pageMargins left="0.7" right="0.7" top="0.75" bottom="0.75" header="0.3" footer="0.3"/>
  <pageSetup paperSize="9" orientation="portrait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9" tint="0.79998168889431442"/>
  </sheetPr>
  <dimension ref="A1:I21"/>
  <sheetViews>
    <sheetView workbookViewId="0"/>
  </sheetViews>
  <sheetFormatPr defaultRowHeight="15" x14ac:dyDescent="0.25"/>
  <cols>
    <col min="1" max="1" width="21" bestFit="1" customWidth="1"/>
    <col min="6" max="6" width="21.140625" bestFit="1" customWidth="1"/>
    <col min="7" max="7" width="11.5703125" bestFit="1" customWidth="1"/>
    <col min="8" max="9" width="19.5703125" bestFit="1" customWidth="1"/>
  </cols>
  <sheetData>
    <row r="1" spans="1:9" x14ac:dyDescent="0.25">
      <c r="A1" s="1" t="s">
        <v>86</v>
      </c>
      <c r="F1" t="s">
        <v>82</v>
      </c>
      <c r="G1" t="s">
        <v>83</v>
      </c>
      <c r="H1" t="s">
        <v>84</v>
      </c>
      <c r="I1" t="s">
        <v>85</v>
      </c>
    </row>
    <row r="2" spans="1:9" x14ac:dyDescent="0.25">
      <c r="F2" t="s">
        <v>87</v>
      </c>
      <c r="G2" t="s">
        <v>87</v>
      </c>
      <c r="H2" t="s">
        <v>87</v>
      </c>
      <c r="I2" t="s">
        <v>87</v>
      </c>
    </row>
    <row r="3" spans="1:9" x14ac:dyDescent="0.25">
      <c r="F3" t="s">
        <v>87</v>
      </c>
      <c r="G3" t="s">
        <v>87</v>
      </c>
      <c r="H3" t="s">
        <v>87</v>
      </c>
      <c r="I3" t="s">
        <v>87</v>
      </c>
    </row>
    <row r="4" spans="1:9" x14ac:dyDescent="0.25">
      <c r="F4" t="s">
        <v>87</v>
      </c>
      <c r="G4" t="s">
        <v>87</v>
      </c>
      <c r="H4" t="s">
        <v>87</v>
      </c>
      <c r="I4" t="s">
        <v>87</v>
      </c>
    </row>
    <row r="5" spans="1:9" x14ac:dyDescent="0.25">
      <c r="F5" t="s">
        <v>87</v>
      </c>
      <c r="G5" t="s">
        <v>87</v>
      </c>
      <c r="H5" t="s">
        <v>87</v>
      </c>
      <c r="I5" t="s">
        <v>87</v>
      </c>
    </row>
    <row r="6" spans="1:9" x14ac:dyDescent="0.25">
      <c r="F6" t="s">
        <v>87</v>
      </c>
      <c r="G6" t="s">
        <v>87</v>
      </c>
      <c r="H6" t="s">
        <v>87</v>
      </c>
      <c r="I6" t="s">
        <v>87</v>
      </c>
    </row>
    <row r="7" spans="1:9" x14ac:dyDescent="0.25">
      <c r="F7" t="s">
        <v>87</v>
      </c>
      <c r="G7" t="s">
        <v>87</v>
      </c>
      <c r="H7" t="s">
        <v>87</v>
      </c>
      <c r="I7" t="s">
        <v>87</v>
      </c>
    </row>
    <row r="8" spans="1:9" x14ac:dyDescent="0.25">
      <c r="F8" t="s">
        <v>87</v>
      </c>
      <c r="G8" t="s">
        <v>87</v>
      </c>
      <c r="H8" t="s">
        <v>87</v>
      </c>
      <c r="I8" t="s">
        <v>87</v>
      </c>
    </row>
    <row r="9" spans="1:9" x14ac:dyDescent="0.25">
      <c r="F9" t="s">
        <v>87</v>
      </c>
      <c r="G9" t="s">
        <v>87</v>
      </c>
      <c r="H9" t="s">
        <v>87</v>
      </c>
      <c r="I9" t="s">
        <v>87</v>
      </c>
    </row>
    <row r="10" spans="1:9" x14ac:dyDescent="0.25">
      <c r="F10" t="s">
        <v>87</v>
      </c>
      <c r="G10" t="s">
        <v>87</v>
      </c>
      <c r="H10" t="s">
        <v>87</v>
      </c>
      <c r="I10" t="s">
        <v>87</v>
      </c>
    </row>
    <row r="11" spans="1:9" x14ac:dyDescent="0.25">
      <c r="F11" t="s">
        <v>87</v>
      </c>
      <c r="G11" t="s">
        <v>87</v>
      </c>
      <c r="H11" t="s">
        <v>87</v>
      </c>
      <c r="I11" t="s">
        <v>87</v>
      </c>
    </row>
    <row r="12" spans="1:9" x14ac:dyDescent="0.25">
      <c r="F12" t="s">
        <v>87</v>
      </c>
      <c r="G12" t="s">
        <v>87</v>
      </c>
      <c r="H12" t="s">
        <v>87</v>
      </c>
      <c r="I12" t="s">
        <v>87</v>
      </c>
    </row>
    <row r="13" spans="1:9" x14ac:dyDescent="0.25">
      <c r="F13" t="s">
        <v>87</v>
      </c>
      <c r="G13" t="s">
        <v>87</v>
      </c>
      <c r="H13" t="s">
        <v>87</v>
      </c>
      <c r="I13" t="s">
        <v>87</v>
      </c>
    </row>
    <row r="14" spans="1:9" x14ac:dyDescent="0.25">
      <c r="F14" t="s">
        <v>87</v>
      </c>
      <c r="G14" t="s">
        <v>87</v>
      </c>
      <c r="H14" t="s">
        <v>87</v>
      </c>
      <c r="I14" t="s">
        <v>87</v>
      </c>
    </row>
    <row r="15" spans="1:9" x14ac:dyDescent="0.25">
      <c r="F15" t="s">
        <v>87</v>
      </c>
      <c r="G15" t="s">
        <v>87</v>
      </c>
      <c r="H15" t="s">
        <v>87</v>
      </c>
      <c r="I15" t="s">
        <v>87</v>
      </c>
    </row>
    <row r="16" spans="1:9" x14ac:dyDescent="0.25">
      <c r="F16" t="s">
        <v>87</v>
      </c>
      <c r="G16" t="s">
        <v>87</v>
      </c>
      <c r="H16" t="s">
        <v>87</v>
      </c>
      <c r="I16" t="s">
        <v>87</v>
      </c>
    </row>
    <row r="17" spans="6:9" x14ac:dyDescent="0.25">
      <c r="F17" t="s">
        <v>87</v>
      </c>
      <c r="G17" t="s">
        <v>87</v>
      </c>
      <c r="H17" t="s">
        <v>87</v>
      </c>
      <c r="I17" t="s">
        <v>87</v>
      </c>
    </row>
    <row r="18" spans="6:9" x14ac:dyDescent="0.25">
      <c r="F18" t="s">
        <v>87</v>
      </c>
      <c r="G18" t="s">
        <v>87</v>
      </c>
      <c r="H18" t="s">
        <v>87</v>
      </c>
      <c r="I18" t="s">
        <v>87</v>
      </c>
    </row>
    <row r="19" spans="6:9" x14ac:dyDescent="0.25">
      <c r="F19" t="s">
        <v>87</v>
      </c>
      <c r="G19" t="s">
        <v>87</v>
      </c>
      <c r="H19" t="s">
        <v>87</v>
      </c>
      <c r="I19" t="s">
        <v>87</v>
      </c>
    </row>
    <row r="20" spans="6:9" x14ac:dyDescent="0.25">
      <c r="F20" t="s">
        <v>87</v>
      </c>
      <c r="G20" t="s">
        <v>87</v>
      </c>
      <c r="H20" t="s">
        <v>87</v>
      </c>
      <c r="I20" t="s">
        <v>87</v>
      </c>
    </row>
    <row r="21" spans="6:9" x14ac:dyDescent="0.25">
      <c r="F21" t="s">
        <v>87</v>
      </c>
      <c r="G21" t="s">
        <v>87</v>
      </c>
      <c r="H21" t="s">
        <v>87</v>
      </c>
      <c r="I21" t="s">
        <v>87</v>
      </c>
    </row>
  </sheetData>
  <pageMargins left="0.7" right="0.7" top="0.75" bottom="0.75" header="0.3" footer="0.3"/>
  <pageSetup paperSize="9" orientation="portrait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9" tint="0.79998168889431442"/>
  </sheetPr>
  <dimension ref="A1:E27"/>
  <sheetViews>
    <sheetView workbookViewId="0"/>
  </sheetViews>
  <sheetFormatPr defaultRowHeight="15" x14ac:dyDescent="0.25"/>
  <cols>
    <col min="1" max="1" width="14.42578125" bestFit="1" customWidth="1"/>
    <col min="2" max="2" width="15.140625" bestFit="1" customWidth="1"/>
    <col min="3" max="3" width="23.85546875" bestFit="1" customWidth="1"/>
    <col min="5" max="5" width="21.5703125" bestFit="1" customWidth="1"/>
  </cols>
  <sheetData>
    <row r="1" spans="1:5" x14ac:dyDescent="0.25">
      <c r="A1" s="68" t="s">
        <v>88</v>
      </c>
      <c r="B1" t="s">
        <v>72</v>
      </c>
      <c r="C1" t="s">
        <v>8</v>
      </c>
      <c r="E1" s="67" t="s">
        <v>89</v>
      </c>
    </row>
    <row r="2" spans="1:5" x14ac:dyDescent="0.25">
      <c r="A2" t="str">
        <f>SUBSTITUTE(tab_resp1liv[[#This Row],[Resp 1°liv2]]," ","")</f>
        <v>C</v>
      </c>
      <c r="B2" t="s">
        <v>90</v>
      </c>
      <c r="C2" t="s">
        <v>90</v>
      </c>
      <c r="E2" s="71" t="s">
        <v>91</v>
      </c>
    </row>
    <row r="3" spans="1:5" x14ac:dyDescent="0.25">
      <c r="A3" t="str">
        <f>SUBSTITUTE(tab_resp1liv[[#This Row],[Resp 1°liv2]]," ","")</f>
        <v>C</v>
      </c>
      <c r="B3" t="s">
        <v>90</v>
      </c>
      <c r="C3" t="s">
        <v>90</v>
      </c>
      <c r="E3" s="71" t="s">
        <v>91</v>
      </c>
    </row>
    <row r="4" spans="1:5" x14ac:dyDescent="0.25">
      <c r="A4" t="str">
        <f>SUBSTITUTE(tab_resp1liv[[#This Row],[Resp 1°liv2]]," ","")</f>
        <v>C</v>
      </c>
      <c r="B4" t="s">
        <v>90</v>
      </c>
      <c r="C4" t="s">
        <v>90</v>
      </c>
      <c r="E4" s="71" t="s">
        <v>91</v>
      </c>
    </row>
    <row r="5" spans="1:5" x14ac:dyDescent="0.25">
      <c r="A5" t="str">
        <f>SUBSTITUTE(tab_resp1liv[[#This Row],[Resp 1°liv2]]," ","")</f>
        <v>C</v>
      </c>
      <c r="B5" t="s">
        <v>90</v>
      </c>
      <c r="C5" t="s">
        <v>90</v>
      </c>
      <c r="E5" s="71" t="s">
        <v>91</v>
      </c>
    </row>
    <row r="6" spans="1:5" x14ac:dyDescent="0.25">
      <c r="A6" t="str">
        <f>SUBSTITUTE(tab_resp1liv[[#This Row],[Resp 1°liv2]]," ","")</f>
        <v>C</v>
      </c>
      <c r="B6" t="s">
        <v>90</v>
      </c>
      <c r="C6" t="s">
        <v>90</v>
      </c>
      <c r="E6" s="71" t="s">
        <v>91</v>
      </c>
    </row>
    <row r="7" spans="1:5" x14ac:dyDescent="0.25">
      <c r="A7" t="str">
        <f>SUBSTITUTE(tab_resp1liv[[#This Row],[Resp 1°liv2]]," ","")</f>
        <v>C</v>
      </c>
      <c r="B7" t="s">
        <v>90</v>
      </c>
      <c r="C7" t="s">
        <v>90</v>
      </c>
      <c r="E7" s="71" t="s">
        <v>91</v>
      </c>
    </row>
    <row r="8" spans="1:5" x14ac:dyDescent="0.25">
      <c r="A8" t="str">
        <f>SUBSTITUTE(tab_resp1liv[[#This Row],[Resp 1°liv2]]," ","")</f>
        <v>C</v>
      </c>
      <c r="B8" t="s">
        <v>90</v>
      </c>
      <c r="C8" t="s">
        <v>90</v>
      </c>
      <c r="E8" s="71" t="s">
        <v>91</v>
      </c>
    </row>
    <row r="9" spans="1:5" x14ac:dyDescent="0.25">
      <c r="A9" t="str">
        <f>SUBSTITUTE(tab_resp1liv[[#This Row],[Resp 1°liv2]]," ","")</f>
        <v>C</v>
      </c>
      <c r="B9" t="s">
        <v>90</v>
      </c>
      <c r="C9" t="s">
        <v>90</v>
      </c>
      <c r="E9" s="71" t="s">
        <v>91</v>
      </c>
    </row>
    <row r="10" spans="1:5" x14ac:dyDescent="0.25">
      <c r="A10" t="str">
        <f>SUBSTITUTE(tab_resp1liv[[#This Row],[Resp 1°liv2]]," ","")</f>
        <v>C</v>
      </c>
      <c r="B10" t="s">
        <v>90</v>
      </c>
      <c r="C10" t="s">
        <v>90</v>
      </c>
      <c r="E10" s="71" t="s">
        <v>91</v>
      </c>
    </row>
    <row r="11" spans="1:5" x14ac:dyDescent="0.25">
      <c r="A11" t="str">
        <f>SUBSTITUTE(tab_resp1liv[[#This Row],[Resp 1°liv2]]," ","")</f>
        <v>C</v>
      </c>
      <c r="B11" t="s">
        <v>90</v>
      </c>
      <c r="C11" t="s">
        <v>90</v>
      </c>
      <c r="E11" s="71" t="s">
        <v>91</v>
      </c>
    </row>
    <row r="12" spans="1:5" x14ac:dyDescent="0.25">
      <c r="A12" t="str">
        <f>SUBSTITUTE(tab_resp1liv[[#This Row],[Resp 1°liv2]]," ","")</f>
        <v>C</v>
      </c>
      <c r="B12" t="s">
        <v>90</v>
      </c>
      <c r="C12" t="s">
        <v>90</v>
      </c>
      <c r="E12" s="71" t="s">
        <v>91</v>
      </c>
    </row>
    <row r="13" spans="1:5" x14ac:dyDescent="0.25">
      <c r="A13" t="str">
        <f>SUBSTITUTE(tab_resp1liv[[#This Row],[Resp 1°liv2]]," ","")</f>
        <v>C</v>
      </c>
      <c r="B13" t="s">
        <v>90</v>
      </c>
      <c r="C13" t="s">
        <v>90</v>
      </c>
      <c r="E13" s="71" t="s">
        <v>91</v>
      </c>
    </row>
    <row r="14" spans="1:5" x14ac:dyDescent="0.25">
      <c r="A14" t="str">
        <f>SUBSTITUTE(tab_resp1liv[[#This Row],[Resp 1°liv2]]," ","")</f>
        <v>C</v>
      </c>
      <c r="B14" t="s">
        <v>90</v>
      </c>
      <c r="C14" t="s">
        <v>90</v>
      </c>
      <c r="E14" s="71" t="s">
        <v>91</v>
      </c>
    </row>
    <row r="15" spans="1:5" x14ac:dyDescent="0.25">
      <c r="A15" t="str">
        <f>SUBSTITUTE(tab_resp1liv[[#This Row],[Resp 1°liv2]]," ","")</f>
        <v>C</v>
      </c>
      <c r="B15" t="s">
        <v>90</v>
      </c>
      <c r="C15" t="s">
        <v>90</v>
      </c>
      <c r="E15" s="71" t="s">
        <v>91</v>
      </c>
    </row>
    <row r="16" spans="1:5" x14ac:dyDescent="0.25">
      <c r="A16" t="str">
        <f>SUBSTITUTE(tab_resp1liv[[#This Row],[Resp 1°liv2]]," ","")</f>
        <v>C</v>
      </c>
      <c r="B16" t="s">
        <v>90</v>
      </c>
      <c r="C16" t="s">
        <v>90</v>
      </c>
      <c r="E16" s="71" t="s">
        <v>91</v>
      </c>
    </row>
    <row r="17" spans="1:5" x14ac:dyDescent="0.25">
      <c r="A17" t="str">
        <f>SUBSTITUTE(tab_resp1liv[[#This Row],[Resp 1°liv2]]," ","")</f>
        <v>C</v>
      </c>
      <c r="B17" t="s">
        <v>90</v>
      </c>
      <c r="C17" t="s">
        <v>90</v>
      </c>
      <c r="E17" s="71" t="s">
        <v>91</v>
      </c>
    </row>
    <row r="18" spans="1:5" x14ac:dyDescent="0.25">
      <c r="A18" t="str">
        <f>SUBSTITUTE(tab_resp1liv[[#This Row],[Resp 1°liv2]]," ","")</f>
        <v>C</v>
      </c>
      <c r="B18" t="s">
        <v>90</v>
      </c>
      <c r="C18" t="s">
        <v>90</v>
      </c>
      <c r="E18" s="71" t="s">
        <v>91</v>
      </c>
    </row>
    <row r="19" spans="1:5" x14ac:dyDescent="0.25">
      <c r="A19" t="str">
        <f>SUBSTITUTE(tab_resp1liv[[#This Row],[Resp 1°liv2]]," ","")</f>
        <v>C</v>
      </c>
      <c r="B19" t="s">
        <v>90</v>
      </c>
      <c r="C19" t="s">
        <v>90</v>
      </c>
      <c r="E19" s="71" t="s">
        <v>91</v>
      </c>
    </row>
    <row r="20" spans="1:5" x14ac:dyDescent="0.25">
      <c r="A20" t="str">
        <f>SUBSTITUTE(tab_resp1liv[[#This Row],[Resp 1°liv2]]," ","")</f>
        <v>C</v>
      </c>
      <c r="B20" t="s">
        <v>90</v>
      </c>
      <c r="C20" t="s">
        <v>90</v>
      </c>
      <c r="E20" s="71" t="s">
        <v>91</v>
      </c>
    </row>
    <row r="21" spans="1:5" x14ac:dyDescent="0.25">
      <c r="A21" t="str">
        <f>SUBSTITUTE(tab_resp1liv[[#This Row],[Resp 1°liv2]]," ","")</f>
        <v>C</v>
      </c>
      <c r="B21" t="s">
        <v>90</v>
      </c>
      <c r="C21" t="s">
        <v>90</v>
      </c>
      <c r="E21" s="71" t="s">
        <v>91</v>
      </c>
    </row>
    <row r="22" spans="1:5" x14ac:dyDescent="0.25">
      <c r="A22" t="str">
        <f>SUBSTITUTE(tab_resp1liv[[#This Row],[Resp 1°liv2]]," ","")</f>
        <v>C</v>
      </c>
      <c r="B22" t="s">
        <v>90</v>
      </c>
      <c r="C22" t="s">
        <v>90</v>
      </c>
      <c r="E22" s="71" t="s">
        <v>91</v>
      </c>
    </row>
    <row r="23" spans="1:5" x14ac:dyDescent="0.25">
      <c r="A23" t="str">
        <f>SUBSTITUTE(tab_resp1liv[[#This Row],[Resp 1°liv2]]," ","")</f>
        <v>C</v>
      </c>
      <c r="B23" t="s">
        <v>90</v>
      </c>
      <c r="C23" t="s">
        <v>90</v>
      </c>
      <c r="E23" s="71" t="s">
        <v>91</v>
      </c>
    </row>
    <row r="24" spans="1:5" x14ac:dyDescent="0.25">
      <c r="A24" t="str">
        <f>SUBSTITUTE(tab_resp1liv[[#This Row],[Resp 1°liv2]]," ","")</f>
        <v>C</v>
      </c>
      <c r="B24" t="s">
        <v>90</v>
      </c>
      <c r="C24" t="s">
        <v>90</v>
      </c>
      <c r="E24" s="71" t="s">
        <v>91</v>
      </c>
    </row>
    <row r="25" spans="1:5" x14ac:dyDescent="0.25">
      <c r="A25" t="str">
        <f>SUBSTITUTE(tab_resp1liv[[#This Row],[Resp 1°liv2]]," ","")</f>
        <v>C</v>
      </c>
      <c r="B25" t="s">
        <v>90</v>
      </c>
      <c r="C25" t="s">
        <v>90</v>
      </c>
      <c r="E25" s="71" t="s">
        <v>91</v>
      </c>
    </row>
    <row r="26" spans="1:5" x14ac:dyDescent="0.25">
      <c r="A26" t="str">
        <f>SUBSTITUTE(tab_resp1liv[[#This Row],[Resp 1°liv2]]," ","")</f>
        <v>C</v>
      </c>
      <c r="B26" t="s">
        <v>90</v>
      </c>
      <c r="C26" t="s">
        <v>90</v>
      </c>
      <c r="E26" s="71" t="s">
        <v>91</v>
      </c>
    </row>
    <row r="27" spans="1:5" x14ac:dyDescent="0.25">
      <c r="A27" t="str">
        <f>SUBSTITUTE(tab_resp1liv[[#This Row],[Resp 1°liv2]]," ","")</f>
        <v>C</v>
      </c>
      <c r="B27" t="s">
        <v>90</v>
      </c>
      <c r="C27" t="s">
        <v>90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9" tint="0.79998168889431442"/>
  </sheetPr>
  <dimension ref="A3:B363"/>
  <sheetViews>
    <sheetView workbookViewId="0"/>
  </sheetViews>
  <sheetFormatPr defaultRowHeight="15" x14ac:dyDescent="0.25"/>
  <cols>
    <col min="1" max="1" width="14.5703125" bestFit="1" customWidth="1"/>
    <col min="2" max="2" width="40" bestFit="1" customWidth="1"/>
  </cols>
  <sheetData>
    <row r="3" spans="1:2" x14ac:dyDescent="0.25">
      <c r="A3" t="s">
        <v>92</v>
      </c>
      <c r="B3" t="s">
        <v>93</v>
      </c>
    </row>
    <row r="4" spans="1:2" x14ac:dyDescent="0.25">
      <c r="A4" t="s">
        <v>94</v>
      </c>
      <c r="B4" t="s">
        <v>94</v>
      </c>
    </row>
    <row r="5" spans="1:2" x14ac:dyDescent="0.25">
      <c r="A5" t="s">
        <v>94</v>
      </c>
      <c r="B5" t="s">
        <v>94</v>
      </c>
    </row>
    <row r="6" spans="1:2" x14ac:dyDescent="0.25">
      <c r="A6" t="s">
        <v>94</v>
      </c>
      <c r="B6" t="s">
        <v>94</v>
      </c>
    </row>
    <row r="7" spans="1:2" x14ac:dyDescent="0.25">
      <c r="A7" t="s">
        <v>94</v>
      </c>
      <c r="B7" t="s">
        <v>94</v>
      </c>
    </row>
    <row r="8" spans="1:2" x14ac:dyDescent="0.25">
      <c r="A8" t="s">
        <v>94</v>
      </c>
      <c r="B8" t="s">
        <v>94</v>
      </c>
    </row>
    <row r="9" spans="1:2" x14ac:dyDescent="0.25">
      <c r="A9" t="s">
        <v>94</v>
      </c>
      <c r="B9" t="s">
        <v>94</v>
      </c>
    </row>
    <row r="10" spans="1:2" x14ac:dyDescent="0.25">
      <c r="A10" t="s">
        <v>94</v>
      </c>
      <c r="B10" t="s">
        <v>94</v>
      </c>
    </row>
    <row r="11" spans="1:2" x14ac:dyDescent="0.25">
      <c r="A11" t="s">
        <v>94</v>
      </c>
      <c r="B11" t="s">
        <v>94</v>
      </c>
    </row>
    <row r="12" spans="1:2" x14ac:dyDescent="0.25">
      <c r="A12" t="s">
        <v>94</v>
      </c>
      <c r="B12" t="s">
        <v>94</v>
      </c>
    </row>
    <row r="13" spans="1:2" x14ac:dyDescent="0.25">
      <c r="A13" t="s">
        <v>94</v>
      </c>
      <c r="B13" t="s">
        <v>94</v>
      </c>
    </row>
    <row r="14" spans="1:2" x14ac:dyDescent="0.25">
      <c r="A14" t="s">
        <v>94</v>
      </c>
      <c r="B14" t="s">
        <v>94</v>
      </c>
    </row>
    <row r="15" spans="1:2" x14ac:dyDescent="0.25">
      <c r="A15" t="s">
        <v>94</v>
      </c>
      <c r="B15" t="s">
        <v>94</v>
      </c>
    </row>
    <row r="16" spans="1:2" x14ac:dyDescent="0.25">
      <c r="A16" t="s">
        <v>94</v>
      </c>
      <c r="B16" t="s">
        <v>94</v>
      </c>
    </row>
    <row r="17" spans="1:2" x14ac:dyDescent="0.25">
      <c r="A17" t="s">
        <v>94</v>
      </c>
      <c r="B17" t="s">
        <v>94</v>
      </c>
    </row>
    <row r="18" spans="1:2" x14ac:dyDescent="0.25">
      <c r="A18" t="s">
        <v>94</v>
      </c>
      <c r="B18" t="s">
        <v>94</v>
      </c>
    </row>
    <row r="19" spans="1:2" x14ac:dyDescent="0.25">
      <c r="A19" t="s">
        <v>94</v>
      </c>
      <c r="B19" t="s">
        <v>94</v>
      </c>
    </row>
    <row r="20" spans="1:2" x14ac:dyDescent="0.25">
      <c r="A20" t="s">
        <v>94</v>
      </c>
      <c r="B20" t="s">
        <v>94</v>
      </c>
    </row>
    <row r="21" spans="1:2" x14ac:dyDescent="0.25">
      <c r="A21" t="s">
        <v>94</v>
      </c>
      <c r="B21" t="s">
        <v>94</v>
      </c>
    </row>
    <row r="22" spans="1:2" x14ac:dyDescent="0.25">
      <c r="A22" t="s">
        <v>94</v>
      </c>
      <c r="B22" t="s">
        <v>94</v>
      </c>
    </row>
    <row r="23" spans="1:2" x14ac:dyDescent="0.25">
      <c r="A23" t="s">
        <v>94</v>
      </c>
      <c r="B23" t="s">
        <v>94</v>
      </c>
    </row>
    <row r="24" spans="1:2" x14ac:dyDescent="0.25">
      <c r="A24" t="s">
        <v>94</v>
      </c>
      <c r="B24" t="s">
        <v>94</v>
      </c>
    </row>
    <row r="25" spans="1:2" x14ac:dyDescent="0.25">
      <c r="A25" t="s">
        <v>94</v>
      </c>
      <c r="B25" t="s">
        <v>94</v>
      </c>
    </row>
    <row r="26" spans="1:2" x14ac:dyDescent="0.25">
      <c r="A26" t="s">
        <v>94</v>
      </c>
      <c r="B26" t="s">
        <v>94</v>
      </c>
    </row>
    <row r="27" spans="1:2" x14ac:dyDescent="0.25">
      <c r="A27" t="s">
        <v>94</v>
      </c>
      <c r="B27" t="s">
        <v>94</v>
      </c>
    </row>
    <row r="28" spans="1:2" x14ac:dyDescent="0.25">
      <c r="A28" t="s">
        <v>94</v>
      </c>
      <c r="B28" t="s">
        <v>94</v>
      </c>
    </row>
    <row r="29" spans="1:2" x14ac:dyDescent="0.25">
      <c r="A29" t="s">
        <v>94</v>
      </c>
      <c r="B29" t="s">
        <v>94</v>
      </c>
    </row>
    <row r="30" spans="1:2" x14ac:dyDescent="0.25">
      <c r="A30" t="s">
        <v>94</v>
      </c>
      <c r="B30" t="s">
        <v>94</v>
      </c>
    </row>
    <row r="31" spans="1:2" x14ac:dyDescent="0.25">
      <c r="A31" t="s">
        <v>94</v>
      </c>
      <c r="B31" t="s">
        <v>94</v>
      </c>
    </row>
    <row r="32" spans="1:2" x14ac:dyDescent="0.25">
      <c r="A32" t="s">
        <v>94</v>
      </c>
      <c r="B32" t="s">
        <v>94</v>
      </c>
    </row>
    <row r="33" spans="1:2" x14ac:dyDescent="0.25">
      <c r="A33" t="s">
        <v>94</v>
      </c>
      <c r="B33" t="s">
        <v>94</v>
      </c>
    </row>
    <row r="34" spans="1:2" x14ac:dyDescent="0.25">
      <c r="A34" t="s">
        <v>94</v>
      </c>
      <c r="B34" t="s">
        <v>94</v>
      </c>
    </row>
    <row r="35" spans="1:2" x14ac:dyDescent="0.25">
      <c r="A35" t="s">
        <v>94</v>
      </c>
      <c r="B35" t="s">
        <v>94</v>
      </c>
    </row>
    <row r="36" spans="1:2" x14ac:dyDescent="0.25">
      <c r="A36" t="s">
        <v>94</v>
      </c>
      <c r="B36" t="s">
        <v>94</v>
      </c>
    </row>
    <row r="37" spans="1:2" x14ac:dyDescent="0.25">
      <c r="A37" t="s">
        <v>94</v>
      </c>
      <c r="B37" t="s">
        <v>94</v>
      </c>
    </row>
    <row r="38" spans="1:2" x14ac:dyDescent="0.25">
      <c r="A38" t="s">
        <v>94</v>
      </c>
      <c r="B38" t="s">
        <v>94</v>
      </c>
    </row>
    <row r="39" spans="1:2" x14ac:dyDescent="0.25">
      <c r="A39" t="s">
        <v>94</v>
      </c>
      <c r="B39" t="s">
        <v>94</v>
      </c>
    </row>
    <row r="40" spans="1:2" x14ac:dyDescent="0.25">
      <c r="A40" t="s">
        <v>94</v>
      </c>
      <c r="B40" t="s">
        <v>94</v>
      </c>
    </row>
    <row r="41" spans="1:2" x14ac:dyDescent="0.25">
      <c r="A41" t="s">
        <v>94</v>
      </c>
      <c r="B41" t="s">
        <v>94</v>
      </c>
    </row>
    <row r="42" spans="1:2" x14ac:dyDescent="0.25">
      <c r="A42" t="s">
        <v>94</v>
      </c>
      <c r="B42" t="s">
        <v>94</v>
      </c>
    </row>
    <row r="43" spans="1:2" x14ac:dyDescent="0.25">
      <c r="A43" t="s">
        <v>94</v>
      </c>
      <c r="B43" t="s">
        <v>94</v>
      </c>
    </row>
    <row r="44" spans="1:2" x14ac:dyDescent="0.25">
      <c r="A44" t="s">
        <v>94</v>
      </c>
      <c r="B44" t="s">
        <v>94</v>
      </c>
    </row>
    <row r="45" spans="1:2" x14ac:dyDescent="0.25">
      <c r="A45" t="s">
        <v>94</v>
      </c>
      <c r="B45" t="s">
        <v>94</v>
      </c>
    </row>
    <row r="46" spans="1:2" x14ac:dyDescent="0.25">
      <c r="A46" t="s">
        <v>94</v>
      </c>
      <c r="B46" t="s">
        <v>94</v>
      </c>
    </row>
    <row r="47" spans="1:2" x14ac:dyDescent="0.25">
      <c r="A47" t="s">
        <v>94</v>
      </c>
      <c r="B47" t="s">
        <v>94</v>
      </c>
    </row>
    <row r="48" spans="1:2" x14ac:dyDescent="0.25">
      <c r="A48" t="s">
        <v>94</v>
      </c>
      <c r="B48" t="s">
        <v>94</v>
      </c>
    </row>
    <row r="49" spans="1:2" x14ac:dyDescent="0.25">
      <c r="A49" t="s">
        <v>94</v>
      </c>
      <c r="B49" t="s">
        <v>94</v>
      </c>
    </row>
    <row r="50" spans="1:2" x14ac:dyDescent="0.25">
      <c r="A50" t="s">
        <v>94</v>
      </c>
      <c r="B50" t="s">
        <v>94</v>
      </c>
    </row>
    <row r="51" spans="1:2" x14ac:dyDescent="0.25">
      <c r="A51" t="s">
        <v>94</v>
      </c>
      <c r="B51" t="s">
        <v>94</v>
      </c>
    </row>
    <row r="52" spans="1:2" x14ac:dyDescent="0.25">
      <c r="A52" t="s">
        <v>94</v>
      </c>
      <c r="B52" t="s">
        <v>94</v>
      </c>
    </row>
    <row r="53" spans="1:2" x14ac:dyDescent="0.25">
      <c r="A53" t="s">
        <v>94</v>
      </c>
      <c r="B53" t="s">
        <v>94</v>
      </c>
    </row>
    <row r="54" spans="1:2" x14ac:dyDescent="0.25">
      <c r="A54" t="s">
        <v>94</v>
      </c>
      <c r="B54" t="s">
        <v>94</v>
      </c>
    </row>
    <row r="55" spans="1:2" x14ac:dyDescent="0.25">
      <c r="A55" t="s">
        <v>94</v>
      </c>
      <c r="B55" t="s">
        <v>94</v>
      </c>
    </row>
    <row r="56" spans="1:2" x14ac:dyDescent="0.25">
      <c r="A56" t="s">
        <v>94</v>
      </c>
      <c r="B56" t="s">
        <v>94</v>
      </c>
    </row>
    <row r="57" spans="1:2" x14ac:dyDescent="0.25">
      <c r="A57" t="s">
        <v>94</v>
      </c>
      <c r="B57" t="s">
        <v>94</v>
      </c>
    </row>
    <row r="58" spans="1:2" x14ac:dyDescent="0.25">
      <c r="A58" t="s">
        <v>94</v>
      </c>
      <c r="B58" t="s">
        <v>94</v>
      </c>
    </row>
    <row r="59" spans="1:2" x14ac:dyDescent="0.25">
      <c r="A59" t="s">
        <v>94</v>
      </c>
      <c r="B59" t="s">
        <v>94</v>
      </c>
    </row>
    <row r="60" spans="1:2" x14ac:dyDescent="0.25">
      <c r="A60" t="s">
        <v>94</v>
      </c>
      <c r="B60" t="s">
        <v>94</v>
      </c>
    </row>
    <row r="61" spans="1:2" x14ac:dyDescent="0.25">
      <c r="A61" t="s">
        <v>94</v>
      </c>
      <c r="B61" t="s">
        <v>94</v>
      </c>
    </row>
    <row r="62" spans="1:2" x14ac:dyDescent="0.25">
      <c r="A62" t="s">
        <v>94</v>
      </c>
      <c r="B62" t="s">
        <v>94</v>
      </c>
    </row>
    <row r="63" spans="1:2" x14ac:dyDescent="0.25">
      <c r="A63" t="s">
        <v>94</v>
      </c>
      <c r="B63" t="s">
        <v>94</v>
      </c>
    </row>
    <row r="64" spans="1:2" x14ac:dyDescent="0.25">
      <c r="A64" t="s">
        <v>94</v>
      </c>
      <c r="B64" t="s">
        <v>94</v>
      </c>
    </row>
    <row r="65" spans="1:2" x14ac:dyDescent="0.25">
      <c r="A65" t="s">
        <v>94</v>
      </c>
      <c r="B65" t="s">
        <v>94</v>
      </c>
    </row>
    <row r="66" spans="1:2" x14ac:dyDescent="0.25">
      <c r="A66" t="s">
        <v>94</v>
      </c>
      <c r="B66" t="s">
        <v>94</v>
      </c>
    </row>
    <row r="67" spans="1:2" x14ac:dyDescent="0.25">
      <c r="A67" t="s">
        <v>94</v>
      </c>
      <c r="B67" t="s">
        <v>94</v>
      </c>
    </row>
    <row r="68" spans="1:2" x14ac:dyDescent="0.25">
      <c r="A68" t="s">
        <v>94</v>
      </c>
      <c r="B68" t="s">
        <v>94</v>
      </c>
    </row>
    <row r="69" spans="1:2" x14ac:dyDescent="0.25">
      <c r="A69" t="s">
        <v>94</v>
      </c>
      <c r="B69" t="s">
        <v>94</v>
      </c>
    </row>
    <row r="70" spans="1:2" x14ac:dyDescent="0.25">
      <c r="A70" t="s">
        <v>94</v>
      </c>
      <c r="B70" t="s">
        <v>94</v>
      </c>
    </row>
    <row r="71" spans="1:2" x14ac:dyDescent="0.25">
      <c r="A71" t="s">
        <v>94</v>
      </c>
      <c r="B71" t="s">
        <v>94</v>
      </c>
    </row>
    <row r="72" spans="1:2" x14ac:dyDescent="0.25">
      <c r="A72" t="s">
        <v>94</v>
      </c>
      <c r="B72" t="s">
        <v>94</v>
      </c>
    </row>
    <row r="73" spans="1:2" x14ac:dyDescent="0.25">
      <c r="A73" t="s">
        <v>94</v>
      </c>
      <c r="B73" t="s">
        <v>94</v>
      </c>
    </row>
    <row r="74" spans="1:2" x14ac:dyDescent="0.25">
      <c r="A74" t="s">
        <v>94</v>
      </c>
      <c r="B74" t="s">
        <v>94</v>
      </c>
    </row>
    <row r="75" spans="1:2" x14ac:dyDescent="0.25">
      <c r="A75" t="s">
        <v>94</v>
      </c>
      <c r="B75" t="s">
        <v>94</v>
      </c>
    </row>
    <row r="76" spans="1:2" x14ac:dyDescent="0.25">
      <c r="A76" t="s">
        <v>94</v>
      </c>
      <c r="B76" t="s">
        <v>94</v>
      </c>
    </row>
    <row r="77" spans="1:2" x14ac:dyDescent="0.25">
      <c r="A77" t="s">
        <v>94</v>
      </c>
      <c r="B77" t="s">
        <v>94</v>
      </c>
    </row>
    <row r="78" spans="1:2" x14ac:dyDescent="0.25">
      <c r="A78" t="s">
        <v>94</v>
      </c>
      <c r="B78" t="s">
        <v>94</v>
      </c>
    </row>
    <row r="79" spans="1:2" x14ac:dyDescent="0.25">
      <c r="A79" t="s">
        <v>94</v>
      </c>
      <c r="B79" t="s">
        <v>94</v>
      </c>
    </row>
    <row r="80" spans="1:2" x14ac:dyDescent="0.25">
      <c r="A80" t="s">
        <v>94</v>
      </c>
      <c r="B80" t="s">
        <v>94</v>
      </c>
    </row>
    <row r="81" spans="1:2" x14ac:dyDescent="0.25">
      <c r="A81" t="s">
        <v>94</v>
      </c>
      <c r="B81" t="s">
        <v>94</v>
      </c>
    </row>
    <row r="82" spans="1:2" x14ac:dyDescent="0.25">
      <c r="A82" t="s">
        <v>94</v>
      </c>
      <c r="B82" t="s">
        <v>94</v>
      </c>
    </row>
    <row r="83" spans="1:2" x14ac:dyDescent="0.25">
      <c r="A83" t="s">
        <v>94</v>
      </c>
      <c r="B83" t="s">
        <v>94</v>
      </c>
    </row>
    <row r="84" spans="1:2" x14ac:dyDescent="0.25">
      <c r="A84" t="s">
        <v>94</v>
      </c>
      <c r="B84" t="s">
        <v>94</v>
      </c>
    </row>
    <row r="85" spans="1:2" x14ac:dyDescent="0.25">
      <c r="A85" t="s">
        <v>94</v>
      </c>
      <c r="B85" t="s">
        <v>94</v>
      </c>
    </row>
    <row r="86" spans="1:2" x14ac:dyDescent="0.25">
      <c r="A86" t="s">
        <v>94</v>
      </c>
      <c r="B86" t="s">
        <v>94</v>
      </c>
    </row>
    <row r="87" spans="1:2" x14ac:dyDescent="0.25">
      <c r="A87" t="s">
        <v>94</v>
      </c>
      <c r="B87" t="s">
        <v>94</v>
      </c>
    </row>
    <row r="88" spans="1:2" x14ac:dyDescent="0.25">
      <c r="A88" t="s">
        <v>94</v>
      </c>
      <c r="B88" t="s">
        <v>94</v>
      </c>
    </row>
    <row r="89" spans="1:2" x14ac:dyDescent="0.25">
      <c r="A89" t="s">
        <v>94</v>
      </c>
      <c r="B89" t="s">
        <v>94</v>
      </c>
    </row>
    <row r="90" spans="1:2" x14ac:dyDescent="0.25">
      <c r="A90" t="s">
        <v>94</v>
      </c>
      <c r="B90" t="s">
        <v>94</v>
      </c>
    </row>
    <row r="91" spans="1:2" x14ac:dyDescent="0.25">
      <c r="A91" t="s">
        <v>94</v>
      </c>
      <c r="B91" t="s">
        <v>94</v>
      </c>
    </row>
    <row r="92" spans="1:2" x14ac:dyDescent="0.25">
      <c r="A92" t="s">
        <v>94</v>
      </c>
      <c r="B92" t="s">
        <v>94</v>
      </c>
    </row>
    <row r="93" spans="1:2" x14ac:dyDescent="0.25">
      <c r="A93" t="s">
        <v>94</v>
      </c>
      <c r="B93" t="s">
        <v>94</v>
      </c>
    </row>
    <row r="94" spans="1:2" x14ac:dyDescent="0.25">
      <c r="A94" t="s">
        <v>94</v>
      </c>
      <c r="B94" t="s">
        <v>94</v>
      </c>
    </row>
    <row r="95" spans="1:2" x14ac:dyDescent="0.25">
      <c r="A95" t="s">
        <v>94</v>
      </c>
      <c r="B95" t="s">
        <v>94</v>
      </c>
    </row>
    <row r="96" spans="1:2" x14ac:dyDescent="0.25">
      <c r="A96" t="s">
        <v>94</v>
      </c>
      <c r="B96" t="s">
        <v>94</v>
      </c>
    </row>
    <row r="97" spans="1:2" x14ac:dyDescent="0.25">
      <c r="A97" t="s">
        <v>94</v>
      </c>
      <c r="B97" t="s">
        <v>94</v>
      </c>
    </row>
    <row r="98" spans="1:2" x14ac:dyDescent="0.25">
      <c r="A98" t="s">
        <v>94</v>
      </c>
      <c r="B98" t="s">
        <v>94</v>
      </c>
    </row>
    <row r="99" spans="1:2" x14ac:dyDescent="0.25">
      <c r="A99" t="s">
        <v>94</v>
      </c>
      <c r="B99" t="s">
        <v>94</v>
      </c>
    </row>
    <row r="100" spans="1:2" x14ac:dyDescent="0.25">
      <c r="A100" t="s">
        <v>94</v>
      </c>
      <c r="B100" t="s">
        <v>94</v>
      </c>
    </row>
    <row r="101" spans="1:2" x14ac:dyDescent="0.25">
      <c r="A101" t="s">
        <v>94</v>
      </c>
      <c r="B101" t="s">
        <v>94</v>
      </c>
    </row>
    <row r="102" spans="1:2" x14ac:dyDescent="0.25">
      <c r="A102" t="s">
        <v>94</v>
      </c>
      <c r="B102" t="s">
        <v>94</v>
      </c>
    </row>
    <row r="103" spans="1:2" x14ac:dyDescent="0.25">
      <c r="A103" t="s">
        <v>94</v>
      </c>
      <c r="B103" t="s">
        <v>94</v>
      </c>
    </row>
    <row r="104" spans="1:2" x14ac:dyDescent="0.25">
      <c r="A104" t="s">
        <v>94</v>
      </c>
      <c r="B104" t="s">
        <v>94</v>
      </c>
    </row>
    <row r="105" spans="1:2" x14ac:dyDescent="0.25">
      <c r="A105" t="s">
        <v>94</v>
      </c>
      <c r="B105" t="s">
        <v>94</v>
      </c>
    </row>
    <row r="106" spans="1:2" x14ac:dyDescent="0.25">
      <c r="A106" t="s">
        <v>94</v>
      </c>
      <c r="B106" t="s">
        <v>94</v>
      </c>
    </row>
    <row r="107" spans="1:2" x14ac:dyDescent="0.25">
      <c r="A107" t="s">
        <v>94</v>
      </c>
      <c r="B107" t="s">
        <v>94</v>
      </c>
    </row>
    <row r="108" spans="1:2" x14ac:dyDescent="0.25">
      <c r="A108" t="s">
        <v>94</v>
      </c>
      <c r="B108" t="s">
        <v>94</v>
      </c>
    </row>
    <row r="109" spans="1:2" x14ac:dyDescent="0.25">
      <c r="A109" t="s">
        <v>94</v>
      </c>
      <c r="B109" t="s">
        <v>94</v>
      </c>
    </row>
    <row r="110" spans="1:2" x14ac:dyDescent="0.25">
      <c r="A110" t="s">
        <v>94</v>
      </c>
      <c r="B110" t="s">
        <v>94</v>
      </c>
    </row>
    <row r="111" spans="1:2" x14ac:dyDescent="0.25">
      <c r="A111" t="s">
        <v>94</v>
      </c>
      <c r="B111" t="s">
        <v>94</v>
      </c>
    </row>
    <row r="112" spans="1:2" x14ac:dyDescent="0.25">
      <c r="A112" t="s">
        <v>94</v>
      </c>
      <c r="B112" t="s">
        <v>94</v>
      </c>
    </row>
    <row r="113" spans="1:2" x14ac:dyDescent="0.25">
      <c r="A113" t="s">
        <v>94</v>
      </c>
      <c r="B113" t="s">
        <v>94</v>
      </c>
    </row>
    <row r="114" spans="1:2" x14ac:dyDescent="0.25">
      <c r="A114" t="s">
        <v>94</v>
      </c>
      <c r="B114" t="s">
        <v>94</v>
      </c>
    </row>
    <row r="115" spans="1:2" x14ac:dyDescent="0.25">
      <c r="A115" t="s">
        <v>94</v>
      </c>
      <c r="B115" t="s">
        <v>94</v>
      </c>
    </row>
    <row r="116" spans="1:2" x14ac:dyDescent="0.25">
      <c r="A116" t="s">
        <v>94</v>
      </c>
      <c r="B116" t="s">
        <v>94</v>
      </c>
    </row>
    <row r="117" spans="1:2" x14ac:dyDescent="0.25">
      <c r="A117" t="s">
        <v>94</v>
      </c>
      <c r="B117" t="s">
        <v>94</v>
      </c>
    </row>
    <row r="118" spans="1:2" x14ac:dyDescent="0.25">
      <c r="A118" t="s">
        <v>94</v>
      </c>
      <c r="B118" t="s">
        <v>94</v>
      </c>
    </row>
    <row r="119" spans="1:2" x14ac:dyDescent="0.25">
      <c r="A119" t="s">
        <v>94</v>
      </c>
      <c r="B119" t="s">
        <v>94</v>
      </c>
    </row>
    <row r="120" spans="1:2" x14ac:dyDescent="0.25">
      <c r="A120" t="s">
        <v>94</v>
      </c>
      <c r="B120" t="s">
        <v>94</v>
      </c>
    </row>
    <row r="121" spans="1:2" x14ac:dyDescent="0.25">
      <c r="A121" t="s">
        <v>94</v>
      </c>
      <c r="B121" t="s">
        <v>94</v>
      </c>
    </row>
    <row r="122" spans="1:2" x14ac:dyDescent="0.25">
      <c r="A122" t="s">
        <v>94</v>
      </c>
      <c r="B122" t="s">
        <v>94</v>
      </c>
    </row>
    <row r="123" spans="1:2" x14ac:dyDescent="0.25">
      <c r="A123" t="s">
        <v>94</v>
      </c>
      <c r="B123" t="s">
        <v>94</v>
      </c>
    </row>
    <row r="124" spans="1:2" x14ac:dyDescent="0.25">
      <c r="A124" t="s">
        <v>94</v>
      </c>
      <c r="B124" t="s">
        <v>94</v>
      </c>
    </row>
    <row r="125" spans="1:2" x14ac:dyDescent="0.25">
      <c r="A125" t="s">
        <v>94</v>
      </c>
      <c r="B125" t="s">
        <v>94</v>
      </c>
    </row>
    <row r="126" spans="1:2" x14ac:dyDescent="0.25">
      <c r="A126" t="s">
        <v>94</v>
      </c>
      <c r="B126" t="s">
        <v>94</v>
      </c>
    </row>
    <row r="127" spans="1:2" x14ac:dyDescent="0.25">
      <c r="A127" t="s">
        <v>94</v>
      </c>
      <c r="B127" t="s">
        <v>94</v>
      </c>
    </row>
    <row r="128" spans="1:2" x14ac:dyDescent="0.25">
      <c r="A128" t="s">
        <v>94</v>
      </c>
      <c r="B128" t="s">
        <v>94</v>
      </c>
    </row>
    <row r="129" spans="1:2" x14ac:dyDescent="0.25">
      <c r="A129" t="s">
        <v>94</v>
      </c>
      <c r="B129" t="s">
        <v>94</v>
      </c>
    </row>
    <row r="130" spans="1:2" x14ac:dyDescent="0.25">
      <c r="A130" t="s">
        <v>94</v>
      </c>
      <c r="B130" t="s">
        <v>94</v>
      </c>
    </row>
    <row r="131" spans="1:2" x14ac:dyDescent="0.25">
      <c r="A131" t="s">
        <v>94</v>
      </c>
      <c r="B131" t="s">
        <v>94</v>
      </c>
    </row>
    <row r="132" spans="1:2" x14ac:dyDescent="0.25">
      <c r="A132" t="s">
        <v>94</v>
      </c>
      <c r="B132" t="s">
        <v>94</v>
      </c>
    </row>
    <row r="133" spans="1:2" x14ac:dyDescent="0.25">
      <c r="A133" t="s">
        <v>94</v>
      </c>
      <c r="B133" t="s">
        <v>94</v>
      </c>
    </row>
    <row r="134" spans="1:2" x14ac:dyDescent="0.25">
      <c r="A134" t="s">
        <v>94</v>
      </c>
      <c r="B134" t="s">
        <v>94</v>
      </c>
    </row>
    <row r="135" spans="1:2" x14ac:dyDescent="0.25">
      <c r="A135" t="s">
        <v>94</v>
      </c>
      <c r="B135" t="s">
        <v>94</v>
      </c>
    </row>
    <row r="136" spans="1:2" x14ac:dyDescent="0.25">
      <c r="A136" t="s">
        <v>94</v>
      </c>
      <c r="B136" t="s">
        <v>94</v>
      </c>
    </row>
    <row r="137" spans="1:2" x14ac:dyDescent="0.25">
      <c r="A137" t="s">
        <v>94</v>
      </c>
      <c r="B137" t="s">
        <v>94</v>
      </c>
    </row>
    <row r="138" spans="1:2" x14ac:dyDescent="0.25">
      <c r="A138" t="s">
        <v>94</v>
      </c>
      <c r="B138" t="s">
        <v>94</v>
      </c>
    </row>
    <row r="139" spans="1:2" x14ac:dyDescent="0.25">
      <c r="A139" t="s">
        <v>94</v>
      </c>
      <c r="B139" t="s">
        <v>94</v>
      </c>
    </row>
    <row r="140" spans="1:2" x14ac:dyDescent="0.25">
      <c r="A140" t="s">
        <v>94</v>
      </c>
      <c r="B140" t="s">
        <v>94</v>
      </c>
    </row>
    <row r="141" spans="1:2" x14ac:dyDescent="0.25">
      <c r="A141" t="s">
        <v>94</v>
      </c>
      <c r="B141" t="s">
        <v>94</v>
      </c>
    </row>
    <row r="142" spans="1:2" x14ac:dyDescent="0.25">
      <c r="A142" t="s">
        <v>94</v>
      </c>
      <c r="B142" t="s">
        <v>94</v>
      </c>
    </row>
    <row r="143" spans="1:2" x14ac:dyDescent="0.25">
      <c r="A143" t="s">
        <v>94</v>
      </c>
      <c r="B143" t="s">
        <v>94</v>
      </c>
    </row>
    <row r="144" spans="1:2" x14ac:dyDescent="0.25">
      <c r="A144" t="s">
        <v>94</v>
      </c>
      <c r="B144" t="s">
        <v>94</v>
      </c>
    </row>
    <row r="145" spans="1:2" x14ac:dyDescent="0.25">
      <c r="A145" t="s">
        <v>94</v>
      </c>
      <c r="B145" t="s">
        <v>94</v>
      </c>
    </row>
    <row r="146" spans="1:2" x14ac:dyDescent="0.25">
      <c r="A146" t="s">
        <v>94</v>
      </c>
      <c r="B146" t="s">
        <v>94</v>
      </c>
    </row>
    <row r="147" spans="1:2" x14ac:dyDescent="0.25">
      <c r="A147" t="s">
        <v>94</v>
      </c>
      <c r="B147" t="s">
        <v>94</v>
      </c>
    </row>
    <row r="148" spans="1:2" x14ac:dyDescent="0.25">
      <c r="A148" t="s">
        <v>94</v>
      </c>
      <c r="B148" t="s">
        <v>94</v>
      </c>
    </row>
    <row r="149" spans="1:2" x14ac:dyDescent="0.25">
      <c r="A149" t="s">
        <v>94</v>
      </c>
      <c r="B149" t="s">
        <v>94</v>
      </c>
    </row>
    <row r="150" spans="1:2" x14ac:dyDescent="0.25">
      <c r="A150" t="s">
        <v>94</v>
      </c>
      <c r="B150" t="s">
        <v>94</v>
      </c>
    </row>
    <row r="151" spans="1:2" x14ac:dyDescent="0.25">
      <c r="A151" t="s">
        <v>94</v>
      </c>
      <c r="B151" t="s">
        <v>94</v>
      </c>
    </row>
    <row r="152" spans="1:2" x14ac:dyDescent="0.25">
      <c r="A152" t="s">
        <v>94</v>
      </c>
      <c r="B152" t="s">
        <v>94</v>
      </c>
    </row>
    <row r="153" spans="1:2" x14ac:dyDescent="0.25">
      <c r="A153" t="s">
        <v>94</v>
      </c>
      <c r="B153" t="s">
        <v>94</v>
      </c>
    </row>
    <row r="154" spans="1:2" x14ac:dyDescent="0.25">
      <c r="A154" t="s">
        <v>94</v>
      </c>
      <c r="B154" t="s">
        <v>94</v>
      </c>
    </row>
    <row r="155" spans="1:2" x14ac:dyDescent="0.25">
      <c r="A155" t="s">
        <v>94</v>
      </c>
      <c r="B155" t="s">
        <v>94</v>
      </c>
    </row>
    <row r="156" spans="1:2" x14ac:dyDescent="0.25">
      <c r="A156" t="s">
        <v>94</v>
      </c>
      <c r="B156" t="s">
        <v>94</v>
      </c>
    </row>
    <row r="157" spans="1:2" x14ac:dyDescent="0.25">
      <c r="A157" t="s">
        <v>94</v>
      </c>
      <c r="B157" t="s">
        <v>94</v>
      </c>
    </row>
    <row r="158" spans="1:2" x14ac:dyDescent="0.25">
      <c r="A158" t="s">
        <v>94</v>
      </c>
      <c r="B158" t="s">
        <v>94</v>
      </c>
    </row>
    <row r="159" spans="1:2" x14ac:dyDescent="0.25">
      <c r="A159" t="s">
        <v>94</v>
      </c>
      <c r="B159" t="s">
        <v>94</v>
      </c>
    </row>
    <row r="160" spans="1:2" x14ac:dyDescent="0.25">
      <c r="A160" t="s">
        <v>94</v>
      </c>
      <c r="B160" t="s">
        <v>94</v>
      </c>
    </row>
    <row r="161" spans="1:2" x14ac:dyDescent="0.25">
      <c r="A161" t="s">
        <v>94</v>
      </c>
      <c r="B161" t="s">
        <v>94</v>
      </c>
    </row>
    <row r="162" spans="1:2" x14ac:dyDescent="0.25">
      <c r="A162" t="s">
        <v>94</v>
      </c>
      <c r="B162" t="s">
        <v>94</v>
      </c>
    </row>
    <row r="163" spans="1:2" x14ac:dyDescent="0.25">
      <c r="A163" t="s">
        <v>94</v>
      </c>
      <c r="B163" t="s">
        <v>94</v>
      </c>
    </row>
    <row r="164" spans="1:2" x14ac:dyDescent="0.25">
      <c r="A164" t="s">
        <v>94</v>
      </c>
      <c r="B164" t="s">
        <v>94</v>
      </c>
    </row>
    <row r="165" spans="1:2" x14ac:dyDescent="0.25">
      <c r="A165" t="s">
        <v>94</v>
      </c>
      <c r="B165" t="s">
        <v>94</v>
      </c>
    </row>
    <row r="166" spans="1:2" x14ac:dyDescent="0.25">
      <c r="A166" t="s">
        <v>94</v>
      </c>
      <c r="B166" t="s">
        <v>94</v>
      </c>
    </row>
    <row r="167" spans="1:2" x14ac:dyDescent="0.25">
      <c r="A167" t="s">
        <v>94</v>
      </c>
      <c r="B167" t="s">
        <v>94</v>
      </c>
    </row>
    <row r="168" spans="1:2" x14ac:dyDescent="0.25">
      <c r="A168" t="s">
        <v>94</v>
      </c>
      <c r="B168" t="s">
        <v>94</v>
      </c>
    </row>
    <row r="169" spans="1:2" x14ac:dyDescent="0.25">
      <c r="A169" t="s">
        <v>94</v>
      </c>
      <c r="B169" t="s">
        <v>94</v>
      </c>
    </row>
    <row r="170" spans="1:2" x14ac:dyDescent="0.25">
      <c r="A170" t="s">
        <v>94</v>
      </c>
      <c r="B170" t="s">
        <v>94</v>
      </c>
    </row>
    <row r="171" spans="1:2" x14ac:dyDescent="0.25">
      <c r="A171" t="s">
        <v>94</v>
      </c>
      <c r="B171" t="s">
        <v>94</v>
      </c>
    </row>
    <row r="172" spans="1:2" x14ac:dyDescent="0.25">
      <c r="A172" t="s">
        <v>94</v>
      </c>
      <c r="B172" t="s">
        <v>94</v>
      </c>
    </row>
    <row r="173" spans="1:2" x14ac:dyDescent="0.25">
      <c r="A173" t="s">
        <v>94</v>
      </c>
      <c r="B173" t="s">
        <v>94</v>
      </c>
    </row>
    <row r="174" spans="1:2" x14ac:dyDescent="0.25">
      <c r="A174" t="s">
        <v>94</v>
      </c>
      <c r="B174" t="s">
        <v>94</v>
      </c>
    </row>
    <row r="175" spans="1:2" x14ac:dyDescent="0.25">
      <c r="A175" t="s">
        <v>94</v>
      </c>
      <c r="B175" t="s">
        <v>94</v>
      </c>
    </row>
    <row r="176" spans="1:2" x14ac:dyDescent="0.25">
      <c r="A176" t="s">
        <v>94</v>
      </c>
      <c r="B176" t="s">
        <v>94</v>
      </c>
    </row>
    <row r="177" spans="1:2" x14ac:dyDescent="0.25">
      <c r="A177" t="s">
        <v>94</v>
      </c>
      <c r="B177" t="s">
        <v>94</v>
      </c>
    </row>
    <row r="178" spans="1:2" x14ac:dyDescent="0.25">
      <c r="A178" t="s">
        <v>94</v>
      </c>
      <c r="B178" t="s">
        <v>94</v>
      </c>
    </row>
    <row r="179" spans="1:2" x14ac:dyDescent="0.25">
      <c r="A179" t="s">
        <v>94</v>
      </c>
      <c r="B179" t="s">
        <v>94</v>
      </c>
    </row>
    <row r="180" spans="1:2" x14ac:dyDescent="0.25">
      <c r="A180" t="s">
        <v>94</v>
      </c>
      <c r="B180" t="s">
        <v>94</v>
      </c>
    </row>
    <row r="181" spans="1:2" x14ac:dyDescent="0.25">
      <c r="A181" t="s">
        <v>94</v>
      </c>
      <c r="B181" t="s">
        <v>94</v>
      </c>
    </row>
    <row r="182" spans="1:2" x14ac:dyDescent="0.25">
      <c r="A182" t="s">
        <v>94</v>
      </c>
      <c r="B182" t="s">
        <v>94</v>
      </c>
    </row>
    <row r="183" spans="1:2" x14ac:dyDescent="0.25">
      <c r="A183" t="s">
        <v>94</v>
      </c>
      <c r="B183" t="s">
        <v>94</v>
      </c>
    </row>
    <row r="184" spans="1:2" x14ac:dyDescent="0.25">
      <c r="A184" t="s">
        <v>94</v>
      </c>
      <c r="B184" t="s">
        <v>94</v>
      </c>
    </row>
    <row r="185" spans="1:2" x14ac:dyDescent="0.25">
      <c r="A185" t="s">
        <v>94</v>
      </c>
      <c r="B185" t="s">
        <v>94</v>
      </c>
    </row>
    <row r="186" spans="1:2" x14ac:dyDescent="0.25">
      <c r="A186" t="s">
        <v>94</v>
      </c>
      <c r="B186" t="s">
        <v>94</v>
      </c>
    </row>
    <row r="187" spans="1:2" x14ac:dyDescent="0.25">
      <c r="A187" t="s">
        <v>94</v>
      </c>
      <c r="B187" t="s">
        <v>94</v>
      </c>
    </row>
    <row r="188" spans="1:2" x14ac:dyDescent="0.25">
      <c r="A188" t="s">
        <v>94</v>
      </c>
      <c r="B188" t="s">
        <v>94</v>
      </c>
    </row>
    <row r="189" spans="1:2" x14ac:dyDescent="0.25">
      <c r="A189" t="s">
        <v>94</v>
      </c>
      <c r="B189" t="s">
        <v>94</v>
      </c>
    </row>
    <row r="190" spans="1:2" x14ac:dyDescent="0.25">
      <c r="A190" t="s">
        <v>94</v>
      </c>
      <c r="B190" t="s">
        <v>94</v>
      </c>
    </row>
    <row r="191" spans="1:2" x14ac:dyDescent="0.25">
      <c r="A191" t="s">
        <v>94</v>
      </c>
      <c r="B191" t="s">
        <v>94</v>
      </c>
    </row>
    <row r="192" spans="1:2" x14ac:dyDescent="0.25">
      <c r="A192" t="s">
        <v>94</v>
      </c>
      <c r="B192" t="s">
        <v>94</v>
      </c>
    </row>
    <row r="193" spans="1:2" x14ac:dyDescent="0.25">
      <c r="A193" t="s">
        <v>94</v>
      </c>
      <c r="B193" t="s">
        <v>94</v>
      </c>
    </row>
    <row r="194" spans="1:2" x14ac:dyDescent="0.25">
      <c r="A194" t="s">
        <v>94</v>
      </c>
      <c r="B194" t="s">
        <v>94</v>
      </c>
    </row>
    <row r="195" spans="1:2" x14ac:dyDescent="0.25">
      <c r="A195" t="s">
        <v>94</v>
      </c>
      <c r="B195" t="s">
        <v>94</v>
      </c>
    </row>
    <row r="196" spans="1:2" x14ac:dyDescent="0.25">
      <c r="A196" t="s">
        <v>94</v>
      </c>
      <c r="B196" t="s">
        <v>94</v>
      </c>
    </row>
    <row r="197" spans="1:2" x14ac:dyDescent="0.25">
      <c r="A197" t="s">
        <v>94</v>
      </c>
      <c r="B197" t="s">
        <v>94</v>
      </c>
    </row>
    <row r="198" spans="1:2" x14ac:dyDescent="0.25">
      <c r="A198" t="s">
        <v>94</v>
      </c>
      <c r="B198" t="s">
        <v>94</v>
      </c>
    </row>
    <row r="199" spans="1:2" x14ac:dyDescent="0.25">
      <c r="A199" t="s">
        <v>94</v>
      </c>
      <c r="B199" t="s">
        <v>94</v>
      </c>
    </row>
    <row r="200" spans="1:2" x14ac:dyDescent="0.25">
      <c r="A200" t="s">
        <v>94</v>
      </c>
      <c r="B200" t="s">
        <v>94</v>
      </c>
    </row>
    <row r="201" spans="1:2" x14ac:dyDescent="0.25">
      <c r="A201" t="s">
        <v>94</v>
      </c>
      <c r="B201" t="s">
        <v>94</v>
      </c>
    </row>
    <row r="202" spans="1:2" x14ac:dyDescent="0.25">
      <c r="A202" t="s">
        <v>94</v>
      </c>
      <c r="B202" t="s">
        <v>94</v>
      </c>
    </row>
    <row r="203" spans="1:2" x14ac:dyDescent="0.25">
      <c r="A203" t="s">
        <v>94</v>
      </c>
      <c r="B203" t="s">
        <v>94</v>
      </c>
    </row>
    <row r="204" spans="1:2" x14ac:dyDescent="0.25">
      <c r="A204" t="s">
        <v>94</v>
      </c>
      <c r="B204" t="s">
        <v>94</v>
      </c>
    </row>
    <row r="205" spans="1:2" x14ac:dyDescent="0.25">
      <c r="A205" t="s">
        <v>94</v>
      </c>
      <c r="B205" t="s">
        <v>94</v>
      </c>
    </row>
    <row r="206" spans="1:2" x14ac:dyDescent="0.25">
      <c r="A206" t="s">
        <v>94</v>
      </c>
      <c r="B206" t="s">
        <v>94</v>
      </c>
    </row>
    <row r="207" spans="1:2" x14ac:dyDescent="0.25">
      <c r="A207" t="s">
        <v>94</v>
      </c>
      <c r="B207" t="s">
        <v>94</v>
      </c>
    </row>
    <row r="208" spans="1:2" x14ac:dyDescent="0.25">
      <c r="A208" t="s">
        <v>94</v>
      </c>
      <c r="B208" t="s">
        <v>94</v>
      </c>
    </row>
    <row r="209" spans="1:2" x14ac:dyDescent="0.25">
      <c r="A209" t="s">
        <v>94</v>
      </c>
      <c r="B209" t="s">
        <v>94</v>
      </c>
    </row>
    <row r="210" spans="1:2" x14ac:dyDescent="0.25">
      <c r="A210" t="s">
        <v>94</v>
      </c>
      <c r="B210" t="s">
        <v>94</v>
      </c>
    </row>
    <row r="211" spans="1:2" x14ac:dyDescent="0.25">
      <c r="A211" t="s">
        <v>94</v>
      </c>
      <c r="B211" t="s">
        <v>94</v>
      </c>
    </row>
    <row r="212" spans="1:2" x14ac:dyDescent="0.25">
      <c r="A212" t="s">
        <v>94</v>
      </c>
      <c r="B212" t="s">
        <v>94</v>
      </c>
    </row>
    <row r="213" spans="1:2" x14ac:dyDescent="0.25">
      <c r="A213" t="s">
        <v>94</v>
      </c>
      <c r="B213" t="s">
        <v>94</v>
      </c>
    </row>
    <row r="214" spans="1:2" x14ac:dyDescent="0.25">
      <c r="A214" t="s">
        <v>94</v>
      </c>
      <c r="B214" t="s">
        <v>94</v>
      </c>
    </row>
    <row r="215" spans="1:2" x14ac:dyDescent="0.25">
      <c r="A215" t="s">
        <v>94</v>
      </c>
      <c r="B215" t="s">
        <v>94</v>
      </c>
    </row>
    <row r="216" spans="1:2" x14ac:dyDescent="0.25">
      <c r="A216" t="s">
        <v>94</v>
      </c>
      <c r="B216" t="s">
        <v>94</v>
      </c>
    </row>
    <row r="217" spans="1:2" x14ac:dyDescent="0.25">
      <c r="A217" t="s">
        <v>94</v>
      </c>
      <c r="B217" t="s">
        <v>94</v>
      </c>
    </row>
    <row r="218" spans="1:2" x14ac:dyDescent="0.25">
      <c r="A218" t="s">
        <v>94</v>
      </c>
      <c r="B218" t="s">
        <v>94</v>
      </c>
    </row>
    <row r="219" spans="1:2" x14ac:dyDescent="0.25">
      <c r="A219" t="s">
        <v>94</v>
      </c>
      <c r="B219" t="s">
        <v>94</v>
      </c>
    </row>
    <row r="220" spans="1:2" x14ac:dyDescent="0.25">
      <c r="A220" t="s">
        <v>94</v>
      </c>
      <c r="B220" t="s">
        <v>94</v>
      </c>
    </row>
    <row r="221" spans="1:2" x14ac:dyDescent="0.25">
      <c r="A221" t="s">
        <v>94</v>
      </c>
      <c r="B221" t="s">
        <v>94</v>
      </c>
    </row>
    <row r="222" spans="1:2" x14ac:dyDescent="0.25">
      <c r="A222" t="s">
        <v>94</v>
      </c>
      <c r="B222" t="s">
        <v>94</v>
      </c>
    </row>
    <row r="223" spans="1:2" x14ac:dyDescent="0.25">
      <c r="A223" t="s">
        <v>94</v>
      </c>
      <c r="B223" t="s">
        <v>94</v>
      </c>
    </row>
    <row r="224" spans="1:2" x14ac:dyDescent="0.25">
      <c r="A224" t="s">
        <v>94</v>
      </c>
      <c r="B224" t="s">
        <v>94</v>
      </c>
    </row>
    <row r="225" spans="1:2" x14ac:dyDescent="0.25">
      <c r="A225" t="s">
        <v>94</v>
      </c>
      <c r="B225" t="s">
        <v>94</v>
      </c>
    </row>
    <row r="226" spans="1:2" x14ac:dyDescent="0.25">
      <c r="A226" t="s">
        <v>94</v>
      </c>
      <c r="B226" t="s">
        <v>94</v>
      </c>
    </row>
    <row r="227" spans="1:2" x14ac:dyDescent="0.25">
      <c r="A227" t="s">
        <v>94</v>
      </c>
      <c r="B227" t="s">
        <v>94</v>
      </c>
    </row>
    <row r="228" spans="1:2" x14ac:dyDescent="0.25">
      <c r="A228" t="s">
        <v>94</v>
      </c>
      <c r="B228" t="s">
        <v>94</v>
      </c>
    </row>
    <row r="229" spans="1:2" x14ac:dyDescent="0.25">
      <c r="A229" t="s">
        <v>94</v>
      </c>
      <c r="B229" t="s">
        <v>94</v>
      </c>
    </row>
    <row r="230" spans="1:2" x14ac:dyDescent="0.25">
      <c r="A230" t="s">
        <v>94</v>
      </c>
      <c r="B230" t="s">
        <v>94</v>
      </c>
    </row>
    <row r="231" spans="1:2" x14ac:dyDescent="0.25">
      <c r="A231" t="s">
        <v>94</v>
      </c>
      <c r="B231" t="s">
        <v>94</v>
      </c>
    </row>
    <row r="232" spans="1:2" x14ac:dyDescent="0.25">
      <c r="A232" t="s">
        <v>94</v>
      </c>
      <c r="B232" t="s">
        <v>94</v>
      </c>
    </row>
    <row r="233" spans="1:2" x14ac:dyDescent="0.25">
      <c r="A233" t="s">
        <v>94</v>
      </c>
      <c r="B233" t="s">
        <v>94</v>
      </c>
    </row>
    <row r="234" spans="1:2" x14ac:dyDescent="0.25">
      <c r="A234" t="s">
        <v>94</v>
      </c>
      <c r="B234" t="s">
        <v>94</v>
      </c>
    </row>
    <row r="235" spans="1:2" x14ac:dyDescent="0.25">
      <c r="A235" t="s">
        <v>94</v>
      </c>
      <c r="B235" t="s">
        <v>94</v>
      </c>
    </row>
    <row r="236" spans="1:2" x14ac:dyDescent="0.25">
      <c r="A236" t="s">
        <v>94</v>
      </c>
      <c r="B236" t="s">
        <v>94</v>
      </c>
    </row>
    <row r="237" spans="1:2" x14ac:dyDescent="0.25">
      <c r="A237" t="s">
        <v>94</v>
      </c>
      <c r="B237" t="s">
        <v>94</v>
      </c>
    </row>
    <row r="238" spans="1:2" x14ac:dyDescent="0.25">
      <c r="A238" t="s">
        <v>94</v>
      </c>
      <c r="B238" t="s">
        <v>94</v>
      </c>
    </row>
    <row r="239" spans="1:2" x14ac:dyDescent="0.25">
      <c r="A239" t="s">
        <v>94</v>
      </c>
      <c r="B239" t="s">
        <v>94</v>
      </c>
    </row>
    <row r="240" spans="1:2" x14ac:dyDescent="0.25">
      <c r="A240" t="s">
        <v>94</v>
      </c>
      <c r="B240" t="s">
        <v>94</v>
      </c>
    </row>
    <row r="241" spans="1:2" x14ac:dyDescent="0.25">
      <c r="A241" t="s">
        <v>94</v>
      </c>
      <c r="B241" t="s">
        <v>94</v>
      </c>
    </row>
    <row r="242" spans="1:2" x14ac:dyDescent="0.25">
      <c r="A242" t="s">
        <v>94</v>
      </c>
      <c r="B242" t="s">
        <v>94</v>
      </c>
    </row>
    <row r="243" spans="1:2" x14ac:dyDescent="0.25">
      <c r="A243" t="s">
        <v>94</v>
      </c>
      <c r="B243" t="s">
        <v>94</v>
      </c>
    </row>
    <row r="244" spans="1:2" x14ac:dyDescent="0.25">
      <c r="A244" t="s">
        <v>94</v>
      </c>
      <c r="B244" t="s">
        <v>94</v>
      </c>
    </row>
    <row r="245" spans="1:2" x14ac:dyDescent="0.25">
      <c r="A245" t="s">
        <v>94</v>
      </c>
      <c r="B245" t="s">
        <v>94</v>
      </c>
    </row>
    <row r="246" spans="1:2" x14ac:dyDescent="0.25">
      <c r="A246" t="s">
        <v>94</v>
      </c>
      <c r="B246" t="s">
        <v>94</v>
      </c>
    </row>
    <row r="247" spans="1:2" x14ac:dyDescent="0.25">
      <c r="A247" t="s">
        <v>94</v>
      </c>
      <c r="B247" t="s">
        <v>94</v>
      </c>
    </row>
    <row r="248" spans="1:2" x14ac:dyDescent="0.25">
      <c r="A248" t="s">
        <v>94</v>
      </c>
      <c r="B248" t="s">
        <v>94</v>
      </c>
    </row>
    <row r="249" spans="1:2" x14ac:dyDescent="0.25">
      <c r="A249" t="s">
        <v>94</v>
      </c>
      <c r="B249" t="s">
        <v>94</v>
      </c>
    </row>
    <row r="250" spans="1:2" x14ac:dyDescent="0.25">
      <c r="A250" t="s">
        <v>94</v>
      </c>
      <c r="B250" t="s">
        <v>94</v>
      </c>
    </row>
    <row r="251" spans="1:2" x14ac:dyDescent="0.25">
      <c r="A251" t="s">
        <v>94</v>
      </c>
      <c r="B251" t="s">
        <v>94</v>
      </c>
    </row>
    <row r="252" spans="1:2" x14ac:dyDescent="0.25">
      <c r="A252" t="s">
        <v>94</v>
      </c>
      <c r="B252" t="s">
        <v>94</v>
      </c>
    </row>
    <row r="253" spans="1:2" x14ac:dyDescent="0.25">
      <c r="A253" t="s">
        <v>94</v>
      </c>
      <c r="B253" t="s">
        <v>94</v>
      </c>
    </row>
    <row r="254" spans="1:2" x14ac:dyDescent="0.25">
      <c r="A254" t="s">
        <v>94</v>
      </c>
      <c r="B254" t="s">
        <v>94</v>
      </c>
    </row>
    <row r="255" spans="1:2" x14ac:dyDescent="0.25">
      <c r="A255" t="s">
        <v>94</v>
      </c>
      <c r="B255" t="s">
        <v>94</v>
      </c>
    </row>
    <row r="256" spans="1:2" x14ac:dyDescent="0.25">
      <c r="A256" t="s">
        <v>94</v>
      </c>
      <c r="B256" t="s">
        <v>94</v>
      </c>
    </row>
    <row r="257" spans="1:2" x14ac:dyDescent="0.25">
      <c r="A257" t="s">
        <v>94</v>
      </c>
      <c r="B257" t="s">
        <v>94</v>
      </c>
    </row>
    <row r="258" spans="1:2" x14ac:dyDescent="0.25">
      <c r="A258" t="s">
        <v>94</v>
      </c>
      <c r="B258" t="s">
        <v>94</v>
      </c>
    </row>
    <row r="259" spans="1:2" x14ac:dyDescent="0.25">
      <c r="A259" t="s">
        <v>94</v>
      </c>
      <c r="B259" t="s">
        <v>94</v>
      </c>
    </row>
    <row r="260" spans="1:2" x14ac:dyDescent="0.25">
      <c r="A260" t="s">
        <v>94</v>
      </c>
      <c r="B260" t="s">
        <v>94</v>
      </c>
    </row>
    <row r="261" spans="1:2" x14ac:dyDescent="0.25">
      <c r="A261" t="s">
        <v>94</v>
      </c>
      <c r="B261" t="s">
        <v>94</v>
      </c>
    </row>
    <row r="262" spans="1:2" x14ac:dyDescent="0.25">
      <c r="A262" t="s">
        <v>94</v>
      </c>
      <c r="B262" t="s">
        <v>94</v>
      </c>
    </row>
    <row r="263" spans="1:2" x14ac:dyDescent="0.25">
      <c r="A263" t="s">
        <v>94</v>
      </c>
      <c r="B263" t="s">
        <v>94</v>
      </c>
    </row>
    <row r="264" spans="1:2" x14ac:dyDescent="0.25">
      <c r="A264" t="s">
        <v>94</v>
      </c>
      <c r="B264" t="s">
        <v>94</v>
      </c>
    </row>
    <row r="265" spans="1:2" x14ac:dyDescent="0.25">
      <c r="A265" t="s">
        <v>94</v>
      </c>
      <c r="B265" t="s">
        <v>94</v>
      </c>
    </row>
    <row r="266" spans="1:2" x14ac:dyDescent="0.25">
      <c r="A266" t="s">
        <v>94</v>
      </c>
      <c r="B266" t="s">
        <v>94</v>
      </c>
    </row>
    <row r="267" spans="1:2" x14ac:dyDescent="0.25">
      <c r="A267" t="s">
        <v>94</v>
      </c>
      <c r="B267" t="s">
        <v>94</v>
      </c>
    </row>
    <row r="268" spans="1:2" x14ac:dyDescent="0.25">
      <c r="A268" t="s">
        <v>94</v>
      </c>
      <c r="B268" t="s">
        <v>94</v>
      </c>
    </row>
    <row r="269" spans="1:2" x14ac:dyDescent="0.25">
      <c r="A269" t="s">
        <v>94</v>
      </c>
      <c r="B269" t="s">
        <v>94</v>
      </c>
    </row>
    <row r="270" spans="1:2" x14ac:dyDescent="0.25">
      <c r="A270" t="s">
        <v>94</v>
      </c>
      <c r="B270" t="s">
        <v>94</v>
      </c>
    </row>
    <row r="271" spans="1:2" x14ac:dyDescent="0.25">
      <c r="A271" t="s">
        <v>94</v>
      </c>
      <c r="B271" t="s">
        <v>94</v>
      </c>
    </row>
    <row r="272" spans="1:2" x14ac:dyDescent="0.25">
      <c r="A272" t="s">
        <v>94</v>
      </c>
      <c r="B272" t="s">
        <v>94</v>
      </c>
    </row>
    <row r="273" spans="1:2" x14ac:dyDescent="0.25">
      <c r="A273" t="s">
        <v>94</v>
      </c>
      <c r="B273" t="s">
        <v>94</v>
      </c>
    </row>
    <row r="274" spans="1:2" x14ac:dyDescent="0.25">
      <c r="A274" t="s">
        <v>94</v>
      </c>
      <c r="B274" t="s">
        <v>94</v>
      </c>
    </row>
    <row r="275" spans="1:2" x14ac:dyDescent="0.25">
      <c r="A275" t="s">
        <v>94</v>
      </c>
      <c r="B275" t="s">
        <v>94</v>
      </c>
    </row>
    <row r="276" spans="1:2" x14ac:dyDescent="0.25">
      <c r="A276" t="s">
        <v>94</v>
      </c>
      <c r="B276" t="s">
        <v>94</v>
      </c>
    </row>
    <row r="277" spans="1:2" x14ac:dyDescent="0.25">
      <c r="A277" t="s">
        <v>94</v>
      </c>
      <c r="B277" t="s">
        <v>94</v>
      </c>
    </row>
    <row r="278" spans="1:2" x14ac:dyDescent="0.25">
      <c r="A278" t="s">
        <v>94</v>
      </c>
      <c r="B278" t="s">
        <v>94</v>
      </c>
    </row>
    <row r="279" spans="1:2" x14ac:dyDescent="0.25">
      <c r="A279" t="s">
        <v>94</v>
      </c>
      <c r="B279" t="s">
        <v>94</v>
      </c>
    </row>
    <row r="280" spans="1:2" x14ac:dyDescent="0.25">
      <c r="A280" t="s">
        <v>94</v>
      </c>
      <c r="B280" t="s">
        <v>94</v>
      </c>
    </row>
    <row r="281" spans="1:2" x14ac:dyDescent="0.25">
      <c r="A281" t="s">
        <v>94</v>
      </c>
      <c r="B281" t="s">
        <v>94</v>
      </c>
    </row>
    <row r="282" spans="1:2" x14ac:dyDescent="0.25">
      <c r="A282" t="s">
        <v>94</v>
      </c>
      <c r="B282" t="s">
        <v>94</v>
      </c>
    </row>
    <row r="283" spans="1:2" x14ac:dyDescent="0.25">
      <c r="A283" t="s">
        <v>94</v>
      </c>
      <c r="B283" t="s">
        <v>94</v>
      </c>
    </row>
    <row r="284" spans="1:2" x14ac:dyDescent="0.25">
      <c r="A284" t="s">
        <v>94</v>
      </c>
      <c r="B284" t="s">
        <v>94</v>
      </c>
    </row>
    <row r="285" spans="1:2" x14ac:dyDescent="0.25">
      <c r="A285" t="s">
        <v>94</v>
      </c>
      <c r="B285" t="s">
        <v>94</v>
      </c>
    </row>
    <row r="286" spans="1:2" x14ac:dyDescent="0.25">
      <c r="A286" t="s">
        <v>94</v>
      </c>
      <c r="B286" t="s">
        <v>94</v>
      </c>
    </row>
    <row r="287" spans="1:2" x14ac:dyDescent="0.25">
      <c r="A287" t="s">
        <v>94</v>
      </c>
      <c r="B287" t="s">
        <v>94</v>
      </c>
    </row>
    <row r="288" spans="1:2" x14ac:dyDescent="0.25">
      <c r="A288" t="s">
        <v>94</v>
      </c>
      <c r="B288" t="s">
        <v>94</v>
      </c>
    </row>
    <row r="289" spans="1:2" x14ac:dyDescent="0.25">
      <c r="A289" t="s">
        <v>94</v>
      </c>
      <c r="B289" t="s">
        <v>94</v>
      </c>
    </row>
    <row r="290" spans="1:2" x14ac:dyDescent="0.25">
      <c r="A290" t="s">
        <v>94</v>
      </c>
      <c r="B290" t="s">
        <v>94</v>
      </c>
    </row>
    <row r="291" spans="1:2" x14ac:dyDescent="0.25">
      <c r="A291" t="s">
        <v>94</v>
      </c>
      <c r="B291" t="s">
        <v>94</v>
      </c>
    </row>
    <row r="292" spans="1:2" x14ac:dyDescent="0.25">
      <c r="A292" t="s">
        <v>94</v>
      </c>
      <c r="B292" t="s">
        <v>94</v>
      </c>
    </row>
    <row r="293" spans="1:2" x14ac:dyDescent="0.25">
      <c r="A293" t="s">
        <v>94</v>
      </c>
      <c r="B293" t="s">
        <v>94</v>
      </c>
    </row>
    <row r="294" spans="1:2" x14ac:dyDescent="0.25">
      <c r="A294" t="s">
        <v>94</v>
      </c>
      <c r="B294" t="s">
        <v>94</v>
      </c>
    </row>
    <row r="295" spans="1:2" x14ac:dyDescent="0.25">
      <c r="A295" t="s">
        <v>94</v>
      </c>
      <c r="B295" t="s">
        <v>94</v>
      </c>
    </row>
    <row r="296" spans="1:2" x14ac:dyDescent="0.25">
      <c r="A296" t="s">
        <v>94</v>
      </c>
      <c r="B296" t="s">
        <v>94</v>
      </c>
    </row>
    <row r="297" spans="1:2" x14ac:dyDescent="0.25">
      <c r="A297" t="s">
        <v>94</v>
      </c>
      <c r="B297" t="s">
        <v>94</v>
      </c>
    </row>
    <row r="298" spans="1:2" x14ac:dyDescent="0.25">
      <c r="A298" t="s">
        <v>94</v>
      </c>
      <c r="B298" t="s">
        <v>94</v>
      </c>
    </row>
    <row r="299" spans="1:2" x14ac:dyDescent="0.25">
      <c r="A299" t="s">
        <v>94</v>
      </c>
      <c r="B299" t="s">
        <v>94</v>
      </c>
    </row>
    <row r="300" spans="1:2" x14ac:dyDescent="0.25">
      <c r="A300" t="s">
        <v>94</v>
      </c>
      <c r="B300" t="s">
        <v>94</v>
      </c>
    </row>
    <row r="301" spans="1:2" x14ac:dyDescent="0.25">
      <c r="A301" t="s">
        <v>94</v>
      </c>
      <c r="B301" t="s">
        <v>94</v>
      </c>
    </row>
    <row r="302" spans="1:2" x14ac:dyDescent="0.25">
      <c r="A302" t="s">
        <v>94</v>
      </c>
      <c r="B302" t="s">
        <v>94</v>
      </c>
    </row>
    <row r="303" spans="1:2" x14ac:dyDescent="0.25">
      <c r="A303" t="s">
        <v>94</v>
      </c>
      <c r="B303" t="s">
        <v>94</v>
      </c>
    </row>
    <row r="304" spans="1:2" x14ac:dyDescent="0.25">
      <c r="A304" t="s">
        <v>94</v>
      </c>
      <c r="B304" t="s">
        <v>94</v>
      </c>
    </row>
    <row r="305" spans="1:2" x14ac:dyDescent="0.25">
      <c r="A305" t="s">
        <v>94</v>
      </c>
      <c r="B305" t="s">
        <v>94</v>
      </c>
    </row>
    <row r="306" spans="1:2" x14ac:dyDescent="0.25">
      <c r="A306" t="s">
        <v>94</v>
      </c>
      <c r="B306" t="s">
        <v>94</v>
      </c>
    </row>
    <row r="307" spans="1:2" x14ac:dyDescent="0.25">
      <c r="A307" t="s">
        <v>94</v>
      </c>
      <c r="B307" t="s">
        <v>94</v>
      </c>
    </row>
    <row r="308" spans="1:2" x14ac:dyDescent="0.25">
      <c r="A308" t="s">
        <v>94</v>
      </c>
      <c r="B308" t="s">
        <v>94</v>
      </c>
    </row>
    <row r="309" spans="1:2" x14ac:dyDescent="0.25">
      <c r="A309" t="s">
        <v>94</v>
      </c>
      <c r="B309" t="s">
        <v>94</v>
      </c>
    </row>
    <row r="310" spans="1:2" x14ac:dyDescent="0.25">
      <c r="A310" t="s">
        <v>94</v>
      </c>
      <c r="B310" t="s">
        <v>94</v>
      </c>
    </row>
    <row r="311" spans="1:2" x14ac:dyDescent="0.25">
      <c r="A311" t="s">
        <v>94</v>
      </c>
      <c r="B311" t="s">
        <v>94</v>
      </c>
    </row>
    <row r="312" spans="1:2" x14ac:dyDescent="0.25">
      <c r="A312" t="s">
        <v>94</v>
      </c>
      <c r="B312" t="s">
        <v>94</v>
      </c>
    </row>
    <row r="313" spans="1:2" x14ac:dyDescent="0.25">
      <c r="A313" t="s">
        <v>94</v>
      </c>
      <c r="B313" t="s">
        <v>94</v>
      </c>
    </row>
    <row r="314" spans="1:2" x14ac:dyDescent="0.25">
      <c r="A314" t="s">
        <v>94</v>
      </c>
      <c r="B314" t="s">
        <v>94</v>
      </c>
    </row>
    <row r="315" spans="1:2" x14ac:dyDescent="0.25">
      <c r="A315" t="s">
        <v>94</v>
      </c>
      <c r="B315" t="s">
        <v>94</v>
      </c>
    </row>
    <row r="316" spans="1:2" x14ac:dyDescent="0.25">
      <c r="A316" t="s">
        <v>94</v>
      </c>
      <c r="B316" t="s">
        <v>94</v>
      </c>
    </row>
    <row r="317" spans="1:2" x14ac:dyDescent="0.25">
      <c r="A317" t="s">
        <v>94</v>
      </c>
      <c r="B317" t="s">
        <v>94</v>
      </c>
    </row>
    <row r="318" spans="1:2" x14ac:dyDescent="0.25">
      <c r="A318" t="s">
        <v>94</v>
      </c>
      <c r="B318" t="s">
        <v>94</v>
      </c>
    </row>
    <row r="319" spans="1:2" x14ac:dyDescent="0.25">
      <c r="A319" t="s">
        <v>94</v>
      </c>
      <c r="B319" t="s">
        <v>94</v>
      </c>
    </row>
    <row r="320" spans="1:2" x14ac:dyDescent="0.25">
      <c r="A320" t="s">
        <v>94</v>
      </c>
      <c r="B320" t="s">
        <v>94</v>
      </c>
    </row>
    <row r="321" spans="1:2" x14ac:dyDescent="0.25">
      <c r="A321" t="s">
        <v>94</v>
      </c>
      <c r="B321" t="s">
        <v>94</v>
      </c>
    </row>
    <row r="322" spans="1:2" x14ac:dyDescent="0.25">
      <c r="A322" t="s">
        <v>94</v>
      </c>
      <c r="B322" t="s">
        <v>94</v>
      </c>
    </row>
    <row r="323" spans="1:2" x14ac:dyDescent="0.25">
      <c r="A323" t="s">
        <v>94</v>
      </c>
      <c r="B323" t="s">
        <v>94</v>
      </c>
    </row>
    <row r="324" spans="1:2" x14ac:dyDescent="0.25">
      <c r="A324" t="s">
        <v>94</v>
      </c>
      <c r="B324" t="s">
        <v>94</v>
      </c>
    </row>
    <row r="325" spans="1:2" x14ac:dyDescent="0.25">
      <c r="A325" t="s">
        <v>94</v>
      </c>
      <c r="B325" t="s">
        <v>94</v>
      </c>
    </row>
    <row r="326" spans="1:2" x14ac:dyDescent="0.25">
      <c r="A326" t="s">
        <v>94</v>
      </c>
      <c r="B326" t="s">
        <v>94</v>
      </c>
    </row>
    <row r="327" spans="1:2" x14ac:dyDescent="0.25">
      <c r="A327" t="s">
        <v>94</v>
      </c>
      <c r="B327" t="s">
        <v>94</v>
      </c>
    </row>
    <row r="328" spans="1:2" x14ac:dyDescent="0.25">
      <c r="A328" t="s">
        <v>94</v>
      </c>
      <c r="B328" t="s">
        <v>94</v>
      </c>
    </row>
    <row r="329" spans="1:2" x14ac:dyDescent="0.25">
      <c r="A329" t="s">
        <v>94</v>
      </c>
      <c r="B329" t="s">
        <v>94</v>
      </c>
    </row>
    <row r="330" spans="1:2" x14ac:dyDescent="0.25">
      <c r="A330" t="s">
        <v>94</v>
      </c>
      <c r="B330" t="s">
        <v>94</v>
      </c>
    </row>
    <row r="331" spans="1:2" x14ac:dyDescent="0.25">
      <c r="A331" t="s">
        <v>94</v>
      </c>
      <c r="B331" t="s">
        <v>94</v>
      </c>
    </row>
    <row r="332" spans="1:2" x14ac:dyDescent="0.25">
      <c r="A332" t="s">
        <v>94</v>
      </c>
      <c r="B332" t="s">
        <v>94</v>
      </c>
    </row>
    <row r="333" spans="1:2" x14ac:dyDescent="0.25">
      <c r="A333" t="s">
        <v>94</v>
      </c>
      <c r="B333" t="s">
        <v>94</v>
      </c>
    </row>
    <row r="334" spans="1:2" x14ac:dyDescent="0.25">
      <c r="A334" t="s">
        <v>94</v>
      </c>
      <c r="B334" t="s">
        <v>94</v>
      </c>
    </row>
    <row r="335" spans="1:2" x14ac:dyDescent="0.25">
      <c r="A335" t="s">
        <v>94</v>
      </c>
      <c r="B335" t="s">
        <v>94</v>
      </c>
    </row>
    <row r="336" spans="1:2" x14ac:dyDescent="0.25">
      <c r="A336" t="s">
        <v>94</v>
      </c>
      <c r="B336" t="s">
        <v>94</v>
      </c>
    </row>
    <row r="337" spans="1:2" x14ac:dyDescent="0.25">
      <c r="A337" t="s">
        <v>94</v>
      </c>
      <c r="B337" t="s">
        <v>94</v>
      </c>
    </row>
    <row r="338" spans="1:2" x14ac:dyDescent="0.25">
      <c r="A338" t="s">
        <v>94</v>
      </c>
      <c r="B338" t="s">
        <v>94</v>
      </c>
    </row>
    <row r="339" spans="1:2" x14ac:dyDescent="0.25">
      <c r="A339" t="s">
        <v>94</v>
      </c>
      <c r="B339" t="s">
        <v>94</v>
      </c>
    </row>
    <row r="340" spans="1:2" x14ac:dyDescent="0.25">
      <c r="A340" t="s">
        <v>94</v>
      </c>
      <c r="B340" t="s">
        <v>94</v>
      </c>
    </row>
    <row r="341" spans="1:2" x14ac:dyDescent="0.25">
      <c r="A341" t="s">
        <v>94</v>
      </c>
      <c r="B341" t="s">
        <v>94</v>
      </c>
    </row>
    <row r="342" spans="1:2" x14ac:dyDescent="0.25">
      <c r="A342" t="s">
        <v>94</v>
      </c>
      <c r="B342" t="s">
        <v>94</v>
      </c>
    </row>
    <row r="343" spans="1:2" x14ac:dyDescent="0.25">
      <c r="A343" t="s">
        <v>94</v>
      </c>
      <c r="B343" t="s">
        <v>94</v>
      </c>
    </row>
    <row r="344" spans="1:2" x14ac:dyDescent="0.25">
      <c r="A344" t="s">
        <v>94</v>
      </c>
      <c r="B344" t="s">
        <v>94</v>
      </c>
    </row>
    <row r="345" spans="1:2" x14ac:dyDescent="0.25">
      <c r="A345" t="s">
        <v>94</v>
      </c>
      <c r="B345" t="s">
        <v>94</v>
      </c>
    </row>
    <row r="346" spans="1:2" x14ac:dyDescent="0.25">
      <c r="A346" t="s">
        <v>94</v>
      </c>
      <c r="B346" t="s">
        <v>94</v>
      </c>
    </row>
    <row r="347" spans="1:2" x14ac:dyDescent="0.25">
      <c r="A347" t="s">
        <v>94</v>
      </c>
      <c r="B347" t="s">
        <v>94</v>
      </c>
    </row>
    <row r="348" spans="1:2" x14ac:dyDescent="0.25">
      <c r="A348" t="s">
        <v>94</v>
      </c>
      <c r="B348" t="s">
        <v>94</v>
      </c>
    </row>
    <row r="349" spans="1:2" x14ac:dyDescent="0.25">
      <c r="A349" t="s">
        <v>94</v>
      </c>
      <c r="B349" t="s">
        <v>94</v>
      </c>
    </row>
    <row r="350" spans="1:2" x14ac:dyDescent="0.25">
      <c r="A350" t="s">
        <v>94</v>
      </c>
      <c r="B350" t="s">
        <v>94</v>
      </c>
    </row>
    <row r="351" spans="1:2" x14ac:dyDescent="0.25">
      <c r="A351" t="s">
        <v>94</v>
      </c>
      <c r="B351" t="s">
        <v>94</v>
      </c>
    </row>
    <row r="352" spans="1:2" x14ac:dyDescent="0.25">
      <c r="A352" t="s">
        <v>94</v>
      </c>
      <c r="B352" t="s">
        <v>94</v>
      </c>
    </row>
    <row r="353" spans="1:2" x14ac:dyDescent="0.25">
      <c r="A353" t="s">
        <v>94</v>
      </c>
      <c r="B353" t="s">
        <v>94</v>
      </c>
    </row>
    <row r="354" spans="1:2" x14ac:dyDescent="0.25">
      <c r="A354" t="s">
        <v>94</v>
      </c>
      <c r="B354" t="s">
        <v>94</v>
      </c>
    </row>
    <row r="355" spans="1:2" x14ac:dyDescent="0.25">
      <c r="A355" t="s">
        <v>94</v>
      </c>
      <c r="B355" t="s">
        <v>94</v>
      </c>
    </row>
    <row r="356" spans="1:2" x14ac:dyDescent="0.25">
      <c r="A356" t="s">
        <v>94</v>
      </c>
      <c r="B356" t="s">
        <v>94</v>
      </c>
    </row>
    <row r="357" spans="1:2" x14ac:dyDescent="0.25">
      <c r="A357" t="s">
        <v>94</v>
      </c>
      <c r="B357" t="s">
        <v>94</v>
      </c>
    </row>
    <row r="358" spans="1:2" x14ac:dyDescent="0.25">
      <c r="A358" t="s">
        <v>94</v>
      </c>
      <c r="B358" t="s">
        <v>94</v>
      </c>
    </row>
    <row r="359" spans="1:2" x14ac:dyDescent="0.25">
      <c r="A359" t="s">
        <v>94</v>
      </c>
      <c r="B359" t="s">
        <v>94</v>
      </c>
    </row>
    <row r="360" spans="1:2" x14ac:dyDescent="0.25">
      <c r="A360" t="s">
        <v>94</v>
      </c>
      <c r="B360" t="s">
        <v>94</v>
      </c>
    </row>
    <row r="361" spans="1:2" x14ac:dyDescent="0.25">
      <c r="A361" t="s">
        <v>94</v>
      </c>
      <c r="B361" t="s">
        <v>94</v>
      </c>
    </row>
    <row r="362" spans="1:2" x14ac:dyDescent="0.25">
      <c r="A362" t="s">
        <v>94</v>
      </c>
      <c r="B362" t="s">
        <v>94</v>
      </c>
    </row>
    <row r="363" spans="1:2" x14ac:dyDescent="0.25">
      <c r="A363" t="s">
        <v>94</v>
      </c>
      <c r="B363" t="s">
        <v>94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C000"/>
  </sheetPr>
  <dimension ref="A1:M82"/>
  <sheetViews>
    <sheetView zoomScaleNormal="100" workbookViewId="0">
      <selection activeCell="L10" sqref="L10"/>
    </sheetView>
  </sheetViews>
  <sheetFormatPr defaultRowHeight="15" x14ac:dyDescent="0.25"/>
  <cols>
    <col min="1" max="1" width="30.7109375" customWidth="1"/>
    <col min="2" max="2" width="40.7109375" customWidth="1"/>
    <col min="3" max="6" width="12.7109375" customWidth="1"/>
    <col min="11" max="11" width="17.42578125" customWidth="1"/>
    <col min="12" max="12" width="30.140625" customWidth="1"/>
  </cols>
  <sheetData>
    <row r="1" spans="1:13" ht="26.25" customHeight="1" x14ac:dyDescent="0.25">
      <c r="A1" s="139" t="s">
        <v>95</v>
      </c>
      <c r="B1" s="139"/>
      <c r="C1" s="139"/>
      <c r="D1" s="139"/>
      <c r="E1" s="139"/>
      <c r="F1" s="139"/>
      <c r="G1" s="66"/>
      <c r="H1" s="66"/>
      <c r="I1" s="66"/>
      <c r="J1" s="66"/>
      <c r="K1" s="140" t="s">
        <v>96</v>
      </c>
      <c r="L1" s="140"/>
      <c r="M1" s="66"/>
    </row>
    <row r="2" spans="1:13" ht="15" customHeight="1" x14ac:dyDescent="0.25">
      <c r="A2" s="139"/>
      <c r="B2" s="139"/>
      <c r="C2" s="139"/>
      <c r="D2" s="139"/>
      <c r="E2" s="139"/>
      <c r="F2" s="139"/>
      <c r="G2" s="64"/>
      <c r="H2" s="64"/>
      <c r="I2" s="64"/>
      <c r="J2" s="64"/>
      <c r="K2" s="140"/>
      <c r="L2" s="140"/>
      <c r="M2" s="64"/>
    </row>
    <row r="3" spans="1:13" ht="15.95" customHeight="1" x14ac:dyDescent="0.25">
      <c r="A3" s="65" t="s">
        <v>97</v>
      </c>
      <c r="B3" s="65" t="s">
        <v>98</v>
      </c>
      <c r="C3" s="65" t="s">
        <v>99</v>
      </c>
      <c r="D3" s="65" t="s">
        <v>100</v>
      </c>
      <c r="E3" s="65" t="s">
        <v>101</v>
      </c>
      <c r="F3" s="65" t="s">
        <v>102</v>
      </c>
      <c r="G3" s="64"/>
      <c r="H3" s="64"/>
      <c r="I3" s="64"/>
      <c r="J3" s="64"/>
      <c r="K3" s="87" t="s">
        <v>103</v>
      </c>
      <c r="L3" s="87" t="s">
        <v>104</v>
      </c>
      <c r="M3" s="64"/>
    </row>
    <row r="4" spans="1:13" ht="15.95" customHeight="1" x14ac:dyDescent="0.25">
      <c r="A4" s="56" t="s">
        <v>105</v>
      </c>
      <c r="B4" s="56" t="s">
        <v>106</v>
      </c>
      <c r="C4" s="86" t="s">
        <v>107</v>
      </c>
      <c r="D4" s="86"/>
      <c r="E4" s="86"/>
      <c r="F4" s="88"/>
      <c r="G4" s="64"/>
      <c r="H4" s="64" t="s">
        <v>108</v>
      </c>
      <c r="I4" s="64"/>
      <c r="J4" s="64"/>
      <c r="K4" t="s">
        <v>124</v>
      </c>
      <c r="L4" t="s">
        <v>23</v>
      </c>
      <c r="M4" s="64"/>
    </row>
    <row r="5" spans="1:13" ht="15.95" customHeight="1" x14ac:dyDescent="0.25">
      <c r="A5" t="s">
        <v>105</v>
      </c>
      <c r="B5" t="s">
        <v>110</v>
      </c>
      <c r="C5" s="65" t="s">
        <v>111</v>
      </c>
      <c r="D5" s="65"/>
      <c r="E5" s="65"/>
      <c r="F5" s="87"/>
      <c r="G5" s="64"/>
      <c r="H5" s="64"/>
      <c r="I5" s="64"/>
      <c r="J5" s="64"/>
      <c r="K5" t="s">
        <v>124</v>
      </c>
      <c r="L5" t="s">
        <v>215</v>
      </c>
      <c r="M5" s="64"/>
    </row>
    <row r="6" spans="1:13" ht="15.95" customHeight="1" x14ac:dyDescent="0.25">
      <c r="A6" t="s">
        <v>105</v>
      </c>
      <c r="B6" t="s">
        <v>112</v>
      </c>
      <c r="C6" s="65" t="s">
        <v>113</v>
      </c>
      <c r="D6" s="65"/>
      <c r="E6" s="65"/>
      <c r="F6" s="87"/>
      <c r="G6" s="64"/>
      <c r="H6" s="64"/>
      <c r="I6" s="64"/>
      <c r="J6" s="64"/>
      <c r="K6" t="s">
        <v>114</v>
      </c>
      <c r="L6" t="s">
        <v>23</v>
      </c>
      <c r="M6" s="64"/>
    </row>
    <row r="7" spans="1:13" ht="15.95" customHeight="1" x14ac:dyDescent="0.25">
      <c r="A7" t="s">
        <v>105</v>
      </c>
      <c r="B7" t="s">
        <v>115</v>
      </c>
      <c r="C7" s="65" t="s">
        <v>116</v>
      </c>
      <c r="D7" s="65"/>
      <c r="E7" s="65"/>
      <c r="F7" s="87"/>
      <c r="G7" s="64"/>
      <c r="H7" s="64"/>
      <c r="I7" s="64"/>
      <c r="J7" s="64"/>
      <c r="K7" t="s">
        <v>114</v>
      </c>
      <c r="L7" t="s">
        <v>215</v>
      </c>
      <c r="M7" s="64"/>
    </row>
    <row r="8" spans="1:13" ht="15.95" customHeight="1" x14ac:dyDescent="0.25">
      <c r="A8" t="s">
        <v>105</v>
      </c>
      <c r="B8" t="s">
        <v>117</v>
      </c>
      <c r="C8" s="65" t="s">
        <v>118</v>
      </c>
      <c r="D8" s="65"/>
      <c r="E8" s="65"/>
      <c r="F8" s="87"/>
      <c r="G8" s="64"/>
      <c r="H8" s="64"/>
      <c r="I8" s="64"/>
      <c r="J8" s="64"/>
      <c r="K8" t="s">
        <v>109</v>
      </c>
      <c r="L8" t="s">
        <v>246</v>
      </c>
      <c r="M8" s="64"/>
    </row>
    <row r="9" spans="1:13" ht="15.95" customHeight="1" x14ac:dyDescent="0.25">
      <c r="A9" t="s">
        <v>105</v>
      </c>
      <c r="B9" t="s">
        <v>119</v>
      </c>
      <c r="C9" s="65" t="s">
        <v>120</v>
      </c>
      <c r="D9" s="65"/>
      <c r="E9" s="65"/>
      <c r="F9" s="87"/>
      <c r="G9" s="64"/>
      <c r="H9" s="64"/>
      <c r="I9" s="64"/>
      <c r="J9" s="64"/>
      <c r="K9" t="s">
        <v>109</v>
      </c>
      <c r="L9" t="s">
        <v>247</v>
      </c>
      <c r="M9" s="64"/>
    </row>
    <row r="10" spans="1:13" ht="15.95" customHeight="1" x14ac:dyDescent="0.25">
      <c r="A10" t="s">
        <v>105</v>
      </c>
      <c r="B10" t="s">
        <v>121</v>
      </c>
      <c r="C10" s="65" t="s">
        <v>122</v>
      </c>
      <c r="D10" s="65"/>
      <c r="E10" s="65"/>
      <c r="F10" s="87"/>
      <c r="G10" s="64"/>
      <c r="H10" s="64" t="s">
        <v>123</v>
      </c>
      <c r="I10" s="64"/>
      <c r="J10" s="64"/>
      <c r="K10" t="s">
        <v>109</v>
      </c>
      <c r="L10" t="s">
        <v>222</v>
      </c>
      <c r="M10" s="64"/>
    </row>
    <row r="11" spans="1:13" ht="15.95" customHeight="1" x14ac:dyDescent="0.25">
      <c r="A11" t="s">
        <v>105</v>
      </c>
      <c r="B11" t="s">
        <v>125</v>
      </c>
      <c r="C11" s="65" t="s">
        <v>126</v>
      </c>
      <c r="D11" s="65"/>
      <c r="E11" s="65"/>
      <c r="F11" s="87"/>
      <c r="G11" s="64"/>
      <c r="H11" s="64"/>
      <c r="I11" s="64"/>
      <c r="J11" s="64"/>
      <c r="M11" s="64"/>
    </row>
    <row r="12" spans="1:13" ht="15.95" customHeight="1" x14ac:dyDescent="0.25">
      <c r="A12" t="s">
        <v>105</v>
      </c>
      <c r="B12" t="s">
        <v>127</v>
      </c>
      <c r="C12" s="65" t="s">
        <v>128</v>
      </c>
      <c r="D12" s="65"/>
      <c r="E12" s="65"/>
      <c r="F12" s="87"/>
      <c r="G12" s="64"/>
      <c r="H12" s="64"/>
      <c r="I12" s="64"/>
      <c r="J12" s="64"/>
      <c r="M12" s="64"/>
    </row>
    <row r="13" spans="1:13" ht="15.95" customHeight="1" x14ac:dyDescent="0.25">
      <c r="A13" t="s">
        <v>105</v>
      </c>
      <c r="B13" t="s">
        <v>129</v>
      </c>
      <c r="C13" s="65" t="s">
        <v>130</v>
      </c>
      <c r="D13" s="65"/>
      <c r="E13" s="65"/>
      <c r="F13" s="87"/>
      <c r="G13" s="64"/>
      <c r="H13" s="64"/>
      <c r="I13" s="64"/>
      <c r="J13" s="64"/>
      <c r="M13" s="64"/>
    </row>
    <row r="14" spans="1:13" ht="15.95" customHeight="1" x14ac:dyDescent="0.25">
      <c r="A14" t="s">
        <v>105</v>
      </c>
      <c r="B14" t="s">
        <v>131</v>
      </c>
      <c r="C14" s="65" t="s">
        <v>132</v>
      </c>
      <c r="D14" s="65"/>
      <c r="E14" s="65"/>
      <c r="F14" s="87"/>
      <c r="G14" s="64"/>
      <c r="H14" s="64"/>
      <c r="I14" s="64"/>
      <c r="J14" s="64"/>
      <c r="M14" s="64"/>
    </row>
    <row r="15" spans="1:13" ht="15.95" customHeight="1" x14ac:dyDescent="0.25">
      <c r="A15" t="s">
        <v>105</v>
      </c>
      <c r="B15" t="s">
        <v>133</v>
      </c>
      <c r="C15" s="65" t="s">
        <v>134</v>
      </c>
      <c r="D15" s="87"/>
      <c r="E15" s="87"/>
      <c r="F15" s="87"/>
      <c r="G15" s="64"/>
      <c r="H15" s="64"/>
      <c r="I15" s="64"/>
      <c r="J15" s="64"/>
      <c r="M15" s="64"/>
    </row>
    <row r="16" spans="1:13" ht="15.95" customHeight="1" x14ac:dyDescent="0.25">
      <c r="A16" t="s">
        <v>105</v>
      </c>
      <c r="B16" t="s">
        <v>135</v>
      </c>
      <c r="C16" s="65" t="s">
        <v>136</v>
      </c>
      <c r="D16" s="87"/>
      <c r="E16" s="87"/>
      <c r="F16" s="87"/>
      <c r="G16" s="64"/>
      <c r="H16" s="64"/>
      <c r="I16" s="64"/>
      <c r="J16" s="64"/>
      <c r="K16" s="64"/>
      <c r="L16" s="64"/>
      <c r="M16" s="64"/>
    </row>
    <row r="17" spans="1:13" ht="15.95" customHeight="1" x14ac:dyDescent="0.25">
      <c r="A17" t="s">
        <v>105</v>
      </c>
      <c r="B17" t="s">
        <v>137</v>
      </c>
      <c r="C17" s="65" t="s">
        <v>138</v>
      </c>
      <c r="D17" s="87"/>
      <c r="E17" s="87"/>
      <c r="F17" s="87"/>
      <c r="G17" s="64"/>
      <c r="H17" s="64"/>
      <c r="I17" s="64"/>
      <c r="J17" s="64"/>
      <c r="K17" s="64"/>
      <c r="L17" s="64"/>
      <c r="M17" s="64"/>
    </row>
    <row r="18" spans="1:13" ht="15.95" customHeight="1" x14ac:dyDescent="0.25">
      <c r="A18" s="56" t="s">
        <v>139</v>
      </c>
      <c r="B18" s="56" t="s">
        <v>140</v>
      </c>
      <c r="C18" s="86" t="s">
        <v>107</v>
      </c>
      <c r="D18" s="86"/>
      <c r="E18" s="86"/>
      <c r="F18" s="88"/>
      <c r="G18" s="64"/>
      <c r="H18" s="64"/>
      <c r="I18" s="64"/>
      <c r="J18" s="64"/>
      <c r="K18" s="64"/>
      <c r="L18" s="64"/>
      <c r="M18" s="64"/>
    </row>
    <row r="19" spans="1:13" ht="15.95" customHeight="1" x14ac:dyDescent="0.25">
      <c r="A19" t="s">
        <v>139</v>
      </c>
      <c r="B19" t="str">
        <f>tblIndexPowerpoint7[[#This Row],[Content 1]]&amp;" "&amp;tblIndexPowerpoint7[[#This Row],[Content 2]]&amp;" "&amp;tblIndexPowerpoint7[[#This Row],[Content 3]]&amp;" "&amp;tblIndexPowerpoint7[[#This Row],[Layout]]</f>
        <v>PP_01 PP_02  Vertical</v>
      </c>
      <c r="C19" s="65" t="s">
        <v>107</v>
      </c>
      <c r="D19" s="65" t="s">
        <v>111</v>
      </c>
      <c r="E19" s="65"/>
      <c r="F19" s="87" t="s">
        <v>141</v>
      </c>
      <c r="G19" s="64"/>
      <c r="H19" s="64"/>
      <c r="I19" s="64"/>
      <c r="J19" s="64"/>
      <c r="K19" s="64"/>
      <c r="L19" s="64"/>
      <c r="M19" s="64"/>
    </row>
    <row r="20" spans="1:13" ht="15.95" customHeight="1" x14ac:dyDescent="0.25">
      <c r="A20" t="s">
        <v>139</v>
      </c>
      <c r="B20" t="str">
        <f>tblIndexPowerpoint7[[#This Row],[Content 1]]&amp;" "&amp;tblIndexPowerpoint7[[#This Row],[Content 2]]&amp;" "&amp;tblIndexPowerpoint7[[#This Row],[Content 3]]&amp;" "&amp;tblIndexPowerpoint7[[#This Row],[Layout]]</f>
        <v>PP_02 PP_03  Vertical</v>
      </c>
      <c r="C20" s="65" t="s">
        <v>111</v>
      </c>
      <c r="D20" s="65" t="s">
        <v>113</v>
      </c>
      <c r="E20" s="65"/>
      <c r="F20" s="87" t="s">
        <v>141</v>
      </c>
      <c r="G20" s="64"/>
      <c r="H20" s="64"/>
      <c r="I20" s="64"/>
      <c r="J20" s="64"/>
      <c r="K20" s="64"/>
      <c r="L20" s="64"/>
      <c r="M20" s="64"/>
    </row>
    <row r="21" spans="1:13" ht="15.95" customHeight="1" x14ac:dyDescent="0.25">
      <c r="A21" t="s">
        <v>139</v>
      </c>
      <c r="B21" t="str">
        <f>tblIndexPowerpoint7[[#This Row],[Content 1]]&amp;" "&amp;tblIndexPowerpoint7[[#This Row],[Content 2]]&amp;" "&amp;tblIndexPowerpoint7[[#This Row],[Content 3]]&amp;" "&amp;tblIndexPowerpoint7[[#This Row],[Layout]]</f>
        <v>PP_03 PP_04  Vertical</v>
      </c>
      <c r="C21" s="65" t="s">
        <v>113</v>
      </c>
      <c r="D21" s="65" t="s">
        <v>116</v>
      </c>
      <c r="E21" s="65"/>
      <c r="F21" s="87" t="s">
        <v>141</v>
      </c>
      <c r="G21" s="64"/>
      <c r="H21" s="64"/>
      <c r="I21" s="64"/>
      <c r="J21" s="64"/>
      <c r="K21" s="64"/>
      <c r="L21" s="64"/>
      <c r="M21" s="64"/>
    </row>
    <row r="22" spans="1:13" ht="15.95" customHeight="1" x14ac:dyDescent="0.25">
      <c r="A22" t="s">
        <v>139</v>
      </c>
      <c r="B22" t="str">
        <f>tblIndexPowerpoint7[[#This Row],[Content 1]]&amp;" "&amp;tblIndexPowerpoint7[[#This Row],[Content 2]]&amp;" "&amp;tblIndexPowerpoint7[[#This Row],[Content 3]]&amp;" "&amp;tblIndexPowerpoint7[[#This Row],[Layout]]</f>
        <v>PP_05 PP_06  Vertical</v>
      </c>
      <c r="C22" s="65" t="s">
        <v>118</v>
      </c>
      <c r="D22" s="65" t="s">
        <v>120</v>
      </c>
      <c r="E22" s="65"/>
      <c r="F22" s="87" t="s">
        <v>141</v>
      </c>
      <c r="G22" s="64"/>
      <c r="H22" s="64"/>
      <c r="I22" s="64"/>
      <c r="J22" s="64"/>
      <c r="K22" s="64"/>
      <c r="L22" s="64"/>
      <c r="M22" s="64"/>
    </row>
    <row r="23" spans="1:13" ht="15.95" customHeight="1" x14ac:dyDescent="0.25">
      <c r="A23" t="s">
        <v>139</v>
      </c>
      <c r="B23" t="str">
        <f>tblIndexPowerpoint7[[#This Row],[Content 1]]&amp;" "&amp;tblIndexPowerpoint7[[#This Row],[Content 2]]&amp;" "&amp;tblIndexPowerpoint7[[#This Row],[Content 3]]&amp;" "&amp;tblIndexPowerpoint7[[#This Row],[Layout]]</f>
        <v>PP_06 PP_07  Vertical</v>
      </c>
      <c r="C23" s="65" t="s">
        <v>120</v>
      </c>
      <c r="D23" s="65" t="s">
        <v>122</v>
      </c>
      <c r="E23" s="87"/>
      <c r="F23" s="87" t="s">
        <v>141</v>
      </c>
      <c r="G23" s="64"/>
      <c r="H23" s="64"/>
      <c r="I23" s="64"/>
      <c r="J23" s="64"/>
      <c r="K23" s="64"/>
      <c r="L23" s="64"/>
      <c r="M23" s="64"/>
    </row>
    <row r="24" spans="1:13" ht="15.95" customHeight="1" x14ac:dyDescent="0.25">
      <c r="A24" t="s">
        <v>139</v>
      </c>
      <c r="B24" t="str">
        <f>tblIndexPowerpoint7[[#This Row],[Content 1]]&amp;" "&amp;tblIndexPowerpoint7[[#This Row],[Content 2]]&amp;" "&amp;tblIndexPowerpoint7[[#This Row],[Content 3]]&amp;" "&amp;tblIndexPowerpoint7[[#This Row],[Layout]]</f>
        <v>PP_01 PP_02  Horizontal</v>
      </c>
      <c r="C24" s="65" t="s">
        <v>107</v>
      </c>
      <c r="D24" s="65" t="s">
        <v>111</v>
      </c>
      <c r="E24" s="87"/>
      <c r="F24" s="87" t="s">
        <v>142</v>
      </c>
      <c r="G24" s="64"/>
      <c r="H24" s="64"/>
      <c r="I24" s="64"/>
      <c r="J24" s="64"/>
      <c r="K24" s="64"/>
      <c r="L24" s="64"/>
      <c r="M24" s="64"/>
    </row>
    <row r="25" spans="1:13" ht="15.95" customHeight="1" x14ac:dyDescent="0.25">
      <c r="A25" t="s">
        <v>139</v>
      </c>
      <c r="B25" t="str">
        <f>tblIndexPowerpoint7[[#This Row],[Content 1]]&amp;" "&amp;tblIndexPowerpoint7[[#This Row],[Content 2]]&amp;" "&amp;tblIndexPowerpoint7[[#This Row],[Content 3]]&amp;" "&amp;tblIndexPowerpoint7[[#This Row],[Layout]]</f>
        <v>PP_02 PP_03  Horizontal</v>
      </c>
      <c r="C25" s="65" t="s">
        <v>111</v>
      </c>
      <c r="D25" s="65" t="s">
        <v>113</v>
      </c>
      <c r="E25" s="87"/>
      <c r="F25" s="87" t="s">
        <v>142</v>
      </c>
      <c r="G25" s="64"/>
      <c r="H25" s="64"/>
      <c r="I25" s="64"/>
      <c r="J25" s="64"/>
      <c r="K25" s="64"/>
      <c r="L25" s="64"/>
      <c r="M25" s="64"/>
    </row>
    <row r="26" spans="1:13" ht="15.95" customHeight="1" x14ac:dyDescent="0.25">
      <c r="A26" t="s">
        <v>139</v>
      </c>
      <c r="B26" t="str">
        <f>tblIndexPowerpoint7[[#This Row],[Content 1]]&amp;" "&amp;tblIndexPowerpoint7[[#This Row],[Content 2]]&amp;" "&amp;tblIndexPowerpoint7[[#This Row],[Content 3]]&amp;" "&amp;tblIndexPowerpoint7[[#This Row],[Layout]]</f>
        <v>PP_03 PP_04  Horizontal</v>
      </c>
      <c r="C26" s="65" t="s">
        <v>113</v>
      </c>
      <c r="D26" s="65" t="s">
        <v>116</v>
      </c>
      <c r="E26" s="87"/>
      <c r="F26" s="87" t="s">
        <v>142</v>
      </c>
      <c r="G26" s="64"/>
      <c r="H26" s="64"/>
      <c r="I26" s="64"/>
      <c r="J26" s="64"/>
      <c r="K26" s="64"/>
      <c r="L26" s="64"/>
      <c r="M26" s="64"/>
    </row>
    <row r="27" spans="1:13" ht="15.95" customHeight="1" x14ac:dyDescent="0.25">
      <c r="A27" t="s">
        <v>139</v>
      </c>
      <c r="B27" t="str">
        <f>tblIndexPowerpoint7[[#This Row],[Content 1]]&amp;" "&amp;tblIndexPowerpoint7[[#This Row],[Content 2]]&amp;" "&amp;tblIndexPowerpoint7[[#This Row],[Content 3]]&amp;" "&amp;tblIndexPowerpoint7[[#This Row],[Layout]]</f>
        <v>PP_05 PP_06  Horizontal</v>
      </c>
      <c r="C27" s="65" t="s">
        <v>118</v>
      </c>
      <c r="D27" s="65" t="s">
        <v>120</v>
      </c>
      <c r="E27" s="87"/>
      <c r="F27" s="87" t="s">
        <v>142</v>
      </c>
      <c r="G27" s="64"/>
      <c r="H27" s="64"/>
      <c r="I27" s="64"/>
      <c r="J27" s="64"/>
      <c r="K27" s="64"/>
      <c r="L27" s="64"/>
      <c r="M27" s="64"/>
    </row>
    <row r="28" spans="1:13" ht="15.95" customHeight="1" x14ac:dyDescent="0.25">
      <c r="A28" t="s">
        <v>139</v>
      </c>
      <c r="B28" t="str">
        <f>tblIndexPowerpoint7[[#This Row],[Content 1]]&amp;" "&amp;tblIndexPowerpoint7[[#This Row],[Content 2]]&amp;" "&amp;tblIndexPowerpoint7[[#This Row],[Content 3]]&amp;" "&amp;tblIndexPowerpoint7[[#This Row],[Layout]]</f>
        <v>PP_17   Horizontal</v>
      </c>
      <c r="C28" s="65" t="s">
        <v>187</v>
      </c>
      <c r="D28" s="65"/>
      <c r="E28" s="87"/>
      <c r="F28" s="87" t="s">
        <v>142</v>
      </c>
      <c r="G28" s="64"/>
      <c r="H28" s="64"/>
      <c r="I28" s="64"/>
      <c r="J28" s="64"/>
      <c r="K28" s="64"/>
      <c r="L28" s="64"/>
      <c r="M28" s="64"/>
    </row>
    <row r="29" spans="1:13" ht="15.95" customHeight="1" x14ac:dyDescent="0.25">
      <c r="A29" t="s">
        <v>139</v>
      </c>
      <c r="B29" t="str">
        <f>tblIndexPowerpoint7[[#This Row],[Content 1]]&amp;" "&amp;tblIndexPowerpoint7[[#This Row],[Content 2]]&amp;" "&amp;tblIndexPowerpoint7[[#This Row],[Content 3]]&amp;" "&amp;tblIndexPowerpoint7[[#This Row],[Layout]]</f>
        <v>PP_01 PP_02 PP_03 Vertical</v>
      </c>
      <c r="C29" s="65" t="s">
        <v>107</v>
      </c>
      <c r="D29" s="65" t="s">
        <v>111</v>
      </c>
      <c r="E29" s="65" t="s">
        <v>113</v>
      </c>
      <c r="F29" s="87" t="s">
        <v>141</v>
      </c>
      <c r="G29" s="64"/>
      <c r="H29" s="64"/>
      <c r="I29" s="64"/>
      <c r="J29" s="64"/>
      <c r="K29" s="64"/>
      <c r="L29" s="64"/>
      <c r="M29" s="64"/>
    </row>
    <row r="30" spans="1:13" ht="15.95" customHeight="1" x14ac:dyDescent="0.25">
      <c r="A30" t="s">
        <v>139</v>
      </c>
      <c r="B30" t="str">
        <f>tblIndexPowerpoint7[[#This Row],[Content 1]]&amp;" "&amp;tblIndexPowerpoint7[[#This Row],[Content 2]]&amp;" "&amp;tblIndexPowerpoint7[[#This Row],[Content 3]]&amp;" "&amp;tblIndexPowerpoint7[[#This Row],[Layout]]</f>
        <v>PP_04 PP_05 PP_06 Vertical</v>
      </c>
      <c r="C30" s="65" t="s">
        <v>116</v>
      </c>
      <c r="D30" s="65" t="s">
        <v>118</v>
      </c>
      <c r="E30" s="65" t="s">
        <v>120</v>
      </c>
      <c r="F30" s="87" t="s">
        <v>141</v>
      </c>
      <c r="G30" s="64"/>
      <c r="H30" s="64"/>
      <c r="I30" s="64"/>
      <c r="J30" s="64"/>
      <c r="K30" s="64"/>
      <c r="L30" s="64"/>
      <c r="M30" s="64"/>
    </row>
    <row r="31" spans="1:13" ht="15.95" customHeight="1" x14ac:dyDescent="0.25">
      <c r="A31" t="s">
        <v>139</v>
      </c>
      <c r="B31" t="str">
        <f>tblIndexPowerpoint7[[#This Row],[Content 1]]&amp;" "&amp;tblIndexPowerpoint7[[#This Row],[Content 2]]&amp;" "&amp;tblIndexPowerpoint7[[#This Row],[Content 3]]&amp;" "&amp;tblIndexPowerpoint7[[#This Row],[Layout]]</f>
        <v>PP_01 PP_02 PP_03 Horizontal</v>
      </c>
      <c r="C31" s="65" t="s">
        <v>107</v>
      </c>
      <c r="D31" s="65" t="s">
        <v>111</v>
      </c>
      <c r="E31" s="65" t="s">
        <v>113</v>
      </c>
      <c r="F31" s="87" t="s">
        <v>142</v>
      </c>
      <c r="G31" s="64"/>
      <c r="H31" s="64"/>
      <c r="I31" s="64"/>
      <c r="J31" s="64"/>
      <c r="K31" s="64"/>
      <c r="L31" s="64"/>
      <c r="M31" s="64"/>
    </row>
    <row r="32" spans="1:13" ht="15.95" customHeight="1" x14ac:dyDescent="0.25">
      <c r="A32" t="s">
        <v>139</v>
      </c>
      <c r="B32" t="str">
        <f>tblIndexPowerpoint7[[#This Row],[Content 1]]&amp;" "&amp;tblIndexPowerpoint7[[#This Row],[Content 2]]&amp;" "&amp;tblIndexPowerpoint7[[#This Row],[Content 3]]&amp;" "&amp;tblIndexPowerpoint7[[#This Row],[Layout]]</f>
        <v>PP_04 PP_05 PP_06 Horizontal</v>
      </c>
      <c r="C32" s="65" t="s">
        <v>116</v>
      </c>
      <c r="D32" s="65" t="s">
        <v>118</v>
      </c>
      <c r="E32" s="65" t="s">
        <v>120</v>
      </c>
      <c r="F32" s="87" t="s">
        <v>142</v>
      </c>
      <c r="G32" s="64"/>
      <c r="H32" s="64"/>
      <c r="I32" s="64"/>
      <c r="J32" s="64"/>
      <c r="K32" s="64"/>
      <c r="L32" s="64"/>
      <c r="M32" s="64"/>
    </row>
    <row r="33" spans="1:13" ht="15.95" customHeight="1" x14ac:dyDescent="0.25">
      <c r="A33" s="56"/>
      <c r="B33" s="56"/>
      <c r="C33" s="86"/>
      <c r="D33" s="86"/>
      <c r="E33" s="86"/>
      <c r="F33" s="88"/>
      <c r="G33" s="64"/>
      <c r="H33" s="64"/>
      <c r="I33" s="64"/>
      <c r="J33" s="64"/>
      <c r="K33" s="64"/>
      <c r="L33" s="64"/>
      <c r="M33" s="64"/>
    </row>
    <row r="34" spans="1:13" ht="15.95" customHeight="1" x14ac:dyDescent="0.25">
      <c r="C34" s="65"/>
      <c r="D34" s="65"/>
      <c r="E34" s="65"/>
      <c r="F34" s="87"/>
      <c r="G34" s="64"/>
      <c r="H34" s="64"/>
      <c r="I34" s="64"/>
      <c r="J34" s="64"/>
      <c r="K34" s="64"/>
      <c r="L34" s="64"/>
      <c r="M34" s="64"/>
    </row>
    <row r="35" spans="1:13" ht="15.95" customHeight="1" x14ac:dyDescent="0.25">
      <c r="C35" s="65"/>
      <c r="D35" s="65"/>
      <c r="E35" s="65"/>
      <c r="F35" s="87"/>
      <c r="G35" s="64"/>
      <c r="H35" s="64"/>
      <c r="I35" s="64"/>
      <c r="J35" s="64"/>
      <c r="K35" s="64"/>
      <c r="L35" s="64"/>
      <c r="M35" s="64"/>
    </row>
    <row r="36" spans="1:13" ht="15.95" customHeight="1" x14ac:dyDescent="0.25">
      <c r="C36" s="65"/>
      <c r="D36" s="65"/>
      <c r="E36" s="65"/>
      <c r="F36" s="87"/>
      <c r="G36" s="64"/>
      <c r="H36" s="64"/>
      <c r="I36" s="64"/>
      <c r="J36" s="64"/>
      <c r="K36" s="64"/>
      <c r="L36" s="64"/>
      <c r="M36" s="64"/>
    </row>
    <row r="37" spans="1:13" ht="15.95" customHeight="1" x14ac:dyDescent="0.25">
      <c r="C37" s="65"/>
      <c r="D37" s="65"/>
      <c r="E37" s="65"/>
      <c r="F37" s="87"/>
      <c r="G37" s="64"/>
      <c r="H37" s="64"/>
      <c r="I37" s="64"/>
      <c r="J37" s="64"/>
      <c r="K37" s="64"/>
      <c r="L37" s="64"/>
      <c r="M37" s="64"/>
    </row>
    <row r="38" spans="1:13" ht="15.95" customHeight="1" x14ac:dyDescent="0.25">
      <c r="C38" s="65"/>
      <c r="D38" s="65"/>
      <c r="E38" s="65"/>
      <c r="F38" s="87"/>
      <c r="G38" s="64"/>
      <c r="H38" s="64"/>
      <c r="I38" s="64"/>
      <c r="J38" s="64"/>
      <c r="K38" s="64"/>
      <c r="L38" s="64"/>
      <c r="M38" s="64"/>
    </row>
    <row r="39" spans="1:13" ht="15.95" customHeight="1" x14ac:dyDescent="0.25">
      <c r="C39" s="65"/>
      <c r="D39" s="65"/>
      <c r="E39" s="65"/>
      <c r="F39" s="87"/>
      <c r="G39" s="64"/>
      <c r="H39" s="64"/>
      <c r="I39" s="64"/>
      <c r="J39" s="64"/>
      <c r="K39" s="64"/>
      <c r="L39" s="64"/>
      <c r="M39" s="64"/>
    </row>
    <row r="40" spans="1:13" ht="15.95" customHeight="1" x14ac:dyDescent="0.25">
      <c r="C40" s="65"/>
      <c r="D40" s="87"/>
      <c r="E40" s="87"/>
      <c r="F40" s="87"/>
      <c r="G40" s="64"/>
      <c r="H40" s="64"/>
      <c r="I40" s="64"/>
      <c r="J40" s="64"/>
      <c r="K40" s="64"/>
      <c r="L40" s="64"/>
      <c r="M40" s="64"/>
    </row>
    <row r="41" spans="1:13" ht="15.95" customHeight="1" x14ac:dyDescent="0.25">
      <c r="C41" s="65"/>
      <c r="D41" s="87"/>
      <c r="E41" s="87"/>
      <c r="F41" s="87"/>
      <c r="G41" s="64"/>
      <c r="H41" s="64"/>
      <c r="I41" s="64"/>
      <c r="J41" s="64"/>
      <c r="K41" s="64"/>
      <c r="L41" s="64"/>
      <c r="M41" s="64"/>
    </row>
    <row r="42" spans="1:13" ht="15.95" customHeight="1" x14ac:dyDescent="0.25">
      <c r="C42" s="65"/>
      <c r="D42" s="87"/>
      <c r="E42" s="87"/>
      <c r="F42" s="87"/>
      <c r="G42" s="64"/>
      <c r="H42" s="64"/>
      <c r="I42" s="64"/>
      <c r="J42" s="64"/>
      <c r="K42" s="64"/>
      <c r="L42" s="64"/>
      <c r="M42" s="64"/>
    </row>
    <row r="43" spans="1:13" ht="15.95" customHeight="1" x14ac:dyDescent="0.25">
      <c r="C43" s="65"/>
      <c r="D43" s="87"/>
      <c r="E43" s="87"/>
      <c r="F43" s="87"/>
      <c r="G43" s="64"/>
      <c r="H43" s="64"/>
      <c r="I43" s="64"/>
      <c r="J43" s="64"/>
      <c r="K43" s="64"/>
      <c r="L43" s="64"/>
      <c r="M43" s="64"/>
    </row>
    <row r="44" spans="1:13" ht="15.95" customHeight="1" x14ac:dyDescent="0.25">
      <c r="C44" s="65"/>
      <c r="D44" s="87"/>
      <c r="E44" s="87"/>
      <c r="F44" s="87"/>
      <c r="G44" s="64"/>
      <c r="H44" s="64"/>
      <c r="I44" s="64"/>
      <c r="J44" s="64"/>
      <c r="K44" s="64"/>
      <c r="L44" s="64"/>
      <c r="M44" s="64"/>
    </row>
    <row r="45" spans="1:13" ht="15.95" customHeight="1" x14ac:dyDescent="0.25">
      <c r="C45" s="65"/>
      <c r="D45" s="87"/>
      <c r="E45" s="87"/>
      <c r="F45" s="87"/>
      <c r="G45" s="64"/>
      <c r="H45" s="64"/>
      <c r="I45" s="64"/>
      <c r="J45" s="64"/>
      <c r="K45" s="64"/>
      <c r="L45" s="64"/>
      <c r="M45" s="64"/>
    </row>
    <row r="46" spans="1:13" ht="15.95" customHeight="1" x14ac:dyDescent="0.25">
      <c r="C46" s="65"/>
      <c r="D46" s="87"/>
      <c r="E46" s="87"/>
      <c r="F46" s="87"/>
      <c r="G46" s="64"/>
      <c r="H46" s="64"/>
      <c r="I46" s="64"/>
      <c r="J46" s="64"/>
      <c r="K46" s="64"/>
      <c r="L46" s="64"/>
      <c r="M46" s="64"/>
    </row>
    <row r="47" spans="1:13" ht="15.95" customHeight="1" x14ac:dyDescent="0.25">
      <c r="C47" s="65"/>
      <c r="D47" s="87"/>
      <c r="E47" s="87"/>
      <c r="F47" s="87"/>
      <c r="G47" s="64"/>
      <c r="H47" s="64"/>
      <c r="I47" s="64"/>
      <c r="J47" s="64"/>
      <c r="K47" s="64"/>
      <c r="L47" s="64"/>
      <c r="M47" s="64"/>
    </row>
    <row r="48" spans="1:13" ht="15.95" customHeight="1" x14ac:dyDescent="0.25">
      <c r="C48" s="65"/>
      <c r="D48" s="87"/>
      <c r="E48" s="87"/>
      <c r="F48" s="87"/>
      <c r="G48" s="64"/>
      <c r="H48" s="64"/>
      <c r="I48" s="64"/>
      <c r="J48" s="64"/>
      <c r="K48" s="64"/>
      <c r="L48" s="64"/>
      <c r="M48" s="64"/>
    </row>
    <row r="49" spans="3:13" ht="15.95" customHeight="1" x14ac:dyDescent="0.25">
      <c r="C49" s="65"/>
      <c r="D49" s="87"/>
      <c r="E49" s="87"/>
      <c r="F49" s="87"/>
      <c r="G49" s="64"/>
      <c r="H49" s="64"/>
      <c r="I49" s="64"/>
      <c r="J49" s="64"/>
      <c r="K49" s="64"/>
      <c r="L49" s="64"/>
      <c r="M49" s="64"/>
    </row>
    <row r="50" spans="3:13" ht="15.95" customHeight="1" x14ac:dyDescent="0.25">
      <c r="C50" s="65"/>
      <c r="D50" s="87"/>
      <c r="E50" s="87"/>
      <c r="F50" s="87"/>
      <c r="G50" s="64"/>
      <c r="H50" s="64"/>
      <c r="I50" s="64"/>
      <c r="J50" s="64"/>
      <c r="K50" s="64"/>
      <c r="L50" s="64"/>
      <c r="M50" s="64"/>
    </row>
    <row r="51" spans="3:13" ht="15.95" customHeight="1" x14ac:dyDescent="0.25">
      <c r="C51" s="65"/>
      <c r="D51" s="87"/>
      <c r="E51" s="87"/>
      <c r="F51" s="87"/>
      <c r="G51" s="64"/>
      <c r="H51" s="64"/>
      <c r="I51" s="64"/>
      <c r="J51" s="64"/>
      <c r="K51" s="64"/>
      <c r="L51" s="64"/>
      <c r="M51" s="64"/>
    </row>
    <row r="52" spans="3:13" ht="15.95" customHeight="1" x14ac:dyDescent="0.25">
      <c r="C52" s="65"/>
      <c r="D52" s="87"/>
      <c r="E52" s="87"/>
      <c r="F52" s="87"/>
      <c r="G52" s="64"/>
      <c r="H52" s="64"/>
      <c r="I52" s="64"/>
      <c r="J52" s="64"/>
      <c r="K52" s="64"/>
      <c r="L52" s="64"/>
      <c r="M52" s="64"/>
    </row>
    <row r="53" spans="3:13" ht="15.95" customHeight="1" x14ac:dyDescent="0.25">
      <c r="C53" s="65"/>
      <c r="D53" s="87"/>
      <c r="E53" s="87"/>
      <c r="F53" s="87"/>
      <c r="G53" s="64"/>
      <c r="H53" s="64"/>
      <c r="I53" s="64"/>
      <c r="J53" s="64"/>
      <c r="K53" s="64"/>
      <c r="L53" s="64"/>
      <c r="M53" s="64"/>
    </row>
    <row r="54" spans="3:13" ht="15.95" customHeight="1" x14ac:dyDescent="0.25">
      <c r="C54" s="65"/>
      <c r="D54" s="87"/>
      <c r="E54" s="87"/>
      <c r="F54" s="87"/>
      <c r="G54" s="64"/>
      <c r="H54" s="64"/>
      <c r="I54" s="64"/>
      <c r="J54" s="64"/>
      <c r="K54" s="64"/>
      <c r="L54" s="64"/>
      <c r="M54" s="64"/>
    </row>
    <row r="55" spans="3:13" ht="15.95" customHeight="1" x14ac:dyDescent="0.25">
      <c r="C55" s="65"/>
      <c r="D55" s="87"/>
      <c r="E55" s="87"/>
      <c r="F55" s="87"/>
      <c r="G55" s="64"/>
      <c r="H55" s="64"/>
      <c r="I55" s="64"/>
      <c r="J55" s="64"/>
      <c r="K55" s="64"/>
      <c r="L55" s="64"/>
      <c r="M55" s="64"/>
    </row>
    <row r="56" spans="3:13" ht="15.95" customHeight="1" x14ac:dyDescent="0.25">
      <c r="C56" s="65"/>
      <c r="D56" s="87"/>
      <c r="E56" s="87"/>
      <c r="F56" s="87"/>
      <c r="G56" s="64"/>
      <c r="H56" s="64"/>
      <c r="I56" s="64"/>
      <c r="J56" s="64"/>
      <c r="K56" s="64"/>
      <c r="L56" s="64"/>
      <c r="M56" s="64"/>
    </row>
    <row r="57" spans="3:13" ht="15.95" customHeight="1" x14ac:dyDescent="0.25">
      <c r="C57" s="65"/>
      <c r="D57" s="87"/>
      <c r="E57" s="87"/>
      <c r="F57" s="87"/>
      <c r="G57" s="64"/>
      <c r="H57" s="64"/>
      <c r="I57" s="64"/>
      <c r="J57" s="64"/>
      <c r="K57" s="64"/>
      <c r="L57" s="64"/>
      <c r="M57" s="64"/>
    </row>
    <row r="58" spans="3:13" ht="15.95" customHeight="1" x14ac:dyDescent="0.25">
      <c r="C58" s="65"/>
      <c r="D58" s="87"/>
      <c r="E58" s="87"/>
      <c r="F58" s="87"/>
      <c r="G58" s="64"/>
      <c r="H58" s="64"/>
      <c r="I58" s="64"/>
      <c r="J58" s="64"/>
      <c r="K58" s="64"/>
      <c r="L58" s="64"/>
      <c r="M58" s="64"/>
    </row>
    <row r="59" spans="3:13" ht="15.95" customHeight="1" x14ac:dyDescent="0.25">
      <c r="C59" s="65"/>
      <c r="D59" s="87"/>
      <c r="E59" s="87"/>
      <c r="F59" s="87"/>
      <c r="G59" s="64"/>
      <c r="H59" s="64"/>
      <c r="I59" s="64"/>
      <c r="J59" s="64"/>
      <c r="K59" s="64"/>
      <c r="L59" s="64"/>
      <c r="M59" s="64"/>
    </row>
    <row r="60" spans="3:13" ht="15.95" customHeight="1" x14ac:dyDescent="0.25">
      <c r="C60" s="65"/>
      <c r="D60" s="87"/>
      <c r="E60" s="87"/>
      <c r="F60" s="87"/>
      <c r="G60" s="64"/>
      <c r="H60" s="64"/>
      <c r="I60" s="64"/>
      <c r="J60" s="64"/>
      <c r="K60" s="64"/>
      <c r="L60" s="64"/>
      <c r="M60" s="64"/>
    </row>
    <row r="61" spans="3:13" ht="15.95" customHeight="1" x14ac:dyDescent="0.25">
      <c r="C61" s="65"/>
      <c r="D61" s="87"/>
      <c r="E61" s="87"/>
      <c r="F61" s="87"/>
      <c r="G61" s="64"/>
      <c r="H61" s="64"/>
      <c r="I61" s="64"/>
      <c r="J61" s="64"/>
      <c r="K61" s="64"/>
      <c r="L61" s="64"/>
      <c r="M61" s="64"/>
    </row>
    <row r="62" spans="3:13" ht="15.95" customHeight="1" x14ac:dyDescent="0.25">
      <c r="C62" s="65"/>
      <c r="D62" s="87"/>
      <c r="E62" s="87"/>
      <c r="F62" s="87"/>
      <c r="G62" s="64"/>
      <c r="H62" s="64"/>
      <c r="I62" s="64"/>
      <c r="J62" s="64"/>
      <c r="K62" s="64"/>
      <c r="L62" s="64"/>
      <c r="M62" s="64"/>
    </row>
    <row r="63" spans="3:13" ht="15.95" customHeight="1" x14ac:dyDescent="0.25">
      <c r="C63" s="65"/>
      <c r="D63" s="87"/>
      <c r="E63" s="87"/>
      <c r="F63" s="87"/>
      <c r="G63" s="64"/>
      <c r="H63" s="64"/>
      <c r="I63" s="64"/>
      <c r="J63" s="64"/>
      <c r="K63" s="64"/>
      <c r="L63" s="64"/>
      <c r="M63" s="64"/>
    </row>
    <row r="64" spans="3:13" ht="15.95" customHeight="1" x14ac:dyDescent="0.25">
      <c r="C64" s="65"/>
      <c r="D64" s="87"/>
      <c r="E64" s="87"/>
      <c r="F64" s="87"/>
      <c r="G64" s="64"/>
      <c r="H64" s="64"/>
      <c r="I64" s="64"/>
      <c r="J64" s="64"/>
      <c r="K64" s="64"/>
      <c r="L64" s="64"/>
      <c r="M64" s="64"/>
    </row>
    <row r="65" spans="3:13" ht="15.95" customHeight="1" x14ac:dyDescent="0.25">
      <c r="C65" s="65"/>
      <c r="D65" s="87"/>
      <c r="E65" s="87"/>
      <c r="F65" s="87"/>
      <c r="G65" s="64"/>
      <c r="H65" s="64"/>
      <c r="I65" s="64"/>
      <c r="J65" s="64"/>
      <c r="K65" s="64"/>
      <c r="L65" s="64"/>
      <c r="M65" s="64"/>
    </row>
    <row r="66" spans="3:13" ht="15.95" customHeight="1" x14ac:dyDescent="0.25">
      <c r="C66" s="65"/>
      <c r="D66" s="87"/>
      <c r="E66" s="87"/>
      <c r="F66" s="87"/>
      <c r="G66" s="64"/>
      <c r="H66" s="64"/>
      <c r="I66" s="64"/>
      <c r="J66" s="64"/>
      <c r="K66" s="64"/>
      <c r="L66" s="64"/>
      <c r="M66" s="64"/>
    </row>
    <row r="67" spans="3:13" ht="15.95" customHeight="1" x14ac:dyDescent="0.25">
      <c r="C67" s="65"/>
      <c r="D67" s="87"/>
      <c r="E67" s="87"/>
      <c r="F67" s="87"/>
      <c r="G67" s="64"/>
      <c r="H67" s="64"/>
      <c r="I67" s="64"/>
      <c r="J67" s="64"/>
      <c r="K67" s="64"/>
      <c r="L67" s="64"/>
      <c r="M67" s="64"/>
    </row>
    <row r="68" spans="3:13" ht="15.95" customHeight="1" x14ac:dyDescent="0.25">
      <c r="C68" s="65"/>
      <c r="D68" s="87"/>
      <c r="E68" s="87"/>
      <c r="F68" s="87"/>
      <c r="G68" s="64"/>
      <c r="H68" s="64"/>
      <c r="I68" s="64"/>
      <c r="J68" s="64"/>
      <c r="K68" s="64"/>
      <c r="L68" s="64"/>
      <c r="M68" s="64"/>
    </row>
    <row r="69" spans="3:13" ht="15.95" customHeight="1" x14ac:dyDescent="0.25">
      <c r="C69" s="65"/>
      <c r="D69" s="87"/>
      <c r="E69" s="87"/>
      <c r="F69" s="87"/>
      <c r="G69" s="64"/>
      <c r="H69" s="64"/>
      <c r="I69" s="64"/>
      <c r="J69" s="64"/>
      <c r="K69" s="64"/>
      <c r="L69" s="64"/>
      <c r="M69" s="64"/>
    </row>
    <row r="70" spans="3:13" ht="15.95" customHeight="1" x14ac:dyDescent="0.25">
      <c r="C70" s="65"/>
      <c r="D70" s="87"/>
      <c r="E70" s="87"/>
      <c r="F70" s="87"/>
      <c r="G70" s="64"/>
      <c r="H70" s="64"/>
      <c r="I70" s="64"/>
      <c r="J70" s="64"/>
      <c r="K70" s="64"/>
      <c r="L70" s="64"/>
      <c r="M70" s="64"/>
    </row>
    <row r="71" spans="3:13" ht="15.95" customHeight="1" x14ac:dyDescent="0.25">
      <c r="C71" s="65"/>
      <c r="D71" s="87"/>
      <c r="E71" s="87"/>
      <c r="F71" s="87"/>
      <c r="G71" s="64"/>
      <c r="H71" s="64"/>
      <c r="I71" s="64"/>
      <c r="J71" s="64"/>
      <c r="K71" s="64"/>
      <c r="L71" s="64"/>
      <c r="M71" s="64"/>
    </row>
    <row r="72" spans="3:13" ht="15.95" customHeight="1" x14ac:dyDescent="0.25">
      <c r="C72" s="65"/>
      <c r="D72" s="87"/>
      <c r="E72" s="87"/>
      <c r="F72" s="87"/>
      <c r="G72" s="64"/>
      <c r="H72" s="64"/>
      <c r="I72" s="64"/>
      <c r="J72" s="64"/>
      <c r="K72" s="64"/>
      <c r="L72" s="64"/>
      <c r="M72" s="64"/>
    </row>
    <row r="73" spans="3:13" ht="15.95" customHeight="1" x14ac:dyDescent="0.25">
      <c r="C73" s="65"/>
      <c r="D73" s="87"/>
      <c r="E73" s="87"/>
      <c r="F73" s="87"/>
      <c r="G73" s="64"/>
      <c r="H73" s="64"/>
      <c r="I73" s="64"/>
      <c r="J73" s="64"/>
      <c r="K73" s="64"/>
      <c r="L73" s="64"/>
      <c r="M73" s="64"/>
    </row>
    <row r="74" spans="3:13" ht="15.95" customHeight="1" x14ac:dyDescent="0.25">
      <c r="C74" s="65"/>
      <c r="D74" s="87"/>
      <c r="E74" s="87"/>
      <c r="F74" s="87"/>
      <c r="G74" s="64"/>
      <c r="H74" s="64"/>
      <c r="I74" s="64"/>
      <c r="J74" s="64"/>
      <c r="K74" s="64"/>
      <c r="L74" s="64"/>
      <c r="M74" s="64"/>
    </row>
    <row r="75" spans="3:13" ht="15.95" customHeight="1" x14ac:dyDescent="0.25">
      <c r="C75" s="65"/>
      <c r="D75" s="87"/>
      <c r="E75" s="87"/>
      <c r="F75" s="87"/>
      <c r="G75" s="64"/>
      <c r="H75" s="64"/>
      <c r="I75" s="64"/>
      <c r="J75" s="64"/>
      <c r="K75" s="64"/>
      <c r="L75" s="64"/>
      <c r="M75" s="64"/>
    </row>
    <row r="76" spans="3:13" ht="15.95" customHeight="1" x14ac:dyDescent="0.25">
      <c r="C76" s="65"/>
      <c r="D76" s="87"/>
      <c r="E76" s="87"/>
      <c r="F76" s="87"/>
      <c r="G76" s="64"/>
      <c r="H76" s="64"/>
      <c r="I76" s="64"/>
      <c r="J76" s="64"/>
      <c r="K76" s="64"/>
      <c r="L76" s="64"/>
      <c r="M76" s="64"/>
    </row>
    <row r="77" spans="3:13" ht="15.95" customHeight="1" x14ac:dyDescent="0.25">
      <c r="C77" s="65"/>
      <c r="D77" s="87"/>
      <c r="E77" s="87"/>
      <c r="F77" s="87"/>
      <c r="G77" s="64"/>
      <c r="H77" s="64"/>
      <c r="I77" s="64"/>
      <c r="J77" s="64"/>
      <c r="K77" s="64"/>
      <c r="L77" s="64"/>
      <c r="M77" s="64"/>
    </row>
    <row r="78" spans="3:13" ht="15.95" customHeight="1" x14ac:dyDescent="0.25">
      <c r="C78" s="65"/>
      <c r="D78" s="87"/>
      <c r="E78" s="87"/>
      <c r="F78" s="87"/>
      <c r="G78" s="64"/>
      <c r="H78" s="64"/>
      <c r="I78" s="64"/>
      <c r="J78" s="64"/>
      <c r="K78" s="64"/>
      <c r="L78" s="64"/>
      <c r="M78" s="64"/>
    </row>
    <row r="79" spans="3:13" ht="15.95" customHeight="1" x14ac:dyDescent="0.25">
      <c r="C79" s="65"/>
      <c r="D79" s="87"/>
      <c r="E79" s="87"/>
      <c r="F79" s="87"/>
      <c r="G79" s="64"/>
      <c r="H79" s="64"/>
      <c r="I79" s="64"/>
      <c r="J79" s="64"/>
      <c r="K79" s="64"/>
      <c r="L79" s="64"/>
      <c r="M79" s="64"/>
    </row>
    <row r="80" spans="3:13" ht="15.95" customHeight="1" x14ac:dyDescent="0.25">
      <c r="C80" s="65"/>
      <c r="D80" s="87"/>
      <c r="E80" s="87"/>
      <c r="F80" s="87"/>
      <c r="G80" s="64"/>
      <c r="H80" s="64"/>
      <c r="I80" s="64"/>
      <c r="J80" s="64"/>
      <c r="K80" s="64"/>
      <c r="L80" s="64"/>
      <c r="M80" s="64"/>
    </row>
    <row r="81" spans="3:13" ht="15.95" customHeight="1" x14ac:dyDescent="0.25">
      <c r="C81" s="65"/>
      <c r="D81" s="87"/>
      <c r="E81" s="87"/>
      <c r="F81" s="87"/>
      <c r="G81" s="64"/>
      <c r="H81" s="64"/>
      <c r="I81" s="64"/>
      <c r="J81" s="64"/>
      <c r="K81" s="64"/>
      <c r="L81" s="64"/>
      <c r="M81" s="64"/>
    </row>
    <row r="82" spans="3:13" ht="15.95" customHeight="1" x14ac:dyDescent="0.25">
      <c r="C82" s="65"/>
      <c r="D82" s="87"/>
      <c r="E82" s="87"/>
      <c r="F82" s="87"/>
      <c r="G82" s="64"/>
      <c r="H82" s="64"/>
      <c r="I82" s="64"/>
      <c r="J82" s="64"/>
      <c r="K82" s="64"/>
      <c r="L82" s="64"/>
      <c r="M82" s="64"/>
    </row>
  </sheetData>
  <mergeCells count="2">
    <mergeCell ref="A1:F2"/>
    <mergeCell ref="K1:L2"/>
  </mergeCells>
  <dataValidations count="2">
    <dataValidation type="list" allowBlank="1" showInputMessage="1" showErrorMessage="1" sqref="F4:F14 F18:F82" xr:uid="{00000000-0002-0000-0800-000000000000}">
      <formula1>"Horizontal,Vertical"</formula1>
    </dataValidation>
    <dataValidation type="list" allowBlank="1" showInputMessage="1" showErrorMessage="1" sqref="K4:K15" xr:uid="{00000000-0002-0000-0800-000001000000}">
      <formula1>"SUPERDETTAGLI,BUDGET,FORECAST,RUNRATE"</formula1>
    </dataValidation>
  </dataValidations>
  <pageMargins left="0.7" right="0.7" top="0.75" bottom="0.75" header="0.3" footer="0.3"/>
  <pageSetup paperSize="9" orientation="portrait"/>
  <drawing r:id="rId1"/>
  <tableParts count="2">
    <tablePart r:id="rId2"/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26"/>
  <sheetViews>
    <sheetView workbookViewId="0">
      <selection sqref="A1:B1"/>
    </sheetView>
  </sheetViews>
  <sheetFormatPr defaultRowHeight="15" x14ac:dyDescent="0.25"/>
  <cols>
    <col min="1" max="2" width="30.7109375" customWidth="1"/>
  </cols>
  <sheetData>
    <row r="1" spans="1:2" ht="32.25" customHeight="1" x14ac:dyDescent="0.25">
      <c r="A1" s="141" t="s">
        <v>207</v>
      </c>
      <c r="B1" s="142"/>
    </row>
    <row r="2" spans="1:2" ht="15.75" thickBot="1" x14ac:dyDescent="0.3">
      <c r="A2" s="83" t="s">
        <v>143</v>
      </c>
      <c r="B2" s="84" t="s">
        <v>144</v>
      </c>
    </row>
    <row r="3" spans="1:2" x14ac:dyDescent="0.25">
      <c r="A3" s="81" t="s">
        <v>145</v>
      </c>
      <c r="B3" s="82" t="s">
        <v>146</v>
      </c>
    </row>
    <row r="4" spans="1:2" x14ac:dyDescent="0.25">
      <c r="A4" s="77" t="s">
        <v>147</v>
      </c>
      <c r="B4" s="78" t="s">
        <v>148</v>
      </c>
    </row>
    <row r="5" spans="1:2" x14ac:dyDescent="0.25">
      <c r="A5" s="77" t="s">
        <v>149</v>
      </c>
      <c r="B5" s="78" t="s">
        <v>150</v>
      </c>
    </row>
    <row r="6" spans="1:2" x14ac:dyDescent="0.25">
      <c r="A6" s="77" t="s">
        <v>151</v>
      </c>
      <c r="B6" s="78" t="s">
        <v>152</v>
      </c>
    </row>
    <row r="7" spans="1:2" x14ac:dyDescent="0.25">
      <c r="A7" s="77" t="s">
        <v>153</v>
      </c>
      <c r="B7" s="78" t="s">
        <v>212</v>
      </c>
    </row>
    <row r="8" spans="1:2" x14ac:dyDescent="0.25">
      <c r="A8" s="77" t="s">
        <v>206</v>
      </c>
      <c r="B8" s="78" t="s">
        <v>213</v>
      </c>
    </row>
    <row r="9" spans="1:2" x14ac:dyDescent="0.25">
      <c r="A9" s="77" t="s">
        <v>211</v>
      </c>
      <c r="B9" s="78" t="s">
        <v>214</v>
      </c>
    </row>
    <row r="10" spans="1:2" x14ac:dyDescent="0.25">
      <c r="A10" s="77"/>
      <c r="B10" s="78"/>
    </row>
    <row r="11" spans="1:2" x14ac:dyDescent="0.25">
      <c r="A11" s="77"/>
      <c r="B11" s="78"/>
    </row>
    <row r="12" spans="1:2" x14ac:dyDescent="0.25">
      <c r="A12" s="77"/>
      <c r="B12" s="78"/>
    </row>
    <row r="13" spans="1:2" x14ac:dyDescent="0.25">
      <c r="A13" s="77"/>
      <c r="B13" s="78"/>
    </row>
    <row r="14" spans="1:2" x14ac:dyDescent="0.25">
      <c r="A14" s="77"/>
      <c r="B14" s="78"/>
    </row>
    <row r="15" spans="1:2" x14ac:dyDescent="0.25">
      <c r="A15" s="77"/>
      <c r="B15" s="78"/>
    </row>
    <row r="16" spans="1:2" x14ac:dyDescent="0.25">
      <c r="A16" s="77"/>
      <c r="B16" s="78"/>
    </row>
    <row r="17" spans="1:2" x14ac:dyDescent="0.25">
      <c r="A17" s="77"/>
      <c r="B17" s="78"/>
    </row>
    <row r="18" spans="1:2" x14ac:dyDescent="0.25">
      <c r="A18" s="77"/>
      <c r="B18" s="78"/>
    </row>
    <row r="19" spans="1:2" x14ac:dyDescent="0.25">
      <c r="A19" s="77"/>
      <c r="B19" s="78"/>
    </row>
    <row r="20" spans="1:2" x14ac:dyDescent="0.25">
      <c r="A20" s="77"/>
      <c r="B20" s="78"/>
    </row>
    <row r="21" spans="1:2" x14ac:dyDescent="0.25">
      <c r="A21" s="79"/>
      <c r="B21" s="80"/>
    </row>
    <row r="26" spans="1:2" x14ac:dyDescent="0.25">
      <c r="A26" s="85" t="s">
        <v>154</v>
      </c>
    </row>
  </sheetData>
  <mergeCells count="1">
    <mergeCell ref="A1:B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26"/>
  <sheetViews>
    <sheetView workbookViewId="0">
      <selection sqref="A1:B1"/>
    </sheetView>
  </sheetViews>
  <sheetFormatPr defaultRowHeight="15" x14ac:dyDescent="0.25"/>
  <cols>
    <col min="1" max="2" width="30.7109375" customWidth="1"/>
  </cols>
  <sheetData>
    <row r="1" spans="1:2" ht="32.25" customHeight="1" x14ac:dyDescent="0.25">
      <c r="A1" s="141" t="s">
        <v>155</v>
      </c>
      <c r="B1" s="142"/>
    </row>
    <row r="2" spans="1:2" x14ac:dyDescent="0.25">
      <c r="A2" s="83" t="s">
        <v>143</v>
      </c>
      <c r="B2" s="84" t="s">
        <v>144</v>
      </c>
    </row>
    <row r="3" spans="1:2" x14ac:dyDescent="0.25">
      <c r="A3" s="77" t="s">
        <v>216</v>
      </c>
      <c r="B3" s="78" t="s">
        <v>217</v>
      </c>
    </row>
    <row r="4" spans="1:2" x14ac:dyDescent="0.25">
      <c r="A4" s="81" t="s">
        <v>156</v>
      </c>
      <c r="B4" s="82" t="s">
        <v>157</v>
      </c>
    </row>
    <row r="5" spans="1:2" x14ac:dyDescent="0.25">
      <c r="A5" s="77" t="s">
        <v>158</v>
      </c>
      <c r="B5" s="78" t="s">
        <v>159</v>
      </c>
    </row>
    <row r="6" spans="1:2" x14ac:dyDescent="0.25">
      <c r="A6" s="77" t="s">
        <v>160</v>
      </c>
      <c r="B6" s="78" t="s">
        <v>161</v>
      </c>
    </row>
    <row r="7" spans="1:2" x14ac:dyDescent="0.25">
      <c r="A7" s="77" t="s">
        <v>162</v>
      </c>
      <c r="B7" s="78" t="s">
        <v>163</v>
      </c>
    </row>
    <row r="8" spans="1:2" x14ac:dyDescent="0.25">
      <c r="A8" s="77" t="s">
        <v>164</v>
      </c>
      <c r="B8" s="78" t="s">
        <v>209</v>
      </c>
    </row>
    <row r="9" spans="1:2" x14ac:dyDescent="0.25">
      <c r="A9" s="108" t="s">
        <v>208</v>
      </c>
      <c r="B9" s="78" t="s">
        <v>210</v>
      </c>
    </row>
    <row r="10" spans="1:2" x14ac:dyDescent="0.25">
      <c r="A10" s="77"/>
      <c r="B10" s="78"/>
    </row>
    <row r="11" spans="1:2" x14ac:dyDescent="0.25">
      <c r="A11" s="77"/>
      <c r="B11" s="78"/>
    </row>
    <row r="12" spans="1:2" x14ac:dyDescent="0.25">
      <c r="A12" s="77"/>
      <c r="B12" s="78"/>
    </row>
    <row r="13" spans="1:2" x14ac:dyDescent="0.25">
      <c r="A13" s="77"/>
      <c r="B13" s="78"/>
    </row>
    <row r="14" spans="1:2" x14ac:dyDescent="0.25">
      <c r="A14" s="77"/>
      <c r="B14" s="78"/>
    </row>
    <row r="15" spans="1:2" x14ac:dyDescent="0.25">
      <c r="A15" s="77"/>
      <c r="B15" s="78"/>
    </row>
    <row r="16" spans="1:2" x14ac:dyDescent="0.25">
      <c r="A16" s="77"/>
      <c r="B16" s="78"/>
    </row>
    <row r="17" spans="1:2" x14ac:dyDescent="0.25">
      <c r="A17" s="77"/>
      <c r="B17" s="78"/>
    </row>
    <row r="18" spans="1:2" x14ac:dyDescent="0.25">
      <c r="A18" s="77"/>
      <c r="B18" s="78"/>
    </row>
    <row r="19" spans="1:2" x14ac:dyDescent="0.25">
      <c r="A19" s="77"/>
      <c r="B19" s="78"/>
    </row>
    <row r="20" spans="1:2" x14ac:dyDescent="0.25">
      <c r="A20" s="77"/>
      <c r="B20" s="78"/>
    </row>
    <row r="21" spans="1:2" x14ac:dyDescent="0.25">
      <c r="A21" s="79"/>
      <c r="B21" s="80"/>
    </row>
    <row r="26" spans="1:2" x14ac:dyDescent="0.25">
      <c r="A26" s="85" t="s">
        <v>154</v>
      </c>
    </row>
  </sheetData>
  <mergeCells count="1">
    <mergeCell ref="A1:B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P30"/>
  <sheetViews>
    <sheetView zoomScaleNormal="100" workbookViewId="0">
      <selection sqref="A1:B1"/>
    </sheetView>
  </sheetViews>
  <sheetFormatPr defaultRowHeight="15" x14ac:dyDescent="0.25"/>
  <cols>
    <col min="1" max="2" width="15.7109375" customWidth="1"/>
  </cols>
  <sheetData>
    <row r="1" spans="1:16" ht="15.75" x14ac:dyDescent="0.25">
      <c r="A1" s="143" t="s">
        <v>165</v>
      </c>
      <c r="B1" s="143"/>
      <c r="C1" s="55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7"/>
    </row>
    <row r="2" spans="1:16" x14ac:dyDescent="0.25">
      <c r="A2" s="54" t="s">
        <v>166</v>
      </c>
      <c r="B2" s="76" t="s">
        <v>167</v>
      </c>
      <c r="C2" s="58"/>
      <c r="P2" s="59"/>
    </row>
    <row r="3" spans="1:16" x14ac:dyDescent="0.25">
      <c r="A3" s="73"/>
      <c r="B3" s="70"/>
      <c r="C3" s="58"/>
      <c r="P3" s="59"/>
    </row>
    <row r="4" spans="1:16" x14ac:dyDescent="0.25">
      <c r="A4" s="74"/>
      <c r="B4" s="75"/>
      <c r="C4" s="58"/>
      <c r="P4" s="59"/>
    </row>
    <row r="5" spans="1:16" x14ac:dyDescent="0.25">
      <c r="A5" s="73"/>
      <c r="B5" s="70"/>
      <c r="C5" s="58"/>
      <c r="P5" s="59"/>
    </row>
    <row r="6" spans="1:16" x14ac:dyDescent="0.25">
      <c r="A6" s="73"/>
      <c r="B6" s="70"/>
      <c r="C6" s="58"/>
      <c r="P6" s="59"/>
    </row>
    <row r="7" spans="1:16" x14ac:dyDescent="0.25">
      <c r="C7" s="58"/>
      <c r="P7" s="59"/>
    </row>
    <row r="8" spans="1:16" x14ac:dyDescent="0.25">
      <c r="C8" s="58"/>
      <c r="P8" s="59"/>
    </row>
    <row r="9" spans="1:16" x14ac:dyDescent="0.25">
      <c r="C9" s="58"/>
      <c r="P9" s="59"/>
    </row>
    <row r="10" spans="1:16" x14ac:dyDescent="0.25">
      <c r="C10" s="58"/>
      <c r="P10" s="59"/>
    </row>
    <row r="11" spans="1:16" x14ac:dyDescent="0.25">
      <c r="C11" s="58"/>
      <c r="P11" s="59"/>
    </row>
    <row r="12" spans="1:16" x14ac:dyDescent="0.25">
      <c r="C12" s="58"/>
      <c r="P12" s="59"/>
    </row>
    <row r="13" spans="1:16" x14ac:dyDescent="0.25">
      <c r="C13" s="58"/>
      <c r="P13" s="59"/>
    </row>
    <row r="14" spans="1:16" x14ac:dyDescent="0.25">
      <c r="C14" s="58"/>
      <c r="P14" s="59"/>
    </row>
    <row r="15" spans="1:16" x14ac:dyDescent="0.25">
      <c r="C15" s="58"/>
      <c r="P15" s="59"/>
    </row>
    <row r="16" spans="1:16" x14ac:dyDescent="0.25">
      <c r="C16" s="58"/>
      <c r="P16" s="59"/>
    </row>
    <row r="17" spans="3:16" x14ac:dyDescent="0.25">
      <c r="C17" s="58"/>
      <c r="P17" s="59"/>
    </row>
    <row r="18" spans="3:16" x14ac:dyDescent="0.25">
      <c r="C18" s="58"/>
      <c r="P18" s="59"/>
    </row>
    <row r="19" spans="3:16" x14ac:dyDescent="0.25">
      <c r="C19" s="58"/>
      <c r="P19" s="59"/>
    </row>
    <row r="20" spans="3:16" x14ac:dyDescent="0.25">
      <c r="C20" s="58"/>
      <c r="P20" s="59"/>
    </row>
    <row r="21" spans="3:16" x14ac:dyDescent="0.25">
      <c r="C21" s="58"/>
      <c r="P21" s="59"/>
    </row>
    <row r="22" spans="3:16" x14ac:dyDescent="0.25">
      <c r="C22" s="58"/>
      <c r="P22" s="59"/>
    </row>
    <row r="23" spans="3:16" x14ac:dyDescent="0.25">
      <c r="C23" s="58"/>
      <c r="P23" s="59"/>
    </row>
    <row r="24" spans="3:16" x14ac:dyDescent="0.25">
      <c r="C24" s="58"/>
      <c r="P24" s="59"/>
    </row>
    <row r="25" spans="3:16" x14ac:dyDescent="0.25">
      <c r="C25" s="58"/>
      <c r="P25" s="59"/>
    </row>
    <row r="26" spans="3:16" x14ac:dyDescent="0.25">
      <c r="C26" s="58"/>
      <c r="P26" s="59"/>
    </row>
    <row r="27" spans="3:16" x14ac:dyDescent="0.25">
      <c r="C27" s="58"/>
      <c r="P27" s="59"/>
    </row>
    <row r="28" spans="3:16" x14ac:dyDescent="0.25">
      <c r="C28" s="58"/>
      <c r="P28" s="59"/>
    </row>
    <row r="29" spans="3:16" x14ac:dyDescent="0.25">
      <c r="C29" s="58"/>
      <c r="P29" s="59"/>
    </row>
    <row r="30" spans="3:16" x14ac:dyDescent="0.25">
      <c r="C30" s="61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3"/>
    </row>
  </sheetData>
  <mergeCells count="1">
    <mergeCell ref="A1:B1"/>
  </mergeCells>
  <pageMargins left="0.7" right="0.7" top="0.75" bottom="0.75" header="0.3" footer="0.3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P39"/>
  <sheetViews>
    <sheetView zoomScaleNormal="100" workbookViewId="0">
      <selection activeCell="B17" sqref="B17"/>
    </sheetView>
  </sheetViews>
  <sheetFormatPr defaultRowHeight="15" x14ac:dyDescent="0.25"/>
  <cols>
    <col min="1" max="3" width="15.7109375" customWidth="1"/>
    <col min="4" max="4" width="25.140625" bestFit="1" customWidth="1"/>
  </cols>
  <sheetData>
    <row r="1" spans="1:3" ht="15.75" x14ac:dyDescent="0.25">
      <c r="A1" s="148" t="s">
        <v>165</v>
      </c>
      <c r="B1" s="149"/>
      <c r="C1" s="107"/>
    </row>
    <row r="2" spans="1:3" x14ac:dyDescent="0.25">
      <c r="A2" s="105" t="s">
        <v>166</v>
      </c>
      <c r="B2" s="106" t="s">
        <v>168</v>
      </c>
      <c r="C2" s="87"/>
    </row>
    <row r="3" spans="1:3" x14ac:dyDescent="0.25">
      <c r="A3" s="70"/>
      <c r="B3" s="70"/>
      <c r="C3" s="70"/>
    </row>
    <row r="4" spans="1:3" x14ac:dyDescent="0.25">
      <c r="A4" s="70" t="s">
        <v>106</v>
      </c>
      <c r="B4" s="70"/>
      <c r="C4" s="70"/>
    </row>
    <row r="5" spans="1:3" x14ac:dyDescent="0.25">
      <c r="A5" s="70">
        <v>1</v>
      </c>
      <c r="B5" s="70"/>
      <c r="C5" s="70"/>
    </row>
    <row r="6" spans="1:3" x14ac:dyDescent="0.25">
      <c r="A6" s="70"/>
      <c r="B6" s="70"/>
      <c r="C6" s="70"/>
    </row>
    <row r="22" spans="4:16" x14ac:dyDescent="0.25">
      <c r="E22" s="144">
        <v>2023</v>
      </c>
      <c r="F22" s="145"/>
      <c r="G22" s="144">
        <v>2024</v>
      </c>
      <c r="H22" s="145"/>
      <c r="I22" s="150">
        <v>2025</v>
      </c>
      <c r="J22" s="151"/>
      <c r="K22" s="152">
        <v>2025</v>
      </c>
      <c r="L22" s="153"/>
      <c r="M22" s="144">
        <v>2025</v>
      </c>
      <c r="N22" s="145"/>
      <c r="O22" s="146" t="s">
        <v>169</v>
      </c>
      <c r="P22" s="147"/>
    </row>
    <row r="23" spans="4:16" ht="30" x14ac:dyDescent="0.25">
      <c r="D23" s="89"/>
      <c r="E23" s="2" t="s">
        <v>73</v>
      </c>
      <c r="F23" s="2" t="s">
        <v>170</v>
      </c>
      <c r="G23" s="2" t="s">
        <v>73</v>
      </c>
      <c r="H23" s="2" t="s">
        <v>170</v>
      </c>
      <c r="I23" s="2" t="s">
        <v>73</v>
      </c>
      <c r="J23" s="2" t="s">
        <v>170</v>
      </c>
      <c r="K23" s="2" t="s">
        <v>73</v>
      </c>
      <c r="L23" s="2" t="s">
        <v>170</v>
      </c>
      <c r="M23" s="2" t="s">
        <v>73</v>
      </c>
      <c r="N23" s="2" t="s">
        <v>170</v>
      </c>
      <c r="O23" s="2" t="s">
        <v>73</v>
      </c>
      <c r="P23" s="2" t="s">
        <v>170</v>
      </c>
    </row>
    <row r="24" spans="4:16" x14ac:dyDescent="0.25">
      <c r="D24" s="90" t="s">
        <v>35</v>
      </c>
      <c r="E24" s="3">
        <f>SUMIFS(tabSuperdettagli[ORE_],tabSuperdettagli[da considerare?_],"sì",tabSuperdettagli[Anno_],$E$22,tabSuperdettagli[BussinessArea Cluster],$D24)/1000</f>
        <v>0</v>
      </c>
      <c r="F24" s="4"/>
      <c r="G24" s="4">
        <f>SUMIFS(tabSuperdettagli[ORE_],tabSuperdettagli[da considerare?_],"sì",tabSuperdettagli[Anno_],G$22,tabSuperdettagli[BussinessArea Cluster],$D24)/1000</f>
        <v>0</v>
      </c>
      <c r="H24" s="4"/>
      <c r="I24" s="4">
        <f>SUMIFS(tblBudget[BDG_],tblBudget[da considerare?_],"sì",tblBudget[BusinessArea_],$D24)/1000</f>
        <v>0</v>
      </c>
      <c r="J24" s="4"/>
      <c r="K24" s="4">
        <v>0.51300000000000001</v>
      </c>
      <c r="L24" s="4"/>
      <c r="M24" s="4">
        <f>SUMIFS(tabSuperdettagli[ORE_],tabSuperdettagli[da considerare?_],"sì",tabSuperdettagli[Anno_],M$22,tabSuperdettagli[BussinessArea Cluster],$D24)/1000</f>
        <v>0</v>
      </c>
      <c r="N24" s="4"/>
      <c r="O24" s="4">
        <f>SUMIFS(tblForecast[FORECAST Totale_],tblForecast[da considerare?],"sì",tblForecast[Business],D24)/1000</f>
        <v>0</v>
      </c>
      <c r="P24" s="5"/>
    </row>
    <row r="25" spans="4:16" x14ac:dyDescent="0.25">
      <c r="D25" s="91" t="s">
        <v>171</v>
      </c>
      <c r="E25" s="6">
        <f>SUMIFS(tabSuperdettagli[ORE_],tabSuperdettagli[da considerare?_],"sì",tabSuperdettagli[Anno_],$E$22,tabSuperdettagli[BussinessArea Cluster],$D25)/1000</f>
        <v>0</v>
      </c>
      <c r="F25" s="7"/>
      <c r="G25" s="7">
        <f>SUMIFS(tabSuperdettagli[ORE_],tabSuperdettagli[da considerare?_],"sì",tabSuperdettagli[Anno_],G$22,tabSuperdettagli[BussinessArea Cluster],$D25)/1000</f>
        <v>0</v>
      </c>
      <c r="H25" s="7"/>
      <c r="I25" s="7">
        <f>SUMIFS(tblBudget[BDG_],tblBudget[da considerare?_],"sì",tblBudget[BusinessArea_],$D25)/1000</f>
        <v>0</v>
      </c>
      <c r="J25" s="7"/>
      <c r="K25" s="7">
        <f t="shared" ref="K25:K29" si="0">M25/cell_perc_RR</f>
        <v>0</v>
      </c>
      <c r="L25" s="7"/>
      <c r="M25" s="7">
        <f>SUMIFS(tabSuperdettagli[ORE_],tabSuperdettagli[da considerare?_],"sì",tabSuperdettagli[Anno_],M$22,tabSuperdettagli[BussinessArea Cluster],$D25)/1000</f>
        <v>0</v>
      </c>
      <c r="N25" s="7"/>
      <c r="O25" s="7">
        <f>SUMIFS(tblForecast[FORECAST Totale_],tblForecast[da considerare?],"sì",tblForecast[Business],D25)/1000</f>
        <v>0</v>
      </c>
      <c r="P25" s="8"/>
    </row>
    <row r="26" spans="4:16" x14ac:dyDescent="0.25">
      <c r="D26" s="92" t="s">
        <v>172</v>
      </c>
      <c r="E26" s="9">
        <f>SUMIFS(tabSuperdettagli[ORE_],tabSuperdettagli[da considerare?_],"sì",tabSuperdettagli[Anno_],$E$22,tabSuperdettagli[BussinessArea Cluster],$D26)/1000</f>
        <v>0</v>
      </c>
      <c r="F26" s="10"/>
      <c r="G26" s="10">
        <f>SUMIFS(tabSuperdettagli[ORE_],tabSuperdettagli[da considerare?_],"sì",tabSuperdettagli[Anno_],G$22,tabSuperdettagli[BussinessArea Cluster],$D26)/1000</f>
        <v>0</v>
      </c>
      <c r="H26" s="10"/>
      <c r="I26" s="10">
        <f>SUMIFS(tblBudget[BDG_],tblBudget[da considerare?_],"sì",tblBudget[BusinessArea_],$D26)/1000</f>
        <v>0</v>
      </c>
      <c r="J26" s="10"/>
      <c r="K26" s="10">
        <f t="shared" si="0"/>
        <v>0</v>
      </c>
      <c r="L26" s="10"/>
      <c r="M26" s="10">
        <f>SUMIFS(tabSuperdettagli[ORE_],tabSuperdettagli[da considerare?_],"sì",tabSuperdettagli[Anno_],M$22,tabSuperdettagli[BussinessArea Cluster],$D26)/1000</f>
        <v>0</v>
      </c>
      <c r="N26" s="10"/>
      <c r="O26" s="10">
        <f>SUMIFS(tblForecast[FORECAST Totale_],tblForecast[da considerare?],"sì",tblForecast[Business],D26)/1000</f>
        <v>0</v>
      </c>
      <c r="P26" s="11"/>
    </row>
    <row r="27" spans="4:16" x14ac:dyDescent="0.25">
      <c r="D27" s="93" t="s">
        <v>173</v>
      </c>
      <c r="E27" s="12">
        <f>SUMIFS(tabSuperdettagli[ORE_],tabSuperdettagli[da considerare?_],"sì",tabSuperdettagli[Anno_],E$22,tabSuperdettagli[BussinessArea Cluster],$D27)/1000</f>
        <v>0</v>
      </c>
      <c r="F27" s="13"/>
      <c r="G27" s="13">
        <f>SUMIFS(tabSuperdettagli[ORE_],tabSuperdettagli[da considerare?_],"sì",tabSuperdettagli[Anno_],G$22,tabSuperdettagli[BussinessArea Cluster],$D27)/1000</f>
        <v>0</v>
      </c>
      <c r="H27" s="13"/>
      <c r="I27" s="13">
        <f>SUMIFS(tblBudget[BDG_],tblBudget[da considerare?_],"sì",tblBudget[BusinessArea_],$D27)/1000</f>
        <v>0</v>
      </c>
      <c r="J27" s="13"/>
      <c r="K27" s="13">
        <f t="shared" si="0"/>
        <v>0</v>
      </c>
      <c r="L27" s="13"/>
      <c r="M27" s="13">
        <f>SUMIFS(tabSuperdettagli[ORE_],tabSuperdettagli[da considerare?_],"sì",tabSuperdettagli[Anno_],M$22,tabSuperdettagli[BussinessArea Cluster],$D27)/1000</f>
        <v>0</v>
      </c>
      <c r="N27" s="13"/>
      <c r="O27" s="13">
        <f>SUMIFS(tblForecast[FORECAST Totale_],tblForecast[da considerare?],"sì",tblForecast[Business],D27)/1000</f>
        <v>0</v>
      </c>
      <c r="P27" s="14"/>
    </row>
    <row r="28" spans="4:16" x14ac:dyDescent="0.25">
      <c r="D28" s="94" t="s">
        <v>174</v>
      </c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6"/>
    </row>
    <row r="29" spans="4:16" x14ac:dyDescent="0.25">
      <c r="D29" s="95" t="s">
        <v>175</v>
      </c>
      <c r="E29" s="17">
        <f>SUM(E$24:E$28)</f>
        <v>0</v>
      </c>
      <c r="F29" s="17"/>
      <c r="G29" s="17">
        <f>SUM(G$24:G$28)</f>
        <v>0</v>
      </c>
      <c r="H29" s="17"/>
      <c r="I29" s="17">
        <f>SUM(I$24:I$28)</f>
        <v>0</v>
      </c>
      <c r="J29" s="17"/>
      <c r="K29" s="17">
        <f t="shared" si="0"/>
        <v>0</v>
      </c>
      <c r="L29" s="17"/>
      <c r="M29" s="17">
        <f>SUM(M$24:M$28)</f>
        <v>0</v>
      </c>
      <c r="N29" s="17"/>
      <c r="O29" s="17">
        <f>SUM(O24:O28)</f>
        <v>0</v>
      </c>
      <c r="P29" s="18"/>
    </row>
    <row r="30" spans="4:16" x14ac:dyDescent="0.25">
      <c r="E30" s="60"/>
      <c r="F30" s="60"/>
      <c r="G30" s="60"/>
      <c r="H30" s="60"/>
      <c r="I30" s="60"/>
      <c r="J30" s="60"/>
      <c r="K30" s="60"/>
      <c r="L30" s="60"/>
      <c r="M30" s="60"/>
      <c r="N30" s="60"/>
    </row>
    <row r="31" spans="4:16" x14ac:dyDescent="0.25">
      <c r="D31" s="96" t="s">
        <v>90</v>
      </c>
      <c r="E31" s="19"/>
      <c r="F31" s="20">
        <f>SUMIFS(tabSuperdettagli[ORE_],tabSuperdettagli[da considerare?_],"sì",tabSuperdettagli[Anno_],E$22,tabSuperdettagli[ProjType Cluster2],$D31)/1000</f>
        <v>0</v>
      </c>
      <c r="G31" s="20"/>
      <c r="H31" s="20">
        <f>SUMIFS(tabSuperdettagli[ORE_],tabSuperdettagli[da considerare?_],"sì",tabSuperdettagli[Anno_],G$22,tabSuperdettagli[ProjType Cluster2],$D31)/1000</f>
        <v>0</v>
      </c>
      <c r="I31" s="21"/>
      <c r="J31" s="20">
        <f>SUMIFS(tblBudget[BDG_],tblBudget[da considerare?_],"sì",tblBudget[ProjType Cluster 2_],$D31)/1000</f>
        <v>0</v>
      </c>
      <c r="K31" s="20"/>
      <c r="L31" s="20">
        <f t="shared" ref="L31:L39" si="1">N31/cell_perc_RR</f>
        <v>0</v>
      </c>
      <c r="M31" s="20"/>
      <c r="N31" s="20">
        <f>SUMIFS(tabSuperdettagli[ORE_],tabSuperdettagli[da considerare?_],"sì",tabSuperdettagli[Anno_],M$22,tabSuperdettagli[ProjType Cluster2],$D31)/1000</f>
        <v>0</v>
      </c>
      <c r="O31" s="21"/>
      <c r="P31" s="22">
        <f>SUMIFS(tblForecast[FORECAST Totale_],tblForecast[da considerare?],"sì",tblForecast[Proj type cluster 2],D31)/1000</f>
        <v>0</v>
      </c>
    </row>
    <row r="32" spans="4:16" x14ac:dyDescent="0.25">
      <c r="D32" s="97" t="s">
        <v>176</v>
      </c>
      <c r="E32" s="23"/>
      <c r="F32" s="24">
        <f>SUMIFS(tabSuperdettagli[ORE_],tabSuperdettagli[da considerare?_],"sì",tabSuperdettagli[Anno_],E$22,tabSuperdettagli[ProjType Cluster2],$D32)/1000</f>
        <v>0</v>
      </c>
      <c r="G32" s="24"/>
      <c r="H32" s="24">
        <f>SUMIFS(tabSuperdettagli[ORE_],tabSuperdettagli[da considerare?_],"sì",tabSuperdettagli[Anno_],G$22,tabSuperdettagli[ProjType Cluster2],$D32)/1000</f>
        <v>0</v>
      </c>
      <c r="I32" s="25"/>
      <c r="J32" s="24">
        <f>SUMIFS(tblBudget[BDG_],tblBudget[da considerare?_],"sì",tblBudget[ProjType Cluster 2_],$D32)/1000</f>
        <v>0</v>
      </c>
      <c r="K32" s="24"/>
      <c r="L32" s="24">
        <f>N32/cell_perc_RR</f>
        <v>0</v>
      </c>
      <c r="M32" s="24"/>
      <c r="N32" s="24">
        <f>SUMIFS(tabSuperdettagli[ORE_],tabSuperdettagli[da considerare?_],"sì",tabSuperdettagli[Anno_],M$22,tabSuperdettagli[ProjType Cluster2],$D32)/1000</f>
        <v>0</v>
      </c>
      <c r="O32" s="25"/>
      <c r="P32" s="26">
        <f>SUMIFS(tblForecast[FORECAST Totale_],tblForecast[da considerare?],"sì",tblForecast[Proj type cluster 2],D32)/1000</f>
        <v>0</v>
      </c>
    </row>
    <row r="33" spans="4:16" x14ac:dyDescent="0.25">
      <c r="D33" s="98" t="s">
        <v>177</v>
      </c>
      <c r="E33" s="27"/>
      <c r="F33" s="28">
        <f>SUMIFS(tabSuperdettagli[ORE_],tabSuperdettagli[da considerare?_],"sì",tabSuperdettagli[Anno_],E$22,tabSuperdettagli[ProjType Cluster],$D33)/1000</f>
        <v>0</v>
      </c>
      <c r="G33" s="28"/>
      <c r="H33" s="28">
        <f>SUMIFS(tabSuperdettagli[ORE_],tabSuperdettagli[da considerare?_],"sì",tabSuperdettagli[Anno_],G$22,tabSuperdettagli[ProjType Cluster],$D33)/1000</f>
        <v>0</v>
      </c>
      <c r="I33" s="29"/>
      <c r="J33" s="28">
        <f>SUMIFS(tblBudget[BDG_],tblBudget[da considerare?_],"sì",tblBudget[ProjType Cluster 1_],$D33)/1000</f>
        <v>0</v>
      </c>
      <c r="K33" s="28"/>
      <c r="L33" s="28">
        <f t="shared" si="1"/>
        <v>0</v>
      </c>
      <c r="M33" s="28"/>
      <c r="N33" s="28">
        <f>SUMIFS(tabSuperdettagli[ORE_],tabSuperdettagli[da considerare?_],"sì",tabSuperdettagli[Anno_],M$22,tabSuperdettagli[ProjType Cluster],$D33)/1000</f>
        <v>0</v>
      </c>
      <c r="O33" s="29"/>
      <c r="P33" s="30">
        <f>SUMIFS(tblForecast[FORECAST Totale_],tblForecast[da considerare?],"sì",tblForecast[Proj type cluster 1],D33)/1000</f>
        <v>0</v>
      </c>
    </row>
    <row r="34" spans="4:16" x14ac:dyDescent="0.25">
      <c r="D34" s="99" t="s">
        <v>91</v>
      </c>
      <c r="E34" s="31"/>
      <c r="F34" s="32">
        <f>SUMIFS(tabSuperdettagli[ORE_],tabSuperdettagli[da considerare?_],"sì",tabSuperdettagli[Anno_],E$22,tabSuperdettagli[ProjType Cluster],$D34)/1000</f>
        <v>0</v>
      </c>
      <c r="G34" s="32"/>
      <c r="H34" s="32">
        <f>SUMIFS(tabSuperdettagli[ORE_],tabSuperdettagli[da considerare?_],"sì",tabSuperdettagli[Anno_],G$22,tabSuperdettagli[ProjType Cluster],$D34)/1000</f>
        <v>0</v>
      </c>
      <c r="I34" s="33"/>
      <c r="J34" s="32">
        <f>SUMIFS(tblBudget[BDG_],tblBudget[da considerare?_],"sì",tblBudget[ProjType Cluster 1_],$D34)/1000</f>
        <v>0</v>
      </c>
      <c r="K34" s="32"/>
      <c r="L34" s="32">
        <f t="shared" si="1"/>
        <v>0</v>
      </c>
      <c r="M34" s="32"/>
      <c r="N34" s="32">
        <f>SUMIFS(tabSuperdettagli[ORE_],tabSuperdettagli[da considerare?_],"sì",tabSuperdettagli[Anno_],M$22,tabSuperdettagli[ProjType Cluster],$D34)/1000</f>
        <v>0</v>
      </c>
      <c r="O34" s="33"/>
      <c r="P34" s="34">
        <f>SUMIFS(tblForecast[FORECAST Totale_],tblForecast[da considerare?],"sì",tblForecast[Proj type cluster 1],D34)/1000</f>
        <v>0</v>
      </c>
    </row>
    <row r="35" spans="4:16" x14ac:dyDescent="0.25">
      <c r="D35" s="100" t="s">
        <v>178</v>
      </c>
      <c r="E35" s="35"/>
      <c r="F35" s="36">
        <f>SUMIFS(tabSuperdettagli[ORE_],tabSuperdettagli[da considerare?_],"sì",tabSuperdettagli[Anno_],E$22,tabSuperdettagli[ProjType Cluster],$D35)/1000</f>
        <v>0</v>
      </c>
      <c r="G35" s="36"/>
      <c r="H35" s="36">
        <f>SUMIFS(tabSuperdettagli[ORE_],tabSuperdettagli[da considerare?_],"sì",tabSuperdettagli[Anno_],G$22,tabSuperdettagli[ProjType Cluster],$D35)/1000</f>
        <v>0</v>
      </c>
      <c r="I35" s="37"/>
      <c r="J35" s="36">
        <f>SUMIFS(tblBudget[BDG_],tblBudget[da considerare?_],"sì",tblBudget[ProjType Cluster 1_],$D35)/1000</f>
        <v>0</v>
      </c>
      <c r="K35" s="36"/>
      <c r="L35" s="36">
        <f t="shared" si="1"/>
        <v>0</v>
      </c>
      <c r="M35" s="36"/>
      <c r="N35" s="36">
        <f>SUMIFS(tabSuperdettagli[ORE_],tabSuperdettagli[da considerare?_],"sì",tabSuperdettagli[Anno_],M$22,tabSuperdettagli[ProjType Cluster],$D35)/1000</f>
        <v>0</v>
      </c>
      <c r="O35" s="37"/>
      <c r="P35" s="38">
        <f>SUMIFS(tblForecast[FORECAST Totale_],tblForecast[da considerare?],"sì",tblForecast[Proj type cluster 1],D35)/1000</f>
        <v>0</v>
      </c>
    </row>
    <row r="36" spans="4:16" x14ac:dyDescent="0.25">
      <c r="D36" s="101" t="s">
        <v>179</v>
      </c>
      <c r="E36" s="39"/>
      <c r="F36" s="40">
        <f>SUMIFS(tabSuperdettagli[ORE_],tabSuperdettagli[da considerare?_],"sì",tabSuperdettagli[Anno_],E$22,tabSuperdettagli[ProjType Cluster],$D36)/1000</f>
        <v>0</v>
      </c>
      <c r="G36" s="40"/>
      <c r="H36" s="40">
        <f>SUMIFS(tabSuperdettagli[ORE_],tabSuperdettagli[da considerare?_],"sì",tabSuperdettagli[Anno_],G$22,tabSuperdettagli[ProjType Cluster],$D36)/1000</f>
        <v>0</v>
      </c>
      <c r="I36" s="41"/>
      <c r="J36" s="40">
        <f>SUMIFS(tblBudget[BDG_],tblBudget[da considerare?_],"sì",tblBudget[ProjType Cluster 1_],$D36)/1000</f>
        <v>0</v>
      </c>
      <c r="K36" s="40"/>
      <c r="L36" s="40">
        <f t="shared" si="1"/>
        <v>0</v>
      </c>
      <c r="M36" s="40"/>
      <c r="N36" s="40">
        <f>SUMIFS(tabSuperdettagli[ORE_],tabSuperdettagli[da considerare?_],"sì",tabSuperdettagli[Anno_],M$22,tabSuperdettagli[ProjType Cluster],$D36)/1000</f>
        <v>0</v>
      </c>
      <c r="O36" s="41"/>
      <c r="P36" s="42">
        <f>SUMIFS(tblForecast[FORECAST Totale_],tblForecast[da considerare?],"sì",tblForecast[Proj type cluster 1],D36)/1000</f>
        <v>0</v>
      </c>
    </row>
    <row r="37" spans="4:16" x14ac:dyDescent="0.25">
      <c r="D37" s="102" t="s">
        <v>180</v>
      </c>
      <c r="E37" s="43"/>
      <c r="F37" s="44">
        <f>SUMIFS(tabSuperdettagli[ORE_],tabSuperdettagli[da considerare?_],"sì",tabSuperdettagli[Anno_],E$22,tabSuperdettagli[ProjType Cluster],$D37)/1000</f>
        <v>0</v>
      </c>
      <c r="G37" s="44"/>
      <c r="H37" s="44">
        <f>SUMIFS(tabSuperdettagli[ORE_],tabSuperdettagli[da considerare?_],"sì",tabSuperdettagli[Anno_],G$22,tabSuperdettagli[ProjType Cluster],$D37)/1000</f>
        <v>0</v>
      </c>
      <c r="I37" s="45"/>
      <c r="J37" s="44">
        <f>SUMIFS(tblBudget[BDG_],tblBudget[da considerare?_],"sì",tblBudget[ProjType Cluster 1_],$D37)/1000</f>
        <v>0</v>
      </c>
      <c r="K37" s="44"/>
      <c r="L37" s="44">
        <f t="shared" si="1"/>
        <v>0</v>
      </c>
      <c r="M37" s="44"/>
      <c r="N37" s="44">
        <f>SUMIFS(tabSuperdettagli[ORE_],tabSuperdettagli[da considerare?_],"sì",tabSuperdettagli[Anno_],M$22,tabSuperdettagli[ProjType Cluster],$D37)/1000</f>
        <v>0</v>
      </c>
      <c r="O37" s="45"/>
      <c r="P37" s="46">
        <f>SUMIFS(tblForecast[FORECAST Totale_],tblForecast[da considerare?],"sì",tblForecast[Proj type cluster 1],D37)/1000</f>
        <v>0</v>
      </c>
    </row>
    <row r="38" spans="4:16" x14ac:dyDescent="0.25">
      <c r="D38" s="103" t="s">
        <v>181</v>
      </c>
      <c r="E38" s="47"/>
      <c r="F38" s="48">
        <f>ROUND(SUMIFS(tabSuperdettagli[ORE_],tabSuperdettagli[da considerare?_],"sì",tabSuperdettagli[Anno_],E$22)/1000-SUM(F31:F37),0)</f>
        <v>0</v>
      </c>
      <c r="G38" s="48"/>
      <c r="H38" s="48">
        <f>ROUND(SUMIFS(tabSuperdettagli[ORE_],tabSuperdettagli[da considerare?_],"sì",tabSuperdettagli[Anno_],G$28)/1000-SUM(H31:H37),0)</f>
        <v>0</v>
      </c>
      <c r="I38" s="49"/>
      <c r="J38" s="48">
        <f>ROUND(SUMIFS(tblBudget[BDG_],tblBudget[da considerare?_],"sì")/1000-SUM(J$31:J$37),0)</f>
        <v>0</v>
      </c>
      <c r="K38" s="48"/>
      <c r="L38" s="48">
        <f t="shared" si="1"/>
        <v>0</v>
      </c>
      <c r="M38" s="48"/>
      <c r="N38" s="48">
        <f>ROUND(SUMIFS(tabSuperdettagli[ORE_],tabSuperdettagli[da considerare?_],"sì",tabSuperdettagli[Anno_],M$28)/1000-SUM(N31:N37),0)</f>
        <v>0</v>
      </c>
      <c r="O38" s="49"/>
      <c r="P38" s="50">
        <f>SUMIFS(tblForecast[FORECAST Totale_],tblForecast[da considerare?],"sì")/1000-SUM(P31:P37)</f>
        <v>0.08</v>
      </c>
    </row>
    <row r="39" spans="4:16" x14ac:dyDescent="0.25">
      <c r="D39" s="104" t="s">
        <v>182</v>
      </c>
      <c r="E39" s="52"/>
      <c r="F39" s="52">
        <f>SUM(F31:F38)</f>
        <v>0</v>
      </c>
      <c r="G39" s="52"/>
      <c r="H39" s="52">
        <f>SUM(H31:H38)</f>
        <v>0</v>
      </c>
      <c r="I39" s="52"/>
      <c r="J39" s="52">
        <f>SUM(J31:J38)</f>
        <v>0</v>
      </c>
      <c r="K39" s="52"/>
      <c r="L39" s="52">
        <f t="shared" si="1"/>
        <v>0</v>
      </c>
      <c r="M39" s="52"/>
      <c r="N39" s="52">
        <f>SUM(N31:N38)</f>
        <v>0</v>
      </c>
      <c r="O39" s="51"/>
      <c r="P39" s="52">
        <f>SUM(P31:P38)</f>
        <v>0.08</v>
      </c>
    </row>
  </sheetData>
  <mergeCells count="7">
    <mergeCell ref="M22:N22"/>
    <mergeCell ref="O22:P22"/>
    <mergeCell ref="A1:B1"/>
    <mergeCell ref="E22:F22"/>
    <mergeCell ref="G22:H22"/>
    <mergeCell ref="I22:J22"/>
    <mergeCell ref="K22:L22"/>
  </mergeCells>
  <pageMargins left="0.7" right="0.7" top="0.75" bottom="0.75" header="0.3" footer="0.3"/>
  <pageSetup paperSize="9"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8"/>
  <sheetViews>
    <sheetView zoomScaleNormal="100" workbookViewId="0">
      <selection activeCell="D5" sqref="D5"/>
    </sheetView>
  </sheetViews>
  <sheetFormatPr defaultRowHeight="15" x14ac:dyDescent="0.25"/>
  <cols>
    <col min="1" max="2" width="15.7109375" customWidth="1"/>
    <col min="4" max="4" width="13.140625" bestFit="1" customWidth="1"/>
    <col min="5" max="5" width="53.5703125" bestFit="1" customWidth="1"/>
    <col min="6" max="10" width="4.85546875" bestFit="1" customWidth="1"/>
    <col min="11" max="11" width="6.7109375" bestFit="1" customWidth="1"/>
    <col min="12" max="12" width="10.7109375" bestFit="1" customWidth="1"/>
  </cols>
  <sheetData>
    <row r="1" spans="1:4" ht="15.75" x14ac:dyDescent="0.25">
      <c r="A1" s="148" t="s">
        <v>165</v>
      </c>
      <c r="B1" s="149"/>
    </row>
    <row r="2" spans="1:4" x14ac:dyDescent="0.25">
      <c r="A2" s="105" t="s">
        <v>166</v>
      </c>
      <c r="B2" s="106" t="s">
        <v>184</v>
      </c>
    </row>
    <row r="5" spans="1:4" x14ac:dyDescent="0.25">
      <c r="D5" s="109" t="s">
        <v>240</v>
      </c>
    </row>
    <row r="6" spans="1:4" x14ac:dyDescent="0.25">
      <c r="D6" s="70">
        <v>2023</v>
      </c>
    </row>
    <row r="7" spans="1:4" x14ac:dyDescent="0.25">
      <c r="D7" s="110" t="s">
        <v>193</v>
      </c>
    </row>
    <row r="8" spans="1:4" x14ac:dyDescent="0.25">
      <c r="D8" s="70" t="s">
        <v>241</v>
      </c>
    </row>
  </sheetData>
  <mergeCells count="1">
    <mergeCell ref="A1:B1"/>
  </mergeCells>
  <pageMargins left="0.7" right="0.7" top="0.75" bottom="0.75" header="0.3" footer="0.3"/>
  <pageSetup paperSize="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2"/>
  <sheetViews>
    <sheetView zoomScaleNormal="100" workbookViewId="0">
      <selection sqref="A1:B1"/>
    </sheetView>
  </sheetViews>
  <sheetFormatPr defaultRowHeight="15" x14ac:dyDescent="0.25"/>
  <cols>
    <col min="1" max="2" width="15.7109375" customWidth="1"/>
  </cols>
  <sheetData>
    <row r="1" spans="1:2" ht="15.75" x14ac:dyDescent="0.25">
      <c r="A1" s="148" t="s">
        <v>165</v>
      </c>
      <c r="B1" s="149"/>
    </row>
    <row r="2" spans="1:2" x14ac:dyDescent="0.25">
      <c r="A2" s="105" t="s">
        <v>166</v>
      </c>
      <c r="B2" s="106" t="s">
        <v>183</v>
      </c>
    </row>
  </sheetData>
  <mergeCells count="1">
    <mergeCell ref="A1:B1"/>
  </mergeCells>
  <pageMargins left="0.7" right="0.7" top="0.75" bottom="0.75" header="0.3" footer="0.3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2"/>
  <sheetViews>
    <sheetView zoomScaleNormal="100" workbookViewId="0">
      <selection sqref="A1:B1"/>
    </sheetView>
  </sheetViews>
  <sheetFormatPr defaultRowHeight="15" x14ac:dyDescent="0.25"/>
  <cols>
    <col min="1" max="2" width="15.7109375" customWidth="1"/>
  </cols>
  <sheetData>
    <row r="1" spans="1:2" ht="15.75" x14ac:dyDescent="0.25">
      <c r="A1" s="148" t="s">
        <v>165</v>
      </c>
      <c r="B1" s="149"/>
    </row>
    <row r="2" spans="1:2" x14ac:dyDescent="0.25">
      <c r="A2" s="105" t="s">
        <v>166</v>
      </c>
      <c r="B2" s="106" t="s">
        <v>184</v>
      </c>
    </row>
  </sheetData>
  <mergeCells count="1">
    <mergeCell ref="A1:B1"/>
  </mergeCells>
  <pageMargins left="0.7" right="0.7" top="0.75" bottom="0.75" header="0.3" footer="0.3"/>
  <pageSetup paperSize="9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2"/>
  <sheetViews>
    <sheetView zoomScaleNormal="100" workbookViewId="0">
      <selection sqref="A1:B1"/>
    </sheetView>
  </sheetViews>
  <sheetFormatPr defaultRowHeight="15" x14ac:dyDescent="0.25"/>
  <cols>
    <col min="1" max="2" width="15.7109375" customWidth="1"/>
  </cols>
  <sheetData>
    <row r="1" spans="1:2" ht="15.75" x14ac:dyDescent="0.25">
      <c r="A1" s="148" t="s">
        <v>165</v>
      </c>
      <c r="B1" s="149"/>
    </row>
    <row r="2" spans="1:2" x14ac:dyDescent="0.25">
      <c r="A2" s="105" t="s">
        <v>166</v>
      </c>
      <c r="B2" s="106" t="s">
        <v>185</v>
      </c>
    </row>
  </sheetData>
  <mergeCells count="1">
    <mergeCell ref="A1:B1"/>
  </mergeCells>
  <pageMargins left="0.7" right="0.7" top="0.75" bottom="0.75" header="0.3" footer="0.3"/>
  <pageSetup paperSize="9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2"/>
  <sheetViews>
    <sheetView zoomScaleNormal="100" workbookViewId="0">
      <selection sqref="A1:B1"/>
    </sheetView>
  </sheetViews>
  <sheetFormatPr defaultRowHeight="15" x14ac:dyDescent="0.25"/>
  <cols>
    <col min="1" max="2" width="15.7109375" customWidth="1"/>
  </cols>
  <sheetData>
    <row r="1" spans="1:2" ht="15.75" x14ac:dyDescent="0.25">
      <c r="A1" s="148" t="s">
        <v>165</v>
      </c>
      <c r="B1" s="149"/>
    </row>
    <row r="2" spans="1:2" x14ac:dyDescent="0.25">
      <c r="A2" s="105" t="s">
        <v>166</v>
      </c>
      <c r="B2" s="106" t="s">
        <v>186</v>
      </c>
    </row>
  </sheetData>
  <mergeCells count="1">
    <mergeCell ref="A1:B1"/>
  </mergeCells>
  <pageMargins left="0.7" right="0.7" top="0.75" bottom="0.75" header="0.3" footer="0.3"/>
  <pageSetup paperSize="9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B2"/>
  <sheetViews>
    <sheetView zoomScaleNormal="100" workbookViewId="0">
      <selection sqref="A1:B1"/>
    </sheetView>
  </sheetViews>
  <sheetFormatPr defaultRowHeight="15" x14ac:dyDescent="0.25"/>
  <cols>
    <col min="1" max="2" width="15.7109375" customWidth="1"/>
  </cols>
  <sheetData>
    <row r="1" spans="1:2" ht="15.75" x14ac:dyDescent="0.25">
      <c r="A1" s="148" t="s">
        <v>165</v>
      </c>
      <c r="B1" s="149"/>
    </row>
    <row r="2" spans="1:2" x14ac:dyDescent="0.25">
      <c r="A2" s="105" t="s">
        <v>166</v>
      </c>
      <c r="B2" s="106" t="s">
        <v>184</v>
      </c>
    </row>
  </sheetData>
  <mergeCells count="1">
    <mergeCell ref="A1:B1"/>
  </mergeCells>
  <pageMargins left="0.7" right="0.7" top="0.75" bottom="0.75" header="0.3" footer="0.3"/>
  <pageSetup paperSize="9"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B2"/>
  <sheetViews>
    <sheetView zoomScaleNormal="100" workbookViewId="0">
      <selection sqref="A1:B1"/>
    </sheetView>
  </sheetViews>
  <sheetFormatPr defaultRowHeight="15" x14ac:dyDescent="0.25"/>
  <cols>
    <col min="1" max="2" width="15.7109375" customWidth="1"/>
  </cols>
  <sheetData>
    <row r="1" spans="1:2" ht="15.75" x14ac:dyDescent="0.25">
      <c r="A1" s="148" t="s">
        <v>165</v>
      </c>
      <c r="B1" s="149"/>
    </row>
    <row r="2" spans="1:2" x14ac:dyDescent="0.25">
      <c r="A2" s="105" t="s">
        <v>166</v>
      </c>
      <c r="B2" s="106" t="s">
        <v>184</v>
      </c>
    </row>
  </sheetData>
  <mergeCells count="1">
    <mergeCell ref="A1:B1"/>
  </mergeCells>
  <pageMargins left="0.7" right="0.7" top="0.75" bottom="0.75" header="0.3" footer="0.3"/>
  <pageSetup paperSize="9"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B2"/>
  <sheetViews>
    <sheetView zoomScaleNormal="100" workbookViewId="0">
      <selection sqref="A1:B1"/>
    </sheetView>
  </sheetViews>
  <sheetFormatPr defaultRowHeight="15" x14ac:dyDescent="0.25"/>
  <cols>
    <col min="1" max="2" width="15.7109375" customWidth="1"/>
  </cols>
  <sheetData>
    <row r="1" spans="1:2" ht="15.75" x14ac:dyDescent="0.25">
      <c r="A1" s="148" t="s">
        <v>165</v>
      </c>
      <c r="B1" s="149"/>
    </row>
    <row r="2" spans="1:2" x14ac:dyDescent="0.25">
      <c r="A2" s="105" t="s">
        <v>166</v>
      </c>
      <c r="B2" s="106" t="s">
        <v>184</v>
      </c>
    </row>
  </sheetData>
  <mergeCells count="1">
    <mergeCell ref="A1:B1"/>
  </mergeCells>
  <pageMargins left="0.7" right="0.7" top="0.75" bottom="0.75" header="0.3" footer="0.3"/>
  <pageSetup paperSize="9"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B2"/>
  <sheetViews>
    <sheetView zoomScaleNormal="100" workbookViewId="0">
      <selection sqref="A1:B1"/>
    </sheetView>
  </sheetViews>
  <sheetFormatPr defaultRowHeight="15" x14ac:dyDescent="0.25"/>
  <cols>
    <col min="1" max="2" width="15.7109375" customWidth="1"/>
  </cols>
  <sheetData>
    <row r="1" spans="1:2" ht="15.75" x14ac:dyDescent="0.25">
      <c r="A1" s="148" t="s">
        <v>165</v>
      </c>
      <c r="B1" s="149"/>
    </row>
    <row r="2" spans="1:2" x14ac:dyDescent="0.25">
      <c r="A2" s="105" t="s">
        <v>166</v>
      </c>
      <c r="B2" s="106" t="s">
        <v>184</v>
      </c>
    </row>
  </sheetData>
  <mergeCells count="1">
    <mergeCell ref="A1:B1"/>
  </mergeCells>
  <pageMargins left="0.7" right="0.7" top="0.75" bottom="0.75" header="0.3" footer="0.3"/>
  <pageSetup paperSize="9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B2"/>
  <sheetViews>
    <sheetView zoomScaleNormal="100" workbookViewId="0">
      <selection sqref="A1:B1"/>
    </sheetView>
  </sheetViews>
  <sheetFormatPr defaultRowHeight="15" x14ac:dyDescent="0.25"/>
  <cols>
    <col min="1" max="2" width="15.7109375" customWidth="1"/>
  </cols>
  <sheetData>
    <row r="1" spans="1:2" ht="15.75" x14ac:dyDescent="0.25">
      <c r="A1" s="148" t="s">
        <v>165</v>
      </c>
      <c r="B1" s="149"/>
    </row>
    <row r="2" spans="1:2" x14ac:dyDescent="0.25">
      <c r="A2" s="105" t="s">
        <v>166</v>
      </c>
      <c r="B2" s="106" t="s">
        <v>184</v>
      </c>
    </row>
  </sheetData>
  <mergeCells count="1">
    <mergeCell ref="A1:B1"/>
  </mergeCells>
  <pageMargins left="0.7" right="0.7" top="0.75" bottom="0.75" header="0.3" footer="0.3"/>
  <pageSetup paperSize="9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B2"/>
  <sheetViews>
    <sheetView zoomScaleNormal="100" workbookViewId="0">
      <selection sqref="A1:B1"/>
    </sheetView>
  </sheetViews>
  <sheetFormatPr defaultRowHeight="15" x14ac:dyDescent="0.25"/>
  <cols>
    <col min="1" max="2" width="15.7109375" customWidth="1"/>
  </cols>
  <sheetData>
    <row r="1" spans="1:2" ht="15.75" x14ac:dyDescent="0.25">
      <c r="A1" s="148" t="s">
        <v>165</v>
      </c>
      <c r="B1" s="149"/>
    </row>
    <row r="2" spans="1:2" x14ac:dyDescent="0.25">
      <c r="A2" s="105" t="s">
        <v>166</v>
      </c>
      <c r="B2" s="106" t="s">
        <v>184</v>
      </c>
    </row>
  </sheetData>
  <mergeCells count="1">
    <mergeCell ref="A1:B1"/>
  </mergeCells>
  <pageMargins left="0.7" right="0.7" top="0.75" bottom="0.75" header="0.3" footer="0.3"/>
  <pageSetup paperSize="9"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B2"/>
  <sheetViews>
    <sheetView zoomScaleNormal="100" workbookViewId="0">
      <selection sqref="A1:B1"/>
    </sheetView>
  </sheetViews>
  <sheetFormatPr defaultRowHeight="15" x14ac:dyDescent="0.25"/>
  <cols>
    <col min="1" max="2" width="15.7109375" customWidth="1"/>
  </cols>
  <sheetData>
    <row r="1" spans="1:2" ht="15.75" x14ac:dyDescent="0.25">
      <c r="A1" s="148" t="s">
        <v>165</v>
      </c>
      <c r="B1" s="149"/>
    </row>
    <row r="2" spans="1:2" x14ac:dyDescent="0.25">
      <c r="A2" s="105" t="s">
        <v>166</v>
      </c>
      <c r="B2" s="106" t="s">
        <v>184</v>
      </c>
    </row>
  </sheetData>
  <mergeCells count="1">
    <mergeCell ref="A1:B1"/>
  </mergeCells>
  <pageMargins left="0.7" right="0.7" top="0.75" bottom="0.75" header="0.3" footer="0.3"/>
  <pageSetup paperSize="9"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B2"/>
  <sheetViews>
    <sheetView zoomScaleNormal="100" workbookViewId="0">
      <selection sqref="A1:B1"/>
    </sheetView>
  </sheetViews>
  <sheetFormatPr defaultRowHeight="15" x14ac:dyDescent="0.25"/>
  <cols>
    <col min="1" max="2" width="15.7109375" customWidth="1"/>
  </cols>
  <sheetData>
    <row r="1" spans="1:2" ht="15.75" x14ac:dyDescent="0.25">
      <c r="A1" s="148" t="s">
        <v>165</v>
      </c>
      <c r="B1" s="149"/>
    </row>
    <row r="2" spans="1:2" x14ac:dyDescent="0.25">
      <c r="A2" s="105" t="s">
        <v>166</v>
      </c>
      <c r="B2" s="106" t="s">
        <v>184</v>
      </c>
    </row>
  </sheetData>
  <mergeCells count="1">
    <mergeCell ref="A1:B1"/>
  </mergeCells>
  <pageMargins left="0.7" right="0.7" top="0.75" bottom="0.75" header="0.3" footer="0.3"/>
  <pageSetup paperSize="9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B2"/>
  <sheetViews>
    <sheetView zoomScaleNormal="100" workbookViewId="0">
      <selection sqref="A1:B1"/>
    </sheetView>
  </sheetViews>
  <sheetFormatPr defaultRowHeight="15" x14ac:dyDescent="0.25"/>
  <cols>
    <col min="1" max="2" width="15.7109375" customWidth="1"/>
  </cols>
  <sheetData>
    <row r="1" spans="1:2" ht="15.75" x14ac:dyDescent="0.25">
      <c r="A1" s="148" t="s">
        <v>165</v>
      </c>
      <c r="B1" s="149"/>
    </row>
    <row r="2" spans="1:2" x14ac:dyDescent="0.25">
      <c r="A2" s="105" t="s">
        <v>166</v>
      </c>
      <c r="B2" s="106" t="s">
        <v>184</v>
      </c>
    </row>
  </sheetData>
  <mergeCells count="1">
    <mergeCell ref="A1:B1"/>
  </mergeCells>
  <pageMargins left="0.7" right="0.7" top="0.75" bottom="0.75" header="0.3" footer="0.3"/>
  <pageSetup paperSize="9"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B2"/>
  <sheetViews>
    <sheetView zoomScaleNormal="100" workbookViewId="0">
      <selection sqref="A1:B1"/>
    </sheetView>
  </sheetViews>
  <sheetFormatPr defaultRowHeight="15" x14ac:dyDescent="0.25"/>
  <cols>
    <col min="1" max="2" width="15.7109375" customWidth="1"/>
  </cols>
  <sheetData>
    <row r="1" spans="1:2" ht="15.75" x14ac:dyDescent="0.25">
      <c r="A1" s="148" t="s">
        <v>165</v>
      </c>
      <c r="B1" s="149"/>
    </row>
    <row r="2" spans="1:2" x14ac:dyDescent="0.25">
      <c r="A2" s="105" t="s">
        <v>166</v>
      </c>
      <c r="B2" s="106" t="s">
        <v>184</v>
      </c>
    </row>
  </sheetData>
  <mergeCells count="1">
    <mergeCell ref="A1:B1"/>
  </mergeCells>
  <pageMargins left="0.7" right="0.7" top="0.75" bottom="0.75" header="0.3" footer="0.3"/>
  <pageSetup paperSize="9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B6"/>
  <sheetViews>
    <sheetView zoomScaleNormal="100" workbookViewId="0">
      <selection sqref="A1:B1"/>
    </sheetView>
  </sheetViews>
  <sheetFormatPr defaultRowHeight="15" x14ac:dyDescent="0.25"/>
  <cols>
    <col min="1" max="2" width="15.7109375" customWidth="1"/>
  </cols>
  <sheetData>
    <row r="1" spans="1:2" ht="15.75" x14ac:dyDescent="0.25">
      <c r="A1" s="148" t="s">
        <v>165</v>
      </c>
      <c r="B1" s="149"/>
    </row>
    <row r="2" spans="1:2" x14ac:dyDescent="0.25">
      <c r="A2" s="105" t="s">
        <v>166</v>
      </c>
      <c r="B2" s="106" t="s">
        <v>184</v>
      </c>
    </row>
    <row r="3" spans="1:2" x14ac:dyDescent="0.25">
      <c r="A3" s="73"/>
      <c r="B3" s="70"/>
    </row>
    <row r="4" spans="1:2" x14ac:dyDescent="0.25">
      <c r="A4" s="74"/>
      <c r="B4" s="75"/>
    </row>
    <row r="5" spans="1:2" x14ac:dyDescent="0.25">
      <c r="A5" s="73"/>
      <c r="B5" s="70"/>
    </row>
    <row r="6" spans="1:2" x14ac:dyDescent="0.25">
      <c r="A6" s="73"/>
      <c r="B6" s="70"/>
    </row>
  </sheetData>
  <mergeCells count="1">
    <mergeCell ref="A1:B1"/>
  </mergeCells>
  <pageMargins left="0.7" right="0.7" top="0.75" bottom="0.75" header="0.3" footer="0.3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Budget</vt:lpstr>
      <vt:lpstr>Forecast</vt:lpstr>
      <vt:lpstr>RunRate</vt:lpstr>
      <vt:lpstr>Superdetails</vt:lpstr>
      <vt:lpstr>CN43N</vt:lpstr>
      <vt:lpstr>pivot di appoggio</vt:lpstr>
      <vt:lpstr>table_tabProjType</vt:lpstr>
      <vt:lpstr>table_tabProjTypeCluster</vt:lpstr>
      <vt:lpstr>table_CommonTable</vt:lpstr>
      <vt:lpstr>table_tabProgettiD</vt:lpstr>
      <vt:lpstr>Powerpoint Configuration</vt:lpstr>
      <vt:lpstr>Alias-Business</vt:lpstr>
      <vt:lpstr>Alias-Categoria</vt:lpstr>
      <vt:lpstr>PP_Template</vt:lpstr>
      <vt:lpstr>PP_01</vt:lpstr>
      <vt:lpstr>PP_02</vt:lpstr>
      <vt:lpstr>PP_03</vt:lpstr>
      <vt:lpstr>PP_04</vt:lpstr>
      <vt:lpstr>PP_05</vt:lpstr>
      <vt:lpstr>PP_06</vt:lpstr>
      <vt:lpstr>PP_07</vt:lpstr>
      <vt:lpstr>PP_08</vt:lpstr>
      <vt:lpstr>PP_09</vt:lpstr>
      <vt:lpstr>PP_10</vt:lpstr>
      <vt:lpstr>PP_11</vt:lpstr>
      <vt:lpstr>PP_12</vt:lpstr>
      <vt:lpstr>PP_13</vt:lpstr>
      <vt:lpstr>PP_14</vt:lpstr>
      <vt:lpstr>PP_15</vt:lpstr>
      <vt:lpstr>PP_16</vt:lpstr>
      <vt:lpstr>PP_17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Perrino, Francesco</dc:creator>
  <cp:lastModifiedBy>Michele Fosco</cp:lastModifiedBy>
  <dcterms:created xsi:type="dcterms:W3CDTF">2015-06-05T18:17:20Z</dcterms:created>
  <dcterms:modified xsi:type="dcterms:W3CDTF">2025-12-12T23:38:31Z</dcterms:modified>
</cp:coreProperties>
</file>