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ata\Lefo\Dev\3 GDPptGenerator\Solution\PptGeneratorGUI\DataSourceFolder\"/>
    </mc:Choice>
  </mc:AlternateContent>
  <xr:revisionPtr revIDLastSave="0" documentId="13_ncr:1_{9A1C482F-341E-47BB-B29C-33ED2776766F}" xr6:coauthVersionLast="47" xr6:coauthVersionMax="47" xr10:uidLastSave="{00000000-0000-0000-0000-000000000000}"/>
  <bookViews>
    <workbookView xWindow="-120" yWindow="-120" windowWidth="38640" windowHeight="21120" tabRatio="924" activeTab="3" xr2:uid="{00000000-000D-0000-FFFF-FFFF00000000}"/>
  </bookViews>
  <sheets>
    <sheet name="Budget" sheetId="3" r:id="rId1"/>
    <sheet name="Forecast" sheetId="4" r:id="rId2"/>
    <sheet name="RunRate" sheetId="5" r:id="rId3"/>
    <sheet name="Superdetails" sheetId="1" r:id="rId4"/>
    <sheet name="CN43N" sheetId="34" r:id="rId5"/>
    <sheet name="pivot di appoggio" sheetId="33" r:id="rId6"/>
    <sheet name="table_tabProjType" sheetId="8" r:id="rId7"/>
    <sheet name="table_tabProjTypeCluster" sheetId="9" r:id="rId8"/>
    <sheet name="table_CommonTable" sheetId="10" r:id="rId9"/>
    <sheet name="table_tabProgettiD" sheetId="11" r:id="rId10"/>
    <sheet name="Powerpoint Configuration" sheetId="32" r:id="rId11"/>
    <sheet name="Alias-Business" sheetId="30" r:id="rId12"/>
    <sheet name="Alias-Categoria" sheetId="31" r:id="rId13"/>
    <sheet name="PP_Template" sheetId="12" r:id="rId14"/>
    <sheet name="PP_01" sheetId="2" r:id="rId15"/>
    <sheet name="PP_02" sheetId="13" r:id="rId16"/>
    <sheet name="PP_03" sheetId="14" r:id="rId17"/>
    <sheet name="PP_04" sheetId="16" r:id="rId18"/>
    <sheet name="PP_05" sheetId="17" r:id="rId19"/>
    <sheet name="PP_06" sheetId="18" r:id="rId20"/>
    <sheet name="PP_07" sheetId="19" r:id="rId21"/>
    <sheet name="PP_08" sheetId="20" r:id="rId22"/>
    <sheet name="PP_09" sheetId="21" r:id="rId23"/>
    <sheet name="PP_10" sheetId="22" r:id="rId24"/>
    <sheet name="PP_11" sheetId="23" r:id="rId25"/>
    <sheet name="PP_12" sheetId="24" r:id="rId26"/>
    <sheet name="PP_13" sheetId="25" r:id="rId27"/>
    <sheet name="PP_14" sheetId="26" r:id="rId28"/>
    <sheet name="PP_15" sheetId="27" r:id="rId29"/>
    <sheet name="PP_16" sheetId="28" r:id="rId30"/>
    <sheet name="PP_17" sheetId="29" r:id="rId31"/>
  </sheets>
  <definedNames>
    <definedName name="anno">"2025"</definedName>
    <definedName name="cell_perc_RR">10</definedName>
    <definedName name="mese">"10"</definedName>
    <definedName name="quarter">"Q4"</definedName>
  </definedNames>
  <calcPr calcId="191029"/>
  <pivotCaches>
    <pivotCache cacheId="5" r:id="rId3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C10" i="1"/>
  <c r="C20" i="1"/>
  <c r="C21" i="1"/>
  <c r="C23" i="1"/>
  <c r="C34" i="1"/>
  <c r="C35" i="1"/>
  <c r="D4" i="1"/>
  <c r="C4" i="1" s="1"/>
  <c r="D5" i="1"/>
  <c r="C5" i="1" s="1"/>
  <c r="D6" i="1"/>
  <c r="C6" i="1" s="1"/>
  <c r="D7" i="1"/>
  <c r="C7" i="1" s="1"/>
  <c r="D8" i="1"/>
  <c r="C8" i="1" s="1"/>
  <c r="D9" i="1"/>
  <c r="C9" i="1" s="1"/>
  <c r="D10" i="1"/>
  <c r="D11" i="1"/>
  <c r="C11" i="1" s="1"/>
  <c r="D12" i="1"/>
  <c r="C12" i="1" s="1"/>
  <c r="D13" i="1"/>
  <c r="C13" i="1" s="1"/>
  <c r="D14" i="1"/>
  <c r="C14" i="1" s="1"/>
  <c r="D15" i="1"/>
  <c r="C15" i="1" s="1"/>
  <c r="D16" i="1"/>
  <c r="C16" i="1" s="1"/>
  <c r="D17" i="1"/>
  <c r="C17" i="1" s="1"/>
  <c r="D18" i="1"/>
  <c r="C18" i="1" s="1"/>
  <c r="D19" i="1"/>
  <c r="C19" i="1" s="1"/>
  <c r="D20" i="1"/>
  <c r="D21" i="1"/>
  <c r="D22" i="1"/>
  <c r="C22" i="1" s="1"/>
  <c r="D23" i="1"/>
  <c r="D24" i="1"/>
  <c r="C24" i="1" s="1"/>
  <c r="D25" i="1"/>
  <c r="C25" i="1" s="1"/>
  <c r="D26" i="1"/>
  <c r="C26" i="1" s="1"/>
  <c r="D27" i="1"/>
  <c r="C27" i="1" s="1"/>
  <c r="D28" i="1"/>
  <c r="C28" i="1" s="1"/>
  <c r="D29" i="1"/>
  <c r="C29" i="1" s="1"/>
  <c r="D30" i="1"/>
  <c r="C30" i="1" s="1"/>
  <c r="D31" i="1"/>
  <c r="C31" i="1" s="1"/>
  <c r="D32" i="1"/>
  <c r="C32" i="1" s="1"/>
  <c r="D33" i="1"/>
  <c r="C33" i="1" s="1"/>
  <c r="D34" i="1"/>
  <c r="D35" i="1"/>
  <c r="D36" i="1"/>
  <c r="C36" i="1" s="1"/>
  <c r="D37" i="1"/>
  <c r="C37" i="1" s="1"/>
  <c r="D38" i="1"/>
  <c r="C38" i="1" s="1"/>
  <c r="D39" i="1"/>
  <c r="C39" i="1" s="1"/>
  <c r="D40" i="1"/>
  <c r="C40" i="1" s="1"/>
  <c r="D41" i="1"/>
  <c r="C41" i="1" s="1"/>
  <c r="D42" i="1"/>
  <c r="C42" i="1" s="1"/>
  <c r="D43" i="1"/>
  <c r="C43" i="1" s="1"/>
  <c r="E4" i="1"/>
  <c r="E5" i="1"/>
  <c r="E6" i="1"/>
  <c r="E7" i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E17" i="1"/>
  <c r="E18" i="1"/>
  <c r="E19" i="1"/>
  <c r="AC19" i="1" s="1"/>
  <c r="E20" i="1"/>
  <c r="AC20" i="1" s="1"/>
  <c r="E21" i="1"/>
  <c r="G21" i="1" s="1"/>
  <c r="E22" i="1"/>
  <c r="AC22" i="1" s="1"/>
  <c r="E23" i="1"/>
  <c r="AC23" i="1" s="1"/>
  <c r="E24" i="1"/>
  <c r="G24" i="1" s="1"/>
  <c r="E25" i="1"/>
  <c r="G25" i="1" s="1"/>
  <c r="E26" i="1"/>
  <c r="G26" i="1" s="1"/>
  <c r="E27" i="1"/>
  <c r="G27" i="1" s="1"/>
  <c r="E28" i="1"/>
  <c r="E29" i="1"/>
  <c r="E30" i="1"/>
  <c r="E31" i="1"/>
  <c r="G31" i="1" s="1"/>
  <c r="E32" i="1"/>
  <c r="G32" i="1" s="1"/>
  <c r="E33" i="1"/>
  <c r="G33" i="1" s="1"/>
  <c r="E34" i="1"/>
  <c r="G34" i="1" s="1"/>
  <c r="E35" i="1"/>
  <c r="G35" i="1" s="1"/>
  <c r="E36" i="1"/>
  <c r="G36" i="1" s="1"/>
  <c r="E37" i="1"/>
  <c r="G37" i="1" s="1"/>
  <c r="E38" i="1"/>
  <c r="G38" i="1" s="1"/>
  <c r="E39" i="1"/>
  <c r="G39" i="1" s="1"/>
  <c r="E40" i="1"/>
  <c r="E41" i="1"/>
  <c r="G41" i="1" s="1"/>
  <c r="E42" i="1"/>
  <c r="E43" i="1"/>
  <c r="G43" i="1" s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G4" i="1"/>
  <c r="G5" i="1"/>
  <c r="G6" i="1"/>
  <c r="G7" i="1"/>
  <c r="G16" i="1"/>
  <c r="G17" i="1"/>
  <c r="G18" i="1"/>
  <c r="G19" i="1"/>
  <c r="G20" i="1"/>
  <c r="G28" i="1"/>
  <c r="G29" i="1"/>
  <c r="G30" i="1"/>
  <c r="G40" i="1"/>
  <c r="G42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C4" i="1"/>
  <c r="AC5" i="1"/>
  <c r="AC6" i="1"/>
  <c r="AC7" i="1"/>
  <c r="AC9" i="1"/>
  <c r="AC10" i="1"/>
  <c r="AC14" i="1"/>
  <c r="AC16" i="1"/>
  <c r="AC17" i="1"/>
  <c r="AC18" i="1"/>
  <c r="AC26" i="1"/>
  <c r="AC27" i="1"/>
  <c r="AC28" i="1"/>
  <c r="AC29" i="1"/>
  <c r="AC30" i="1"/>
  <c r="AC38" i="1"/>
  <c r="AC40" i="1"/>
  <c r="AC41" i="1"/>
  <c r="AC42" i="1"/>
  <c r="AC4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D44" i="1"/>
  <c r="C44" i="1" s="1"/>
  <c r="D45" i="1"/>
  <c r="C45" i="1" s="1"/>
  <c r="D46" i="1"/>
  <c r="C46" i="1" s="1"/>
  <c r="D47" i="1"/>
  <c r="C47" i="1" s="1"/>
  <c r="D48" i="1"/>
  <c r="C48" i="1" s="1"/>
  <c r="D49" i="1"/>
  <c r="C49" i="1" s="1"/>
  <c r="D50" i="1"/>
  <c r="C50" i="1" s="1"/>
  <c r="D51" i="1"/>
  <c r="C51" i="1" s="1"/>
  <c r="D52" i="1"/>
  <c r="C52" i="1" s="1"/>
  <c r="D53" i="1"/>
  <c r="C53" i="1" s="1"/>
  <c r="D54" i="1"/>
  <c r="C54" i="1" s="1"/>
  <c r="D55" i="1"/>
  <c r="C55" i="1" s="1"/>
  <c r="D56" i="1"/>
  <c r="C56" i="1" s="1"/>
  <c r="D57" i="1"/>
  <c r="C57" i="1" s="1"/>
  <c r="D58" i="1"/>
  <c r="C58" i="1" s="1"/>
  <c r="D59" i="1"/>
  <c r="C59" i="1" s="1"/>
  <c r="D60" i="1"/>
  <c r="C60" i="1" s="1"/>
  <c r="D61" i="1"/>
  <c r="C61" i="1" s="1"/>
  <c r="D62" i="1"/>
  <c r="C62" i="1" s="1"/>
  <c r="D63" i="1"/>
  <c r="C63" i="1" s="1"/>
  <c r="D64" i="1"/>
  <c r="C64" i="1" s="1"/>
  <c r="D65" i="1"/>
  <c r="C65" i="1" s="1"/>
  <c r="D66" i="1"/>
  <c r="C66" i="1" s="1"/>
  <c r="D67" i="1"/>
  <c r="C67" i="1" s="1"/>
  <c r="D68" i="1"/>
  <c r="C68" i="1" s="1"/>
  <c r="D69" i="1"/>
  <c r="C69" i="1" s="1"/>
  <c r="D70" i="1"/>
  <c r="C70" i="1" s="1"/>
  <c r="D71" i="1"/>
  <c r="C71" i="1" s="1"/>
  <c r="D72" i="1"/>
  <c r="C72" i="1" s="1"/>
  <c r="D73" i="1"/>
  <c r="C73" i="1" s="1"/>
  <c r="D74" i="1"/>
  <c r="C74" i="1" s="1"/>
  <c r="D75" i="1"/>
  <c r="C75" i="1" s="1"/>
  <c r="D76" i="1"/>
  <c r="C76" i="1" s="1"/>
  <c r="D77" i="1"/>
  <c r="C77" i="1" s="1"/>
  <c r="D78" i="1"/>
  <c r="C78" i="1" s="1"/>
  <c r="D79" i="1"/>
  <c r="C79" i="1" s="1"/>
  <c r="D80" i="1"/>
  <c r="C80" i="1" s="1"/>
  <c r="D81" i="1"/>
  <c r="C81" i="1" s="1"/>
  <c r="D82" i="1"/>
  <c r="C82" i="1" s="1"/>
  <c r="D83" i="1"/>
  <c r="C83" i="1" s="1"/>
  <c r="E44" i="1"/>
  <c r="G44" i="1" s="1"/>
  <c r="E45" i="1"/>
  <c r="G45" i="1" s="1"/>
  <c r="E46" i="1"/>
  <c r="G46" i="1" s="1"/>
  <c r="E47" i="1"/>
  <c r="E48" i="1"/>
  <c r="G48" i="1" s="1"/>
  <c r="E49" i="1"/>
  <c r="G49" i="1" s="1"/>
  <c r="E50" i="1"/>
  <c r="G50" i="1" s="1"/>
  <c r="E51" i="1"/>
  <c r="G51" i="1" s="1"/>
  <c r="E52" i="1"/>
  <c r="G52" i="1" s="1"/>
  <c r="E53" i="1"/>
  <c r="G53" i="1" s="1"/>
  <c r="E54" i="1"/>
  <c r="G54" i="1" s="1"/>
  <c r="E55" i="1"/>
  <c r="G55" i="1" s="1"/>
  <c r="E56" i="1"/>
  <c r="AC56" i="1" s="1"/>
  <c r="E57" i="1"/>
  <c r="G57" i="1" s="1"/>
  <c r="E58" i="1"/>
  <c r="G58" i="1" s="1"/>
  <c r="E59" i="1"/>
  <c r="E60" i="1"/>
  <c r="G60" i="1" s="1"/>
  <c r="E61" i="1"/>
  <c r="G61" i="1" s="1"/>
  <c r="E62" i="1"/>
  <c r="G62" i="1" s="1"/>
  <c r="E63" i="1"/>
  <c r="G63" i="1" s="1"/>
  <c r="E64" i="1"/>
  <c r="G64" i="1" s="1"/>
  <c r="E65" i="1"/>
  <c r="G65" i="1" s="1"/>
  <c r="E66" i="1"/>
  <c r="G66" i="1" s="1"/>
  <c r="E67" i="1"/>
  <c r="G67" i="1" s="1"/>
  <c r="E68" i="1"/>
  <c r="G68" i="1" s="1"/>
  <c r="E69" i="1"/>
  <c r="G69" i="1" s="1"/>
  <c r="E70" i="1"/>
  <c r="G70" i="1" s="1"/>
  <c r="E71" i="1"/>
  <c r="E72" i="1"/>
  <c r="G72" i="1" s="1"/>
  <c r="E73" i="1"/>
  <c r="G73" i="1" s="1"/>
  <c r="E74" i="1"/>
  <c r="G74" i="1" s="1"/>
  <c r="E75" i="1"/>
  <c r="G75" i="1" s="1"/>
  <c r="E76" i="1"/>
  <c r="G76" i="1" s="1"/>
  <c r="E77" i="1"/>
  <c r="G77" i="1" s="1"/>
  <c r="E78" i="1"/>
  <c r="G78" i="1" s="1"/>
  <c r="E79" i="1"/>
  <c r="G79" i="1" s="1"/>
  <c r="E80" i="1"/>
  <c r="AC80" i="1" s="1"/>
  <c r="E81" i="1"/>
  <c r="G81" i="1" s="1"/>
  <c r="E82" i="1"/>
  <c r="G82" i="1" s="1"/>
  <c r="E8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G47" i="1"/>
  <c r="G59" i="1"/>
  <c r="G71" i="1"/>
  <c r="G8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C47" i="1"/>
  <c r="AC48" i="1"/>
  <c r="AC49" i="1"/>
  <c r="AC50" i="1"/>
  <c r="AC51" i="1"/>
  <c r="AC59" i="1"/>
  <c r="AC60" i="1"/>
  <c r="AC61" i="1"/>
  <c r="AC62" i="1"/>
  <c r="AC63" i="1"/>
  <c r="AC64" i="1"/>
  <c r="AC71" i="1"/>
  <c r="AC73" i="1"/>
  <c r="AC74" i="1"/>
  <c r="AC75" i="1"/>
  <c r="AC76" i="1"/>
  <c r="AC77" i="1"/>
  <c r="AC79" i="1"/>
  <c r="AC8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C86" i="1"/>
  <c r="C87" i="1"/>
  <c r="D84" i="1"/>
  <c r="C84" i="1" s="1"/>
  <c r="D85" i="1"/>
  <c r="C85" i="1" s="1"/>
  <c r="D86" i="1"/>
  <c r="D87" i="1"/>
  <c r="D88" i="1"/>
  <c r="C88" i="1" s="1"/>
  <c r="D89" i="1"/>
  <c r="C89" i="1" s="1"/>
  <c r="D90" i="1"/>
  <c r="C90" i="1" s="1"/>
  <c r="D91" i="1"/>
  <c r="C91" i="1" s="1"/>
  <c r="D92" i="1"/>
  <c r="C92" i="1" s="1"/>
  <c r="D93" i="1"/>
  <c r="C93" i="1" s="1"/>
  <c r="D94" i="1"/>
  <c r="C94" i="1" s="1"/>
  <c r="D95" i="1"/>
  <c r="C95" i="1" s="1"/>
  <c r="D96" i="1"/>
  <c r="C96" i="1" s="1"/>
  <c r="D97" i="1"/>
  <c r="C97" i="1" s="1"/>
  <c r="D98" i="1"/>
  <c r="C98" i="1" s="1"/>
  <c r="D99" i="1"/>
  <c r="C99" i="1" s="1"/>
  <c r="D100" i="1"/>
  <c r="C100" i="1" s="1"/>
  <c r="D101" i="1"/>
  <c r="C101" i="1" s="1"/>
  <c r="D102" i="1"/>
  <c r="C102" i="1" s="1"/>
  <c r="E84" i="1"/>
  <c r="G84" i="1" s="1"/>
  <c r="E85" i="1"/>
  <c r="AC85" i="1" s="1"/>
  <c r="E86" i="1"/>
  <c r="G86" i="1" s="1"/>
  <c r="E87" i="1"/>
  <c r="G87" i="1" s="1"/>
  <c r="E88" i="1"/>
  <c r="G88" i="1" s="1"/>
  <c r="E89" i="1"/>
  <c r="E90" i="1"/>
  <c r="AC90" i="1" s="1"/>
  <c r="E91" i="1"/>
  <c r="AC91" i="1" s="1"/>
  <c r="E92" i="1"/>
  <c r="G92" i="1" s="1"/>
  <c r="E93" i="1"/>
  <c r="G93" i="1" s="1"/>
  <c r="E94" i="1"/>
  <c r="G94" i="1" s="1"/>
  <c r="E95" i="1"/>
  <c r="G95" i="1" s="1"/>
  <c r="E96" i="1"/>
  <c r="AC96" i="1" s="1"/>
  <c r="E97" i="1"/>
  <c r="AC97" i="1" s="1"/>
  <c r="E98" i="1"/>
  <c r="AC98" i="1" s="1"/>
  <c r="E99" i="1"/>
  <c r="G99" i="1" s="1"/>
  <c r="E100" i="1"/>
  <c r="G100" i="1" s="1"/>
  <c r="E101" i="1"/>
  <c r="G101" i="1" s="1"/>
  <c r="E102" i="1"/>
  <c r="AC102" i="1" s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G89" i="1"/>
  <c r="G90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C89" i="1"/>
  <c r="AC101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V3" i="1"/>
  <c r="U3" i="1"/>
  <c r="T3" i="1"/>
  <c r="S3" i="1"/>
  <c r="R3" i="1"/>
  <c r="Q3" i="1"/>
  <c r="P3" i="1"/>
  <c r="O3" i="1"/>
  <c r="N3" i="1"/>
  <c r="M3" i="1"/>
  <c r="L3" i="1"/>
  <c r="K3" i="1"/>
  <c r="B32" i="32"/>
  <c r="B31" i="32"/>
  <c r="B30" i="32"/>
  <c r="B29" i="32"/>
  <c r="B28" i="32"/>
  <c r="B27" i="32"/>
  <c r="B26" i="32"/>
  <c r="B25" i="32"/>
  <c r="B24" i="32"/>
  <c r="B23" i="32"/>
  <c r="B22" i="32"/>
  <c r="B21" i="32"/>
  <c r="B20" i="32"/>
  <c r="B19" i="32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A2" i="10"/>
  <c r="AD3" i="1"/>
  <c r="AA3" i="1"/>
  <c r="Z3" i="1"/>
  <c r="X3" i="1"/>
  <c r="W3" i="1"/>
  <c r="J3" i="1"/>
  <c r="F3" i="1"/>
  <c r="E3" i="1"/>
  <c r="AC3" i="1" s="1"/>
  <c r="A3" i="1"/>
  <c r="D3" i="1"/>
  <c r="C3" i="1" s="1"/>
  <c r="O3" i="4"/>
  <c r="E3" i="4" s="1"/>
  <c r="N3" i="4"/>
  <c r="M3" i="4"/>
  <c r="L3" i="4"/>
  <c r="K3" i="4"/>
  <c r="J3" i="4"/>
  <c r="I3" i="4"/>
  <c r="H3" i="4"/>
  <c r="G3" i="4"/>
  <c r="F3" i="4"/>
  <c r="D3" i="4"/>
  <c r="A3" i="4"/>
  <c r="O27" i="2" s="1"/>
  <c r="J3" i="3"/>
  <c r="I3" i="3"/>
  <c r="H3" i="3"/>
  <c r="G3" i="3"/>
  <c r="E3" i="3"/>
  <c r="D3" i="3"/>
  <c r="C3" i="3"/>
  <c r="B3" i="3"/>
  <c r="A3" i="3"/>
  <c r="Y3" i="1"/>
  <c r="I27" i="2"/>
  <c r="I25" i="2"/>
  <c r="AC55" i="1" l="1"/>
  <c r="AC39" i="1"/>
  <c r="G23" i="1"/>
  <c r="G22" i="1"/>
  <c r="AC53" i="1"/>
  <c r="AC99" i="1"/>
  <c r="AC72" i="1"/>
  <c r="AC52" i="1"/>
  <c r="AC34" i="1"/>
  <c r="AC32" i="1"/>
  <c r="G102" i="1"/>
  <c r="AC67" i="1"/>
  <c r="AC31" i="1"/>
  <c r="AC15" i="1"/>
  <c r="G91" i="1"/>
  <c r="AC65" i="1"/>
  <c r="AC82" i="1"/>
  <c r="AC58" i="1"/>
  <c r="AC81" i="1"/>
  <c r="AC69" i="1"/>
  <c r="AC57" i="1"/>
  <c r="AC45" i="1"/>
  <c r="G56" i="1"/>
  <c r="AC37" i="1"/>
  <c r="AC25" i="1"/>
  <c r="AC13" i="1"/>
  <c r="AC86" i="1"/>
  <c r="AC70" i="1"/>
  <c r="AC46" i="1"/>
  <c r="AC68" i="1"/>
  <c r="AC36" i="1"/>
  <c r="AC24" i="1"/>
  <c r="AC12" i="1"/>
  <c r="AC44" i="1"/>
  <c r="AC35" i="1"/>
  <c r="AC11" i="1"/>
  <c r="AC78" i="1"/>
  <c r="AC66" i="1"/>
  <c r="AC54" i="1"/>
  <c r="G98" i="1"/>
  <c r="G80" i="1"/>
  <c r="AC33" i="1"/>
  <c r="AC21" i="1"/>
  <c r="G97" i="1"/>
  <c r="AC8" i="1"/>
  <c r="AC100" i="1"/>
  <c r="AC87" i="1"/>
  <c r="AC88" i="1"/>
  <c r="G96" i="1"/>
  <c r="AC95" i="1"/>
  <c r="AC94" i="1"/>
  <c r="AC84" i="1"/>
  <c r="AC93" i="1"/>
  <c r="G85" i="1"/>
  <c r="AC92" i="1"/>
  <c r="F35" i="2"/>
  <c r="F32" i="2"/>
  <c r="G3" i="1"/>
  <c r="H34" i="2"/>
  <c r="N35" i="2"/>
  <c r="L35" i="2" s="1"/>
  <c r="F31" i="2"/>
  <c r="M26" i="2"/>
  <c r="K26" i="2" s="1"/>
  <c r="M25" i="2"/>
  <c r="K25" i="2" s="1"/>
  <c r="F34" i="2"/>
  <c r="M24" i="2"/>
  <c r="N36" i="2"/>
  <c r="L36" i="2" s="1"/>
  <c r="E27" i="2"/>
  <c r="H35" i="2"/>
  <c r="M27" i="2"/>
  <c r="K27" i="2" s="1"/>
  <c r="G25" i="2"/>
  <c r="H36" i="2"/>
  <c r="G26" i="2"/>
  <c r="N34" i="2"/>
  <c r="L34" i="2" s="1"/>
  <c r="H31" i="2"/>
  <c r="N31" i="2"/>
  <c r="L31" i="2" s="1"/>
  <c r="E24" i="2"/>
  <c r="H37" i="2"/>
  <c r="N33" i="2"/>
  <c r="L33" i="2" s="1"/>
  <c r="F33" i="2"/>
  <c r="F36" i="2"/>
  <c r="N37" i="2"/>
  <c r="L37" i="2" s="1"/>
  <c r="H32" i="2"/>
  <c r="F37" i="2"/>
  <c r="E25" i="2"/>
  <c r="G27" i="2"/>
  <c r="H33" i="2"/>
  <c r="G24" i="2"/>
  <c r="N32" i="2"/>
  <c r="L32" i="2" s="1"/>
  <c r="E26" i="2"/>
  <c r="O25" i="2"/>
  <c r="C3" i="4"/>
  <c r="P32" i="2" s="1"/>
  <c r="O24" i="2"/>
  <c r="O26" i="2"/>
  <c r="B3" i="4"/>
  <c r="J34" i="2"/>
  <c r="J37" i="2"/>
  <c r="I24" i="2"/>
  <c r="J31" i="2"/>
  <c r="J32" i="2"/>
  <c r="J33" i="2"/>
  <c r="I26" i="2"/>
  <c r="J36" i="2"/>
  <c r="J35" i="2"/>
  <c r="G29" i="2" l="1"/>
  <c r="E29" i="2"/>
  <c r="H38" i="2"/>
  <c r="H39" i="2" s="1"/>
  <c r="F38" i="2"/>
  <c r="F39" i="2" s="1"/>
  <c r="N38" i="2"/>
  <c r="L38" i="2" s="1"/>
  <c r="M29" i="2"/>
  <c r="K29" i="2" s="1"/>
  <c r="P31" i="2"/>
  <c r="P37" i="2"/>
  <c r="P34" i="2"/>
  <c r="P33" i="2"/>
  <c r="P35" i="2"/>
  <c r="P36" i="2"/>
  <c r="O29" i="2"/>
  <c r="I29" i="2"/>
  <c r="J38" i="2"/>
  <c r="J39" i="2" s="1"/>
  <c r="N39" i="2" l="1"/>
  <c r="L39" i="2" s="1"/>
  <c r="P38" i="2"/>
  <c r="P39" i="2" s="1"/>
</calcChain>
</file>

<file path=xl/sharedStrings.xml><?xml version="1.0" encoding="utf-8"?>
<sst xmlns="http://schemas.openxmlformats.org/spreadsheetml/2006/main" count="4690" uniqueCount="306">
  <si>
    <t>FORMULA</t>
  </si>
  <si>
    <t>TO UPDATE BY SOFTWARE</t>
  </si>
  <si>
    <t>da considerare?_</t>
  </si>
  <si>
    <t>BusinessArea_</t>
  </si>
  <si>
    <t>ProjType_</t>
  </si>
  <si>
    <t>ProjType Cluster 1_</t>
  </si>
  <si>
    <t>ProjType Cluster 2_</t>
  </si>
  <si>
    <t>Nome progetto_</t>
  </si>
  <si>
    <t>EngUnit area cluster 1_</t>
  </si>
  <si>
    <t>BDG est_</t>
  </si>
  <si>
    <t>BDG int_</t>
  </si>
  <si>
    <t>BDG_</t>
  </si>
  <si>
    <t>CATEGORIA</t>
  </si>
  <si>
    <t>INT</t>
  </si>
  <si>
    <t>EST</t>
  </si>
  <si>
    <t>totale Gamberini</t>
  </si>
  <si>
    <t>INT2</t>
  </si>
  <si>
    <t>EST3</t>
  </si>
  <si>
    <t>totale Lanzarini</t>
  </si>
  <si>
    <t>TOTALE TOT</t>
  </si>
  <si>
    <t>da considerare?</t>
  </si>
  <si>
    <t>Proj type cluster 1</t>
  </si>
  <si>
    <t>Proj type cluster 2</t>
  </si>
  <si>
    <t>Business</t>
  </si>
  <si>
    <t>CATEGORIA_</t>
  </si>
  <si>
    <t>ENG TOB - INT_</t>
  </si>
  <si>
    <t>ENG TOB - EST_</t>
  </si>
  <si>
    <t>ENG TOB Totale_</t>
  </si>
  <si>
    <t>ENG LPP - INT_</t>
  </si>
  <si>
    <t>ENG LPP - EST_</t>
  </si>
  <si>
    <t>ENG LPP Totale_</t>
  </si>
  <si>
    <t>int FORECAST_</t>
  </si>
  <si>
    <t>ext FORECAST_</t>
  </si>
  <si>
    <t>FORECAST Totale_</t>
  </si>
  <si>
    <t>CATEGORIA TMP</t>
  </si>
  <si>
    <t>TOB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</si>
  <si>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</si>
  <si>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</si>
  <si>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</si>
  <si>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</si>
  <si>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</si>
  <si>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</si>
  <si>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</si>
  <si>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</si>
  <si>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</si>
  <si>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</si>
  <si>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</si>
  <si>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</si>
  <si>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Anno_</t>
  </si>
  <si>
    <t>Anno di prima marcatura (=anno di apertura progetto)</t>
  </si>
  <si>
    <t>WBS_</t>
  </si>
  <si>
    <t>U ProjType_</t>
  </si>
  <si>
    <t>ORE_</t>
  </si>
  <si>
    <t>gen_</t>
  </si>
  <si>
    <t>feb_</t>
  </si>
  <si>
    <t>mar_</t>
  </si>
  <si>
    <t>apr_</t>
  </si>
  <si>
    <t>mag_</t>
  </si>
  <si>
    <t>giu_</t>
  </si>
  <si>
    <t>lug_</t>
  </si>
  <si>
    <t>ago_</t>
  </si>
  <si>
    <t>set_</t>
  </si>
  <si>
    <t>ott_</t>
  </si>
  <si>
    <t>nov_</t>
  </si>
  <si>
    <t>dic_</t>
  </si>
  <si>
    <t>tipo risorsa_</t>
  </si>
  <si>
    <t>Resp 1°liv_</t>
  </si>
  <si>
    <t>WBS description_</t>
  </si>
  <si>
    <t>WBE description_</t>
  </si>
  <si>
    <t>WBS D description_</t>
  </si>
  <si>
    <t>WBS M description_</t>
  </si>
  <si>
    <t>WBE per WBS-K</t>
  </si>
  <si>
    <t>Resp 1°liv2</t>
  </si>
  <si>
    <t>business area</t>
  </si>
  <si>
    <t/>
  </si>
  <si>
    <t>Ferrari M.</t>
  </si>
  <si>
    <t>Gamberini G.</t>
  </si>
  <si>
    <t>TOB PK</t>
  </si>
  <si>
    <t>A</t>
  </si>
  <si>
    <t>E2</t>
  </si>
  <si>
    <t>tab_ProjType</t>
  </si>
  <si>
    <t>Macro area</t>
  </si>
  <si>
    <t>ProjType</t>
  </si>
  <si>
    <t>ProjType Cluster 1</t>
  </si>
  <si>
    <t>ProjType Cluster 2</t>
  </si>
  <si>
    <t>table_ProjTypeCluster</t>
  </si>
  <si>
    <t>B</t>
  </si>
  <si>
    <t>SearchKey</t>
  </si>
  <si>
    <t>EngUnit area cluster 2_</t>
  </si>
  <si>
    <t>C</t>
  </si>
  <si>
    <t>D</t>
  </si>
  <si>
    <t>WBS</t>
  </si>
  <si>
    <t>PROJECT HIGHLIGHT</t>
  </si>
  <si>
    <t>E</t>
  </si>
  <si>
    <t>POWERPOINT TO GENERATE</t>
  </si>
  <si>
    <t>FIELD FILTERS</t>
  </si>
  <si>
    <t>Powerpoint File</t>
  </si>
  <si>
    <t>Title</t>
  </si>
  <si>
    <t>Content 1</t>
  </si>
  <si>
    <t>Content 2</t>
  </si>
  <si>
    <t>Content 3</t>
  </si>
  <si>
    <t>Layout</t>
  </si>
  <si>
    <t>TABLE</t>
  </si>
  <si>
    <t>Nome colonna filtrabile</t>
  </si>
  <si>
    <t>Engineering KPI_Direzione.pptx</t>
  </si>
  <si>
    <t>Progetti per business area e project type</t>
  </si>
  <si>
    <t>PP_01</t>
  </si>
  <si>
    <r>
      <t xml:space="preserve">Layout </t>
    </r>
    <r>
      <rPr>
        <b/>
        <sz val="11"/>
        <color theme="1"/>
        <rFont val="Calibri"/>
        <family val="2"/>
        <scheme val="minor"/>
      </rPr>
      <t>Horizontal</t>
    </r>
  </si>
  <si>
    <t>SUPERDETTAGLI</t>
  </si>
  <si>
    <t>Ore interne / esterne</t>
  </si>
  <si>
    <t>PP_02</t>
  </si>
  <si>
    <t>Progetti per Engineering unit e project type</t>
  </si>
  <si>
    <t>PP_03</t>
  </si>
  <si>
    <t>FORECAST</t>
  </si>
  <si>
    <t>Progetti per business e tipo</t>
  </si>
  <si>
    <t>PP_04</t>
  </si>
  <si>
    <t>Progetti A</t>
  </si>
  <si>
    <t>PP_05</t>
  </si>
  <si>
    <t>Progetti C</t>
  </si>
  <si>
    <t>PP_06</t>
  </si>
  <si>
    <t>Progetti R</t>
  </si>
  <si>
    <t>PP_07</t>
  </si>
  <si>
    <r>
      <t xml:space="preserve">Layout </t>
    </r>
    <r>
      <rPr>
        <b/>
        <sz val="11"/>
        <color theme="1"/>
        <rFont val="Calibri"/>
        <family val="2"/>
        <scheme val="minor"/>
      </rPr>
      <t>Vertical</t>
    </r>
  </si>
  <si>
    <t>BUDGET</t>
  </si>
  <si>
    <t>Progetti K</t>
  </si>
  <si>
    <t>PP_08</t>
  </si>
  <si>
    <t>Progetti D</t>
  </si>
  <si>
    <t>PP_09</t>
  </si>
  <si>
    <t>Progetti K Dettaglio</t>
  </si>
  <si>
    <t>PP_10</t>
  </si>
  <si>
    <t>Progetti D Dettaglio</t>
  </si>
  <si>
    <t>PP_11</t>
  </si>
  <si>
    <t>Progetti M</t>
  </si>
  <si>
    <t>PP_12</t>
  </si>
  <si>
    <t>Progetti U (imporoduttive)</t>
  </si>
  <si>
    <t>PP_13</t>
  </si>
  <si>
    <t>Progetti U (produttive indirette)</t>
  </si>
  <si>
    <t>PP_14</t>
  </si>
  <si>
    <t>Presentazione casi test.pptx</t>
  </si>
  <si>
    <t>Una slide</t>
  </si>
  <si>
    <t>Vertical</t>
  </si>
  <si>
    <t>Horizontal</t>
  </si>
  <si>
    <t>Row values</t>
  </si>
  <si>
    <t>New value</t>
  </si>
  <si>
    <t>abcd*</t>
  </si>
  <si>
    <t>Match caso 1</t>
  </si>
  <si>
    <t>ef*gh</t>
  </si>
  <si>
    <t>Match caso 2</t>
  </si>
  <si>
    <t>*ilmn</t>
  </si>
  <si>
    <t>Match caso 3</t>
  </si>
  <si>
    <t>Caso 4</t>
  </si>
  <si>
    <t>Match caso 4</t>
  </si>
  <si>
    <t>Pippo 1, Pippo 2, Pippo 3</t>
  </si>
  <si>
    <t>Add instructions here to explain the usage of *</t>
  </si>
  <si>
    <t>Alias for the column
Categoria</t>
  </si>
  <si>
    <t>aaaa*</t>
  </si>
  <si>
    <t>Match caso A</t>
  </si>
  <si>
    <t>bb*bb</t>
  </si>
  <si>
    <t>Match caso B</t>
  </si>
  <si>
    <t>*cccc</t>
  </si>
  <si>
    <t>Match caso C</t>
  </si>
  <si>
    <t>Caso D</t>
  </si>
  <si>
    <t>Match caso D</t>
  </si>
  <si>
    <t>Pluto A, PlutoA, Pluto B, pluto C</t>
  </si>
  <si>
    <t>Powerpoint Configuration</t>
  </si>
  <si>
    <t>Print Area:</t>
  </si>
  <si>
    <t>C1:P30</t>
  </si>
  <si>
    <t>D1:P39</t>
  </si>
  <si>
    <t>2025 Q2</t>
  </si>
  <si>
    <t>project type</t>
  </si>
  <si>
    <t>PHARMA</t>
  </si>
  <si>
    <t>CONSUMER ELECTRONICS</t>
  </si>
  <si>
    <t>ESS</t>
  </si>
  <si>
    <t>ALTRI BUSINESS</t>
  </si>
  <si>
    <t>Totale</t>
  </si>
  <si>
    <t>A R E</t>
  </si>
  <si>
    <t>M</t>
  </si>
  <si>
    <t>K</t>
  </si>
  <si>
    <t>U (prod ind)</t>
  </si>
  <si>
    <t>U (impr)</t>
  </si>
  <si>
    <t>altri ProjType</t>
  </si>
  <si>
    <t xml:space="preserve"> Totale</t>
  </si>
  <si>
    <t>D1:P20</t>
  </si>
  <si>
    <t>D1:P30</t>
  </si>
  <si>
    <t>D1:H30</t>
  </si>
  <si>
    <t>D1:M30</t>
  </si>
  <si>
    <t>PP_17</t>
  </si>
  <si>
    <t>C005RD319</t>
  </si>
  <si>
    <t>MIL ANTONY</t>
  </si>
  <si>
    <t>ANALISI RICHIESTE MINORI KIT+QUOT. TOB</t>
  </si>
  <si>
    <t>SW ANALISI E STESURA SPECIFICHE</t>
  </si>
  <si>
    <t>K005.01001</t>
  </si>
  <si>
    <t>Int.</t>
  </si>
  <si>
    <t>CONV NGP PLATFORM ENG</t>
  </si>
  <si>
    <t>C005RD676</t>
  </si>
  <si>
    <t>PELE</t>
  </si>
  <si>
    <t>051</t>
  </si>
  <si>
    <t>BUFFER PROD</t>
  </si>
  <si>
    <t>Ferrari</t>
  </si>
  <si>
    <t>B21</t>
  </si>
  <si>
    <t>10-Buffer</t>
  </si>
  <si>
    <t>319</t>
  </si>
  <si>
    <t>K005.01001.TOB.010</t>
  </si>
  <si>
    <t>sì</t>
  </si>
  <si>
    <t xml:space="preserve">E2 </t>
  </si>
  <si>
    <t xml:space="preserve">Business </t>
  </si>
  <si>
    <t>COFFEE</t>
  </si>
  <si>
    <t>Alias for the column
Business</t>
  </si>
  <si>
    <t>*MACCHINA*</t>
  </si>
  <si>
    <t>Match caso Pluto</t>
  </si>
  <si>
    <t>Match caso Macchina</t>
  </si>
  <si>
    <t>PHARMA*</t>
  </si>
  <si>
    <t>Match caso Pippo</t>
  </si>
  <si>
    <t>Match caso Caffè</t>
  </si>
  <si>
    <t>Match caso Farmacia</t>
  </si>
  <si>
    <t>Categoria</t>
  </si>
  <si>
    <t>R&amp;D*</t>
  </si>
  <si>
    <t>R&amp;D</t>
  </si>
  <si>
    <t>WBS Element - Project Definition (Text)</t>
  </si>
  <si>
    <t>Network descr</t>
  </si>
  <si>
    <t>INT/EST</t>
  </si>
  <si>
    <t>MESE</t>
  </si>
  <si>
    <t>Bus Area GDLT</t>
  </si>
  <si>
    <t>Area di bdg</t>
  </si>
  <si>
    <t>Sottotipo</t>
  </si>
  <si>
    <t>Cluster</t>
  </si>
  <si>
    <t>Quadrante</t>
  </si>
  <si>
    <t>Total</t>
  </si>
  <si>
    <t>WBE Status</t>
  </si>
  <si>
    <t xml:space="preserve">competence date </t>
  </si>
  <si>
    <t xml:space="preserve">Proj. Type </t>
  </si>
  <si>
    <t>WBE Name</t>
  </si>
  <si>
    <t>Engineering Area</t>
  </si>
  <si>
    <t>Data Accettazione</t>
  </si>
  <si>
    <t>Data Uscita GD</t>
  </si>
  <si>
    <t>Stay</t>
  </si>
  <si>
    <t>Business Sample</t>
  </si>
  <si>
    <t>Categoria A</t>
  </si>
  <si>
    <t>Int</t>
  </si>
  <si>
    <t>Row Labels</t>
  </si>
  <si>
    <t>Grand Total</t>
  </si>
  <si>
    <t>Min of Anno_</t>
  </si>
  <si>
    <t>AAAA.0001</t>
  </si>
  <si>
    <t>Sender Cost Center</t>
  </si>
  <si>
    <t>Personnel Number</t>
  </si>
  <si>
    <t>Last name First name</t>
  </si>
  <si>
    <t>Project Description</t>
  </si>
  <si>
    <t>WBS Element</t>
  </si>
  <si>
    <t>Network</t>
  </si>
  <si>
    <t>Operation/Activity</t>
  </si>
  <si>
    <t>Acct assgnt text</t>
  </si>
  <si>
    <t>PROJ CODE</t>
  </si>
  <si>
    <t>Raggr. X Struttura</t>
  </si>
  <si>
    <t>Resp 2°liv</t>
  </si>
  <si>
    <t>CDC bdg</t>
  </si>
  <si>
    <t>Resp 1°liv</t>
  </si>
  <si>
    <t>Resp DT</t>
  </si>
  <si>
    <t>TIPO REP</t>
  </si>
  <si>
    <t>Bus Area_2</t>
  </si>
  <si>
    <t>tipo progetto</t>
  </si>
  <si>
    <t>Proj name</t>
  </si>
  <si>
    <t>machine code</t>
  </si>
  <si>
    <t>product area</t>
  </si>
  <si>
    <t>Resp del Prodotto</t>
  </si>
  <si>
    <t>Macchina</t>
  </si>
  <si>
    <t>01.2025</t>
  </si>
  <si>
    <t>02.2025</t>
  </si>
  <si>
    <t>03.2025</t>
  </si>
  <si>
    <t>04.2025</t>
  </si>
  <si>
    <t>05.2025</t>
  </si>
  <si>
    <t>06.2025</t>
  </si>
  <si>
    <t>07.2025</t>
  </si>
  <si>
    <t>08.2025</t>
  </si>
  <si>
    <t>09.2025</t>
  </si>
  <si>
    <t>10.2025</t>
  </si>
  <si>
    <t>11.2025</t>
  </si>
  <si>
    <t>12.2025</t>
  </si>
  <si>
    <t>REP UT</t>
  </si>
  <si>
    <t>ProjType Cluster</t>
  </si>
  <si>
    <t>ProjType Cluster2</t>
  </si>
  <si>
    <t>BussinessArea Cluster</t>
  </si>
  <si>
    <t>Level</t>
  </si>
  <si>
    <t>Project definition</t>
  </si>
  <si>
    <t>Short ID (WBS elem)</t>
  </si>
  <si>
    <t>WBS element</t>
  </si>
  <si>
    <t>Name</t>
  </si>
  <si>
    <t>Proj.type</t>
  </si>
  <si>
    <t>Plant</t>
  </si>
  <si>
    <t>Status</t>
  </si>
  <si>
    <t>Results Analysis Key</t>
  </si>
  <si>
    <t>Competence date</t>
  </si>
  <si>
    <t>TechPlat/MachTp</t>
  </si>
  <si>
    <t>Profit center</t>
  </si>
  <si>
    <t>Basic start date</t>
  </si>
  <si>
    <t>Colonna1</t>
  </si>
  <si>
    <t>1</t>
  </si>
  <si>
    <t>A005.01234</t>
  </si>
  <si>
    <t>89</t>
  </si>
  <si>
    <t>GD01</t>
  </si>
  <si>
    <t>REL</t>
  </si>
  <si>
    <t>2</t>
  </si>
  <si>
    <t>A005.01234.PK</t>
  </si>
  <si>
    <t>Packer</t>
  </si>
  <si>
    <t>31</t>
  </si>
  <si>
    <t>Go</t>
  </si>
  <si>
    <t>WBS ddd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</si>
</sst>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A\C\T\ 0"/>
    <numFmt numFmtId="165" formatCode="&quot;BDG&quot;\ 0"/>
    <numFmt numFmtId="166" formatCode="&quot;RR&quot;\ 0"/>
    <numFmt numFmtId="167" formatCode="_(* #,##0_);_(* \(#,##0\);_(* &quot;-&quot;_);_(@_)"/>
    <numFmt numFmtId="168" formatCode="_(* #,##0_);_(* \(#,##0\);_(* &quot;-&quot;??_);_(@_)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0"/>
      <name val="Arial"/>
      <family val="2"/>
    </font>
    <font>
      <b/>
      <sz val="11"/>
      <name val="Calibri"/>
      <family val="2"/>
      <scheme val="minor"/>
    </font>
    <font>
      <b/>
      <sz val="9"/>
      <color rgb="FF333333"/>
      <name val="Arial"/>
      <family val="2"/>
    </font>
    <font>
      <sz val="11"/>
      <color rgb="FFFFFF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C5E0B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43682B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7CE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FFFFFF"/>
      </patternFill>
    </fill>
  </fills>
  <borders count="67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1" tint="0.499984740745262"/>
      </top>
      <bottom style="thin">
        <color theme="0"/>
      </bottom>
      <diagonal/>
    </border>
    <border>
      <left style="thin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1" tint="0.499984740745262"/>
      </bottom>
      <diagonal/>
    </border>
    <border>
      <left style="thin">
        <color rgb="FF33660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rgb="FF33660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336600"/>
      </right>
      <top/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rgb="FF336600"/>
      </bottom>
      <diagonal/>
    </border>
    <border>
      <left style="thin">
        <color rgb="FF336600"/>
      </left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rgb="FF33660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rgb="FF336600"/>
      </bottom>
      <diagonal/>
    </border>
    <border>
      <left/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indexed="64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9" fillId="21" borderId="0"/>
    <xf numFmtId="0" fontId="11" fillId="0" borderId="0"/>
    <xf numFmtId="0" fontId="8" fillId="0" borderId="0"/>
    <xf numFmtId="43" fontId="8" fillId="0" borderId="0" applyFont="0" applyFill="0" applyBorder="0" applyAlignment="0" applyProtection="0"/>
    <xf numFmtId="0" fontId="11" fillId="0" borderId="0"/>
  </cellStyleXfs>
  <cellXfs count="155">
    <xf numFmtId="0" fontId="0" fillId="0" borderId="0" xfId="0"/>
    <xf numFmtId="0" fontId="1" fillId="0" borderId="0" xfId="0" applyFont="1"/>
    <xf numFmtId="164" fontId="0" fillId="0" borderId="1" xfId="0" applyNumberFormat="1" applyBorder="1" applyAlignment="1">
      <alignment horizontal="center" vertical="center" wrapText="1"/>
    </xf>
    <xf numFmtId="167" fontId="0" fillId="2" borderId="4" xfId="0" applyNumberFormat="1" applyFill="1" applyBorder="1"/>
    <xf numFmtId="167" fontId="0" fillId="2" borderId="5" xfId="0" applyNumberFormat="1" applyFill="1" applyBorder="1"/>
    <xf numFmtId="0" fontId="0" fillId="2" borderId="6" xfId="0" applyFill="1" applyBorder="1"/>
    <xf numFmtId="167" fontId="0" fillId="3" borderId="7" xfId="0" applyNumberFormat="1" applyFill="1" applyBorder="1"/>
    <xf numFmtId="167" fontId="0" fillId="3" borderId="8" xfId="0" applyNumberFormat="1" applyFill="1" applyBorder="1"/>
    <xf numFmtId="0" fontId="0" fillId="3" borderId="9" xfId="0" applyFill="1" applyBorder="1"/>
    <xf numFmtId="167" fontId="0" fillId="4" borderId="7" xfId="0" applyNumberFormat="1" applyFill="1" applyBorder="1"/>
    <xf numFmtId="167" fontId="0" fillId="4" borderId="8" xfId="0" applyNumberFormat="1" applyFill="1" applyBorder="1"/>
    <xf numFmtId="0" fontId="0" fillId="4" borderId="9" xfId="0" applyFill="1" applyBorder="1"/>
    <xf numFmtId="167" fontId="2" fillId="5" borderId="7" xfId="0" applyNumberFormat="1" applyFont="1" applyFill="1" applyBorder="1"/>
    <xf numFmtId="167" fontId="2" fillId="5" borderId="8" xfId="0" applyNumberFormat="1" applyFont="1" applyFill="1" applyBorder="1"/>
    <xf numFmtId="0" fontId="2" fillId="5" borderId="9" xfId="0" applyFont="1" applyFill="1" applyBorder="1"/>
    <xf numFmtId="167" fontId="2" fillId="6" borderId="10" xfId="0" applyNumberFormat="1" applyFont="1" applyFill="1" applyBorder="1"/>
    <xf numFmtId="0" fontId="2" fillId="6" borderId="11" xfId="0" applyFont="1" applyFill="1" applyBorder="1"/>
    <xf numFmtId="167" fontId="1" fillId="8" borderId="1" xfId="0" applyNumberFormat="1" applyFont="1" applyFill="1" applyBorder="1"/>
    <xf numFmtId="0" fontId="1" fillId="8" borderId="1" xfId="0" applyFont="1" applyFill="1" applyBorder="1"/>
    <xf numFmtId="167" fontId="2" fillId="9" borderId="12" xfId="0" applyNumberFormat="1" applyFont="1" applyFill="1" applyBorder="1"/>
    <xf numFmtId="167" fontId="2" fillId="9" borderId="13" xfId="0" applyNumberFormat="1" applyFont="1" applyFill="1" applyBorder="1"/>
    <xf numFmtId="0" fontId="2" fillId="9" borderId="13" xfId="0" applyFont="1" applyFill="1" applyBorder="1"/>
    <xf numFmtId="167" fontId="2" fillId="9" borderId="14" xfId="0" applyNumberFormat="1" applyFont="1" applyFill="1" applyBorder="1"/>
    <xf numFmtId="167" fontId="2" fillId="10" borderId="15" xfId="0" applyNumberFormat="1" applyFont="1" applyFill="1" applyBorder="1"/>
    <xf numFmtId="167" fontId="2" fillId="10" borderId="16" xfId="0" applyNumberFormat="1" applyFont="1" applyFill="1" applyBorder="1"/>
    <xf numFmtId="0" fontId="2" fillId="10" borderId="16" xfId="0" applyFont="1" applyFill="1" applyBorder="1"/>
    <xf numFmtId="167" fontId="2" fillId="10" borderId="17" xfId="0" applyNumberFormat="1" applyFont="1" applyFill="1" applyBorder="1"/>
    <xf numFmtId="167" fontId="2" fillId="11" borderId="18" xfId="0" applyNumberFormat="1" applyFont="1" applyFill="1" applyBorder="1"/>
    <xf numFmtId="167" fontId="2" fillId="11" borderId="8" xfId="0" applyNumberFormat="1" applyFont="1" applyFill="1" applyBorder="1"/>
    <xf numFmtId="0" fontId="2" fillId="11" borderId="8" xfId="0" applyFont="1" applyFill="1" applyBorder="1"/>
    <xf numFmtId="167" fontId="2" fillId="11" borderId="19" xfId="0" applyNumberFormat="1" applyFont="1" applyFill="1" applyBorder="1"/>
    <xf numFmtId="167" fontId="3" fillId="12" borderId="18" xfId="0" applyNumberFormat="1" applyFont="1" applyFill="1" applyBorder="1"/>
    <xf numFmtId="167" fontId="3" fillId="12" borderId="8" xfId="0" applyNumberFormat="1" applyFont="1" applyFill="1" applyBorder="1"/>
    <xf numFmtId="0" fontId="3" fillId="12" borderId="8" xfId="0" applyFont="1" applyFill="1" applyBorder="1"/>
    <xf numFmtId="167" fontId="3" fillId="12" borderId="19" xfId="0" applyNumberFormat="1" applyFont="1" applyFill="1" applyBorder="1"/>
    <xf numFmtId="167" fontId="3" fillId="13" borderId="18" xfId="0" applyNumberFormat="1" applyFont="1" applyFill="1" applyBorder="1"/>
    <xf numFmtId="167" fontId="3" fillId="13" borderId="8" xfId="0" applyNumberFormat="1" applyFont="1" applyFill="1" applyBorder="1"/>
    <xf numFmtId="0" fontId="3" fillId="13" borderId="8" xfId="0" applyFont="1" applyFill="1" applyBorder="1"/>
    <xf numFmtId="167" fontId="3" fillId="13" borderId="19" xfId="0" applyNumberFormat="1" applyFont="1" applyFill="1" applyBorder="1"/>
    <xf numFmtId="167" fontId="3" fillId="14" borderId="18" xfId="0" applyNumberFormat="1" applyFont="1" applyFill="1" applyBorder="1"/>
    <xf numFmtId="167" fontId="3" fillId="14" borderId="8" xfId="0" applyNumberFormat="1" applyFont="1" applyFill="1" applyBorder="1"/>
    <xf numFmtId="0" fontId="3" fillId="14" borderId="8" xfId="0" applyFont="1" applyFill="1" applyBorder="1"/>
    <xf numFmtId="167" fontId="3" fillId="14" borderId="19" xfId="0" applyNumberFormat="1" applyFont="1" applyFill="1" applyBorder="1"/>
    <xf numFmtId="167" fontId="3" fillId="15" borderId="18" xfId="0" applyNumberFormat="1" applyFont="1" applyFill="1" applyBorder="1"/>
    <xf numFmtId="167" fontId="3" fillId="15" borderId="8" xfId="0" applyNumberFormat="1" applyFont="1" applyFill="1" applyBorder="1"/>
    <xf numFmtId="0" fontId="3" fillId="15" borderId="8" xfId="0" applyFont="1" applyFill="1" applyBorder="1"/>
    <xf numFmtId="167" fontId="3" fillId="15" borderId="19" xfId="0" applyNumberFormat="1" applyFont="1" applyFill="1" applyBorder="1"/>
    <xf numFmtId="167" fontId="2" fillId="16" borderId="20" xfId="0" applyNumberFormat="1" applyFont="1" applyFill="1" applyBorder="1"/>
    <xf numFmtId="167" fontId="2" fillId="16" borderId="21" xfId="0" applyNumberFormat="1" applyFont="1" applyFill="1" applyBorder="1"/>
    <xf numFmtId="0" fontId="2" fillId="16" borderId="21" xfId="0" applyFont="1" applyFill="1" applyBorder="1"/>
    <xf numFmtId="167" fontId="2" fillId="16" borderId="22" xfId="0" applyNumberFormat="1" applyFont="1" applyFill="1" applyBorder="1"/>
    <xf numFmtId="0" fontId="1" fillId="17" borderId="23" xfId="0" applyFont="1" applyFill="1" applyBorder="1"/>
    <xf numFmtId="167" fontId="1" fillId="17" borderId="23" xfId="0" applyNumberFormat="1" applyFont="1" applyFill="1" applyBorder="1"/>
    <xf numFmtId="10" fontId="0" fillId="0" borderId="0" xfId="0" applyNumberFormat="1"/>
    <xf numFmtId="0" fontId="1" fillId="0" borderId="24" xfId="0" applyFont="1" applyBorder="1" applyAlignment="1">
      <alignment horizontal="left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167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20" borderId="0" xfId="0" applyFill="1"/>
    <xf numFmtId="0" fontId="1" fillId="0" borderId="0" xfId="0" applyFont="1" applyAlignment="1">
      <alignment horizontal="center"/>
    </xf>
    <xf numFmtId="0" fontId="1" fillId="20" borderId="0" xfId="0" applyFont="1" applyFill="1"/>
    <xf numFmtId="0" fontId="10" fillId="22" borderId="35" xfId="0" applyFont="1" applyFill="1" applyBorder="1"/>
    <xf numFmtId="0" fontId="0" fillId="18" borderId="0" xfId="0" applyFill="1"/>
    <xf numFmtId="0" fontId="12" fillId="0" borderId="0" xfId="2" applyFont="1"/>
    <xf numFmtId="0" fontId="0" fillId="0" borderId="0" xfId="0" applyAlignment="1">
      <alignment horizontal="left"/>
    </xf>
    <xf numFmtId="0" fontId="0" fillId="23" borderId="35" xfId="0" applyFill="1" applyBorder="1"/>
    <xf numFmtId="0" fontId="0" fillId="25" borderId="0" xfId="0" applyFill="1"/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26" xfId="0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1" xfId="0" applyBorder="1"/>
    <xf numFmtId="0" fontId="0" fillId="0" borderId="42" xfId="0" applyBorder="1"/>
    <xf numFmtId="0" fontId="1" fillId="27" borderId="47" xfId="0" applyFont="1" applyFill="1" applyBorder="1" applyAlignment="1">
      <alignment horizontal="center"/>
    </xf>
    <xf numFmtId="0" fontId="1" fillId="27" borderId="48" xfId="0" applyFont="1" applyFill="1" applyBorder="1" applyAlignment="1">
      <alignment horizontal="center"/>
    </xf>
    <xf numFmtId="0" fontId="0" fillId="28" borderId="0" xfId="0" applyFill="1"/>
    <xf numFmtId="0" fontId="1" fillId="0" borderId="2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0" fillId="0" borderId="0" xfId="0" applyAlignment="1">
      <alignment vertical="center" wrapText="1"/>
    </xf>
    <xf numFmtId="167" fontId="0" fillId="2" borderId="49" xfId="0" applyNumberFormat="1" applyFill="1" applyBorder="1" applyAlignment="1">
      <alignment horizontal="right"/>
    </xf>
    <xf numFmtId="167" fontId="0" fillId="3" borderId="50" xfId="0" applyNumberFormat="1" applyFill="1" applyBorder="1" applyAlignment="1">
      <alignment horizontal="right"/>
    </xf>
    <xf numFmtId="167" fontId="0" fillId="4" borderId="50" xfId="0" applyNumberFormat="1" applyFill="1" applyBorder="1" applyAlignment="1">
      <alignment horizontal="right"/>
    </xf>
    <xf numFmtId="167" fontId="2" fillId="5" borderId="50" xfId="0" applyNumberFormat="1" applyFont="1" applyFill="1" applyBorder="1" applyAlignment="1">
      <alignment horizontal="right"/>
    </xf>
    <xf numFmtId="167" fontId="2" fillId="6" borderId="51" xfId="0" applyNumberFormat="1" applyFont="1" applyFill="1" applyBorder="1" applyAlignment="1">
      <alignment horizontal="right"/>
    </xf>
    <xf numFmtId="0" fontId="1" fillId="7" borderId="3" xfId="0" applyFont="1" applyFill="1" applyBorder="1"/>
    <xf numFmtId="167" fontId="2" fillId="9" borderId="52" xfId="0" applyNumberFormat="1" applyFont="1" applyFill="1" applyBorder="1" applyAlignment="1">
      <alignment horizontal="right"/>
    </xf>
    <xf numFmtId="167" fontId="2" fillId="10" borderId="53" xfId="0" applyNumberFormat="1" applyFont="1" applyFill="1" applyBorder="1" applyAlignment="1">
      <alignment horizontal="right"/>
    </xf>
    <xf numFmtId="167" fontId="2" fillId="11" borderId="50" xfId="0" applyNumberFormat="1" applyFont="1" applyFill="1" applyBorder="1" applyAlignment="1">
      <alignment horizontal="right"/>
    </xf>
    <xf numFmtId="167" fontId="3" fillId="12" borderId="50" xfId="0" applyNumberFormat="1" applyFont="1" applyFill="1" applyBorder="1" applyAlignment="1">
      <alignment horizontal="right"/>
    </xf>
    <xf numFmtId="167" fontId="3" fillId="13" borderId="50" xfId="0" applyNumberFormat="1" applyFont="1" applyFill="1" applyBorder="1" applyAlignment="1">
      <alignment horizontal="right"/>
    </xf>
    <xf numFmtId="167" fontId="3" fillId="14" borderId="50" xfId="0" applyNumberFormat="1" applyFont="1" applyFill="1" applyBorder="1" applyAlignment="1">
      <alignment horizontal="right"/>
    </xf>
    <xf numFmtId="167" fontId="3" fillId="15" borderId="50" xfId="0" applyNumberFormat="1" applyFont="1" applyFill="1" applyBorder="1" applyAlignment="1">
      <alignment horizontal="right"/>
    </xf>
    <xf numFmtId="167" fontId="2" fillId="16" borderId="54" xfId="0" applyNumberFormat="1" applyFont="1" applyFill="1" applyBorder="1" applyAlignment="1">
      <alignment horizontal="right"/>
    </xf>
    <xf numFmtId="0" fontId="1" fillId="17" borderId="55" xfId="0" applyFont="1" applyFill="1" applyBorder="1"/>
    <xf numFmtId="0" fontId="1" fillId="0" borderId="58" xfId="0" applyFont="1" applyBorder="1" applyAlignment="1">
      <alignment horizontal="left"/>
    </xf>
    <xf numFmtId="0" fontId="0" fillId="0" borderId="59" xfId="0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0" fillId="20" borderId="60" xfId="0" applyFill="1" applyBorder="1"/>
    <xf numFmtId="0" fontId="0" fillId="0" borderId="0" xfId="0" pivotButton="1"/>
    <xf numFmtId="0" fontId="0" fillId="0" borderId="0" xfId="0" applyAlignment="1">
      <alignment horizontal="left" indent="1"/>
    </xf>
    <xf numFmtId="0" fontId="0" fillId="29" borderId="0" xfId="0" applyFill="1" applyAlignment="1">
      <alignment horizontal="center"/>
    </xf>
    <xf numFmtId="49" fontId="14" fillId="30" borderId="61" xfId="0" applyNumberFormat="1" applyFont="1" applyFill="1" applyBorder="1" applyAlignment="1">
      <alignment horizontal="center" vertical="center" wrapText="1"/>
    </xf>
    <xf numFmtId="0" fontId="15" fillId="29" borderId="0" xfId="0" applyFont="1" applyFill="1" applyAlignment="1">
      <alignment horizontal="center"/>
    </xf>
    <xf numFmtId="168" fontId="0" fillId="29" borderId="0" xfId="4" applyNumberFormat="1" applyFont="1" applyFill="1" applyAlignment="1">
      <alignment horizontal="center"/>
    </xf>
    <xf numFmtId="14" fontId="0" fillId="29" borderId="0" xfId="0" applyNumberForma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0" fillId="25" borderId="0" xfId="0" applyFont="1" applyFill="1" applyAlignment="1">
      <alignment horizontal="center"/>
    </xf>
    <xf numFmtId="0" fontId="10" fillId="22" borderId="64" xfId="0" applyFont="1" applyFill="1" applyBorder="1"/>
    <xf numFmtId="0" fontId="10" fillId="22" borderId="65" xfId="0" applyFont="1" applyFill="1" applyBorder="1"/>
    <xf numFmtId="0" fontId="10" fillId="22" borderId="66" xfId="0" applyFont="1" applyFill="1" applyBorder="1"/>
    <xf numFmtId="0" fontId="11" fillId="23" borderId="62" xfId="5" applyFill="1" applyBorder="1" applyAlignment="1">
      <alignment vertical="top"/>
    </xf>
    <xf numFmtId="0" fontId="11" fillId="23" borderId="63" xfId="5" applyFill="1" applyBorder="1" applyAlignment="1">
      <alignment vertical="top"/>
    </xf>
    <xf numFmtId="14" fontId="11" fillId="23" borderId="63" xfId="5" applyNumberFormat="1" applyFill="1" applyBorder="1" applyAlignment="1">
      <alignment horizontal="right" vertical="top"/>
    </xf>
    <xf numFmtId="0" fontId="11" fillId="23" borderId="35" xfId="5" applyFill="1" applyBorder="1" applyAlignment="1">
      <alignment vertical="top"/>
    </xf>
    <xf numFmtId="0" fontId="11" fillId="0" borderId="62" xfId="5" applyBorder="1" applyAlignment="1">
      <alignment vertical="top"/>
    </xf>
    <xf numFmtId="0" fontId="11" fillId="0" borderId="63" xfId="5" applyBorder="1" applyAlignment="1">
      <alignment vertical="top"/>
    </xf>
    <xf numFmtId="14" fontId="11" fillId="0" borderId="63" xfId="5" applyNumberFormat="1" applyBorder="1" applyAlignment="1">
      <alignment horizontal="right" vertical="top"/>
    </xf>
    <xf numFmtId="0" fontId="11" fillId="0" borderId="35" xfId="5" applyBorder="1" applyAlignment="1">
      <alignment vertical="top"/>
    </xf>
    <xf numFmtId="0" fontId="13" fillId="21" borderId="36" xfId="1" applyFont="1" applyBorder="1" applyAlignment="1">
      <alignment horizontal="center"/>
    </xf>
    <xf numFmtId="0" fontId="13" fillId="21" borderId="37" xfId="1" applyFont="1" applyBorder="1" applyAlignment="1">
      <alignment horizontal="center"/>
    </xf>
    <xf numFmtId="0" fontId="13" fillId="21" borderId="38" xfId="1" applyFont="1" applyBorder="1" applyAlignment="1">
      <alignment horizontal="center"/>
    </xf>
    <xf numFmtId="0" fontId="13" fillId="24" borderId="36" xfId="0" applyFont="1" applyFill="1" applyBorder="1" applyAlignment="1">
      <alignment horizontal="center"/>
    </xf>
    <xf numFmtId="0" fontId="13" fillId="24" borderId="37" xfId="0" applyFont="1" applyFill="1" applyBorder="1" applyAlignment="1">
      <alignment horizontal="center"/>
    </xf>
    <xf numFmtId="0" fontId="1" fillId="24" borderId="37" xfId="0" applyFont="1" applyFill="1" applyBorder="1" applyAlignment="1">
      <alignment horizontal="center"/>
    </xf>
    <xf numFmtId="0" fontId="1" fillId="24" borderId="38" xfId="0" applyFont="1" applyFill="1" applyBorder="1" applyAlignment="1">
      <alignment horizontal="center"/>
    </xf>
    <xf numFmtId="0" fontId="0" fillId="24" borderId="30" xfId="0" applyFill="1" applyBorder="1" applyAlignment="1">
      <alignment horizontal="center"/>
    </xf>
    <xf numFmtId="0" fontId="0" fillId="24" borderId="0" xfId="0" applyFill="1" applyAlignment="1">
      <alignment horizontal="center"/>
    </xf>
    <xf numFmtId="0" fontId="0" fillId="0" borderId="0" xfId="0"/>
    <xf numFmtId="0" fontId="7" fillId="0" borderId="0" xfId="0" applyFont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4" fillId="26" borderId="39" xfId="0" applyFont="1" applyFill="1" applyBorder="1" applyAlignment="1">
      <alignment horizontal="center" wrapText="1"/>
    </xf>
    <xf numFmtId="0" fontId="4" fillId="26" borderId="40" xfId="0" applyFont="1" applyFill="1" applyBorder="1" applyAlignment="1">
      <alignment horizontal="center"/>
    </xf>
    <xf numFmtId="0" fontId="4" fillId="19" borderId="25" xfId="0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19" borderId="56" xfId="0" applyFont="1" applyFill="1" applyBorder="1" applyAlignment="1">
      <alignment horizontal="center"/>
    </xf>
    <xf numFmtId="0" fontId="4" fillId="19" borderId="57" xfId="0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  <xf numFmtId="0" fontId="0" fillId="0" borderId="0" xfId="0" applyNumberFormat="1"/>
  </cellXfs>
  <cellStyles count="6">
    <cellStyle name="Bad" xfId="1" builtinId="27"/>
    <cellStyle name="Comma" xfId="4" builtinId="3"/>
    <cellStyle name="Normal" xfId="0" builtinId="0"/>
    <cellStyle name="Normal 2" xfId="2" xr:uid="{00000000-0005-0000-0000-000003000000}"/>
    <cellStyle name="Normale 2" xfId="3" xr:uid="{00000000-0005-0000-0000-000004000000}"/>
    <cellStyle name="Normale 8" xfId="5" xr:uid="{D97E68AC-3D84-4802-A719-1B1AD764A407}"/>
  </cellStyles>
  <dxfs count="70">
    <dxf>
      <alignment horizontal="center" vertical="bottom" textRotation="0" wrapText="0" indent="0" justifyLastLine="0" shrinkToFit="0" readingOrder="0"/>
    </dxf>
    <dxf>
      <font>
        <i val="0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0" baseline="0">
                <a:solidFill>
                  <a:sysClr val="windowText" lastClr="000000"/>
                </a:solidFill>
              </a:rPr>
              <a:t>Ore UT: anno in corso e 2 anni precedenti</a:t>
            </a:r>
          </a:p>
        </c:rich>
      </c:tx>
      <c:layout>
        <c:manualLayout>
          <c:xMode val="edge"/>
          <c:yMode val="edge"/>
          <c:x val="0.29862807616230747"/>
          <c:y val="2.807009021044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8754715111473"/>
          <c:y val="0.10972444144778111"/>
          <c:w val="0.85047440944881891"/>
          <c:h val="0.6530211878160361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PP_01!$D$24</c:f>
              <c:strCache>
                <c:ptCount val="1"/>
                <c:pt idx="0">
                  <c:v> TOB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PP_01!$E$24:$P$24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0.51300000000000001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3-4569-A0AA-0632215EDED4}"/>
            </c:ext>
          </c:extLst>
        </c:ser>
        <c:ser>
          <c:idx val="1"/>
          <c:order val="1"/>
          <c:tx>
            <c:strRef>
              <c:f>PP_01!$D$25</c:f>
              <c:strCache>
                <c:ptCount val="1"/>
                <c:pt idx="0">
                  <c:v> PHARMA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PP_01!$E$25:$P$25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3-4569-A0AA-0632215EDED4}"/>
            </c:ext>
          </c:extLst>
        </c:ser>
        <c:ser>
          <c:idx val="2"/>
          <c:order val="2"/>
          <c:tx>
            <c:strRef>
              <c:f>PP_01!$D$26</c:f>
              <c:strCache>
                <c:ptCount val="1"/>
                <c:pt idx="0">
                  <c:v> CONSUMER ELECTRONICS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PP_01!$E$26:$P$26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93-4569-A0AA-0632215EDED4}"/>
            </c:ext>
          </c:extLst>
        </c:ser>
        <c:ser>
          <c:idx val="3"/>
          <c:order val="3"/>
          <c:tx>
            <c:strRef>
              <c:f>PP_01!$D$27</c:f>
              <c:strCache>
                <c:ptCount val="1"/>
                <c:pt idx="0">
                  <c:v> ESS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PP_01!$E$27:$P$27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93-4569-A0AA-0632215EDED4}"/>
            </c:ext>
          </c:extLst>
        </c:ser>
        <c:ser>
          <c:idx val="4"/>
          <c:order val="4"/>
          <c:tx>
            <c:strRef>
              <c:f>PP_01!$D$28</c:f>
              <c:strCache>
                <c:ptCount val="1"/>
                <c:pt idx="0">
                  <c:v> ALTRI BUSINESS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PP_01!$E$28:$P$28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1093-4569-A0AA-0632215EDED4}"/>
            </c:ext>
          </c:extLst>
        </c:ser>
        <c:ser>
          <c:idx val="6"/>
          <c:order val="6"/>
          <c:tx>
            <c:strRef>
              <c:f>PP_01!$D$30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PP_01!$E$30:$P$30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1093-4569-A0AA-0632215EDED4}"/>
            </c:ext>
          </c:extLst>
        </c:ser>
        <c:ser>
          <c:idx val="7"/>
          <c:order val="7"/>
          <c:tx>
            <c:strRef>
              <c:f>PP_01!$D$31</c:f>
              <c:strCache>
                <c:ptCount val="1"/>
                <c:pt idx="0">
                  <c:v> C 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PP_01!$E$31:$P$31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093-4569-A0AA-0632215EDED4}"/>
            </c:ext>
          </c:extLst>
        </c:ser>
        <c:ser>
          <c:idx val="8"/>
          <c:order val="8"/>
          <c:tx>
            <c:strRef>
              <c:f>PP_01!$D$32</c:f>
              <c:strCache>
                <c:ptCount val="1"/>
                <c:pt idx="0">
                  <c:v> A R E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PP_01!$E$32:$P$32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093-4569-A0AA-0632215EDED4}"/>
            </c:ext>
          </c:extLst>
        </c:ser>
        <c:ser>
          <c:idx val="9"/>
          <c:order val="9"/>
          <c:tx>
            <c:strRef>
              <c:f>PP_01!$D$33</c:f>
              <c:strCache>
                <c:ptCount val="1"/>
                <c:pt idx="0">
                  <c:v> M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PP_01!$E$33:$P$33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093-4569-A0AA-0632215EDED4}"/>
            </c:ext>
          </c:extLst>
        </c:ser>
        <c:ser>
          <c:idx val="10"/>
          <c:order val="10"/>
          <c:tx>
            <c:strRef>
              <c:f>PP_01!$D$34</c:f>
              <c:strCache>
                <c:ptCount val="1"/>
                <c:pt idx="0">
                  <c:v> D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PP_01!$E$34:$P$34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093-4569-A0AA-0632215EDED4}"/>
            </c:ext>
          </c:extLst>
        </c:ser>
        <c:ser>
          <c:idx val="11"/>
          <c:order val="11"/>
          <c:tx>
            <c:strRef>
              <c:f>PP_01!$D$35</c:f>
              <c:strCache>
                <c:ptCount val="1"/>
                <c:pt idx="0">
                  <c:v> K 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PP_01!$E$35:$P$35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093-4569-A0AA-0632215EDED4}"/>
            </c:ext>
          </c:extLst>
        </c:ser>
        <c:ser>
          <c:idx val="12"/>
          <c:order val="12"/>
          <c:tx>
            <c:strRef>
              <c:f>PP_01!$D$36</c:f>
              <c:strCache>
                <c:ptCount val="1"/>
                <c:pt idx="0">
                  <c:v> U (prod ind)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PP_01!$E$36:$P$36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093-4569-A0AA-0632215EDED4}"/>
            </c:ext>
          </c:extLst>
        </c:ser>
        <c:ser>
          <c:idx val="13"/>
          <c:order val="13"/>
          <c:tx>
            <c:strRef>
              <c:f>PP_01!$D$37</c:f>
              <c:strCache>
                <c:ptCount val="1"/>
                <c:pt idx="0">
                  <c:v> U (impr) 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PP_01!$E$37:$P$37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91065040"/>
        <c:axId val="391064648"/>
      </c:barChart>
      <c:lineChart>
        <c:grouping val="standard"/>
        <c:varyColors val="0"/>
        <c:ser>
          <c:idx val="5"/>
          <c:order val="5"/>
          <c:tx>
            <c:strRef>
              <c:f>PP_01!$D$29</c:f>
              <c:strCache>
                <c:ptCount val="1"/>
                <c:pt idx="0">
                  <c:v>Totale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PP_01!$E$29:$P$29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93-4569-A0AA-0632215EDED4}"/>
            </c:ext>
          </c:extLst>
        </c:ser>
        <c:ser>
          <c:idx val="15"/>
          <c:order val="14"/>
          <c:tx>
            <c:strRef>
              <c:f>PP_01!$D$39</c:f>
              <c:strCache>
                <c:ptCount val="1"/>
                <c:pt idx="0">
                  <c:v> Totale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PP_01!$E$39:$P$39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1065040"/>
        <c:axId val="391064648"/>
      </c:lineChart>
      <c:catAx>
        <c:axId val="39106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4648"/>
        <c:crosses val="autoZero"/>
        <c:auto val="1"/>
        <c:lblAlgn val="ctr"/>
        <c:lblOffset val="100"/>
        <c:noMultiLvlLbl val="0"/>
      </c:catAx>
      <c:valAx>
        <c:axId val="391064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1324636872706982E-2"/>
          <c:y val="4.0110083326962767E-2"/>
          <c:w val="0.90414311971221584"/>
          <c:h val="0.9114607955558953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RunRate!$A$2:$L$2</c:f>
              <c:numCache>
                <c:formatCode>0.00%</c:formatCode>
                <c:ptCount val="12"/>
                <c:pt idx="0">
                  <c:v>0.15</c:v>
                </c:pt>
                <c:pt idx="1">
                  <c:v>0.1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0.2</c:v>
                </c:pt>
                <c:pt idx="6">
                  <c:v>0.25</c:v>
                </c:pt>
                <c:pt idx="7">
                  <c:v>0.2</c:v>
                </c:pt>
                <c:pt idx="8">
                  <c:v>0.15</c:v>
                </c:pt>
                <c:pt idx="9">
                  <c:v>0.1</c:v>
                </c:pt>
                <c:pt idx="10">
                  <c:v>0.05</c:v>
                </c:pt>
                <c:pt idx="11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02-4DBD-83C9-DDA411EAB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79840"/>
        <c:axId val="166676480"/>
      </c:lineChart>
      <c:catAx>
        <c:axId val="166679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76480"/>
        <c:crosses val="autoZero"/>
        <c:auto val="1"/>
        <c:lblAlgn val="ctr"/>
        <c:lblOffset val="100"/>
        <c:noMultiLvlLbl val="0"/>
      </c:catAx>
      <c:valAx>
        <c:axId val="16667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7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1624853</xdr:colOff>
      <xdr:row>0</xdr:row>
      <xdr:rowOff>123264</xdr:rowOff>
    </xdr:from>
    <xdr:to>
      <xdr:col>0</xdr:col>
      <xdr:colOff>1943100</xdr:colOff>
      <xdr:row>1</xdr:row>
      <xdr:rowOff>114300</xdr:rowOff>
    </xdr:to>
    <xdr:pic>
      <xdr:nvPicPr>
        <xdr:cNvPr id="2" name="Picture 1" descr="Microsoft, Powerpoint, macOS, BigSur Icon">
          <a:extLst>
            <a:ext uri="{FF2B5EF4-FFF2-40B4-BE49-F238E27FC236}">
              <a16:creationId xmlns:a16="http://schemas.microsoft.com/office/drawing/2014/main" id="{6B7A9E05-B8F7-4BC2-BFE2-F54370A91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4853" y="123264"/>
          <a:ext cx="315209" cy="3231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5443</xdr:colOff>
      <xdr:row>4</xdr:row>
      <xdr:rowOff>38101</xdr:rowOff>
    </xdr:from>
    <xdr:to>
      <xdr:col>8</xdr:col>
      <xdr:colOff>547331</xdr:colOff>
      <xdr:row>7</xdr:row>
      <xdr:rowOff>179614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2EF94E72-2189-C812-DFB0-EBA7303C26E4}"/>
            </a:ext>
          </a:extLst>
        </xdr:cNvPr>
        <xdr:cNvGrpSpPr/>
      </xdr:nvGrpSpPr>
      <xdr:grpSpPr>
        <a:xfrm>
          <a:off x="8768443" y="962026"/>
          <a:ext cx="1151488" cy="741588"/>
          <a:chOff x="1230086" y="4294415"/>
          <a:chExt cx="1151488" cy="713013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779F3758-FC90-FB6E-BDC0-425401461C6E}"/>
              </a:ext>
            </a:extLst>
          </xdr:cNvPr>
          <xdr:cNvSpPr/>
        </xdr:nvSpPr>
        <xdr:spPr>
          <a:xfrm>
            <a:off x="1262744" y="4294415"/>
            <a:ext cx="1077686" cy="71301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5CC341FA-E3C4-9953-A60A-C981007A1A73}"/>
              </a:ext>
            </a:extLst>
          </xdr:cNvPr>
          <xdr:cNvSpPr txBox="1"/>
        </xdr:nvSpPr>
        <xdr:spPr>
          <a:xfrm>
            <a:off x="1230086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2460A70B-F49C-4E04-8DEA-27528896E193}"/>
              </a:ext>
            </a:extLst>
          </xdr:cNvPr>
          <xdr:cNvSpPr txBox="1"/>
        </xdr:nvSpPr>
        <xdr:spPr>
          <a:xfrm>
            <a:off x="1785257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  <xdr:twoCellAnchor>
    <xdr:from>
      <xdr:col>7</xdr:col>
      <xdr:colOff>576944</xdr:colOff>
      <xdr:row>4</xdr:row>
      <xdr:rowOff>38101</xdr:rowOff>
    </xdr:from>
    <xdr:to>
      <xdr:col>7</xdr:col>
      <xdr:colOff>576944</xdr:colOff>
      <xdr:row>7</xdr:row>
      <xdr:rowOff>179614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A0625142-E4C3-F93B-2C3B-AAF9BD9CF716}"/>
            </a:ext>
          </a:extLst>
        </xdr:cNvPr>
        <xdr:cNvCxnSpPr>
          <a:stCxn id="4" idx="0"/>
          <a:endCxn id="4" idx="2"/>
        </xdr:cNvCxnSpPr>
      </xdr:nvCxnSpPr>
      <xdr:spPr>
        <a:xfrm>
          <a:off x="9339944" y="962026"/>
          <a:ext cx="0" cy="741588"/>
        </a:xfrm>
        <a:prstGeom prst="line">
          <a:avLst/>
        </a:prstGeom>
        <a:ln w="38100">
          <a:solidFill>
            <a:schemeClr val="bg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27219</xdr:colOff>
      <xdr:row>10</xdr:row>
      <xdr:rowOff>43543</xdr:rowOff>
    </xdr:from>
    <xdr:to>
      <xdr:col>8</xdr:col>
      <xdr:colOff>544291</xdr:colOff>
      <xdr:row>14</xdr:row>
      <xdr:rowOff>27214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F9F9AF7C-0A4B-6822-9A27-7404CF0E5234}"/>
            </a:ext>
          </a:extLst>
        </xdr:cNvPr>
        <xdr:cNvGrpSpPr/>
      </xdr:nvGrpSpPr>
      <xdr:grpSpPr>
        <a:xfrm>
          <a:off x="8790219" y="2167618"/>
          <a:ext cx="1126672" cy="783771"/>
          <a:chOff x="1230090" y="5464629"/>
          <a:chExt cx="1126672" cy="745671"/>
        </a:xfrm>
      </xdr:grpSpPr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7F527A74-90BA-458A-B1F8-44B126386B8D}"/>
              </a:ext>
            </a:extLst>
          </xdr:cNvPr>
          <xdr:cNvSpPr/>
        </xdr:nvSpPr>
        <xdr:spPr>
          <a:xfrm rot="16200000">
            <a:off x="1420590" y="5274129"/>
            <a:ext cx="745671" cy="1126672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847FA15F-E5D8-45E4-AC10-C4738F881B14}"/>
              </a:ext>
            </a:extLst>
          </xdr:cNvPr>
          <xdr:cNvCxnSpPr>
            <a:stCxn id="9" idx="2"/>
            <a:endCxn id="9" idx="0"/>
          </xdr:cNvCxnSpPr>
        </xdr:nvCxnSpPr>
        <xdr:spPr>
          <a:xfrm flipH="1">
            <a:off x="1230090" y="5837465"/>
            <a:ext cx="1126672" cy="0"/>
          </a:xfrm>
          <a:prstGeom prst="line">
            <a:avLst/>
          </a:prstGeom>
          <a:ln w="38100">
            <a:solidFill>
              <a:schemeClr val="bg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33F87CCC-A74E-4C5D-92A0-3B846F62BD21}"/>
              </a:ext>
            </a:extLst>
          </xdr:cNvPr>
          <xdr:cNvSpPr txBox="1"/>
        </xdr:nvSpPr>
        <xdr:spPr>
          <a:xfrm>
            <a:off x="1513114" y="5557156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DD5BC8B3-946C-45E9-A60C-689F4FF5C554}"/>
              </a:ext>
            </a:extLst>
          </xdr:cNvPr>
          <xdr:cNvSpPr txBox="1"/>
        </xdr:nvSpPr>
        <xdr:spPr>
          <a:xfrm>
            <a:off x="1502228" y="5910942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1041400</xdr:colOff>
      <xdr:row>0</xdr:row>
      <xdr:rowOff>12701</xdr:rowOff>
    </xdr:from>
    <xdr:to>
      <xdr:col>16</xdr:col>
      <xdr:colOff>0</xdr:colOff>
      <xdr:row>19</xdr:row>
      <xdr:rowOff>170891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04A60B-3C35-EF36-6989-D524872A5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</xdr:colOff>
      <xdr:row>0</xdr:row>
      <xdr:rowOff>0</xdr:rowOff>
    </xdr:from>
    <xdr:to>
      <xdr:col>15</xdr:col>
      <xdr:colOff>590550</xdr:colOff>
      <xdr:row>29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4A0919-89DE-4D5D-A8EE-A6FBF02BC1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hele Fosco" refreshedDate="45995.510550231484" createdVersion="8" refreshedVersion="8" minRefreshableVersion="3" recordCount="100" xr:uid="{CB458B9C-2737-4B20-917D-2647C9E1155E}">
  <cacheSource type="worksheet">
    <worksheetSource name="tabSuperdettagli"/>
  </cacheSource>
  <cacheFields count="82">
    <cacheField name="da considerare?_" numFmtId="0">
      <sharedItems/>
    </cacheField>
    <cacheField name="Anno_" numFmtId="0">
      <sharedItems containsSemiMixedTypes="0" containsString="0" containsNumber="1" containsInteger="1" minValue="2020" maxValue="2025"/>
    </cacheField>
    <cacheField name="Anno di prima marcatura (=anno di apertura progetto)" numFmtId="0">
      <sharedItems containsSemiMixedTypes="0" containsString="0" containsNumber="1" containsInteger="1" minValue="2000" maxValue="2026" count="8">
        <n v="2020"/>
        <n v="2024" u="1"/>
        <n v="2021" u="1"/>
        <n v="2025" u="1"/>
        <n v="2023" u="1"/>
        <n v="2022" u="1"/>
        <n v="2000" u="1"/>
        <n v="2026" u="1"/>
      </sharedItems>
    </cacheField>
    <cacheField name="WBS_" numFmtId="0">
      <sharedItems count="4">
        <s v="AAAA.0001"/>
        <s v="5447634" u="1"/>
        <s v="5320326" u="1"/>
        <s v="" u="1"/>
      </sharedItems>
    </cacheField>
    <cacheField name="ProjType_" numFmtId="0">
      <sharedItems/>
    </cacheField>
    <cacheField name="U ProjType_" numFmtId="0">
      <sharedItems/>
    </cacheField>
    <cacheField name="ProjType Cluster" numFmtId="0">
      <sharedItems/>
    </cacheField>
    <cacheField name="ProjType Cluster2" numFmtId="0">
      <sharedItems containsNonDate="0" containsString="0" containsBlank="1"/>
    </cacheField>
    <cacheField name="BussinessArea Cluster" numFmtId="0">
      <sharedItems/>
    </cacheField>
    <cacheField name="ORE_" numFmtId="0">
      <sharedItems/>
    </cacheField>
    <cacheField name="gen_" numFmtId="0">
      <sharedItems containsSemiMixedTypes="0" containsString="0" containsNumber="1" containsInteger="1" minValue="0" maxValue="0"/>
    </cacheField>
    <cacheField name="feb_" numFmtId="0">
      <sharedItems containsSemiMixedTypes="0" containsString="0" containsNumber="1" containsInteger="1" minValue="1" maxValue="1"/>
    </cacheField>
    <cacheField name="mar_" numFmtId="0">
      <sharedItems containsString="0" containsBlank="1" containsNumber="1" containsInteger="1" minValue="0" maxValue="0"/>
    </cacheField>
    <cacheField name="apr_" numFmtId="0">
      <sharedItems containsString="0" containsBlank="1" containsNumber="1" containsInteger="1" minValue="0" maxValue="0"/>
    </cacheField>
    <cacheField name="mag_" numFmtId="0">
      <sharedItems containsString="0" containsBlank="1" containsNumber="1" containsInteger="1" minValue="0" maxValue="0"/>
    </cacheField>
    <cacheField name="giu_" numFmtId="0">
      <sharedItems containsString="0" containsBlank="1" containsNumber="1" containsInteger="1" minValue="0" maxValue="0"/>
    </cacheField>
    <cacheField name="lug_" numFmtId="0">
      <sharedItems containsString="0" containsBlank="1" containsNumber="1" containsInteger="1" minValue="0" maxValue="0"/>
    </cacheField>
    <cacheField name="ago_" numFmtId="0">
      <sharedItems containsString="0" containsBlank="1" containsNumber="1" containsInteger="1" minValue="0" maxValue="0"/>
    </cacheField>
    <cacheField name="set_" numFmtId="0">
      <sharedItems containsString="0" containsBlank="1" containsNumber="1" containsInteger="1" minValue="0" maxValue="0"/>
    </cacheField>
    <cacheField name="ott_" numFmtId="0">
      <sharedItems containsString="0" containsBlank="1" containsNumber="1" containsInteger="1" minValue="0" maxValue="0"/>
    </cacheField>
    <cacheField name="nov_" numFmtId="0">
      <sharedItems containsString="0" containsBlank="1" containsNumber="1" containsInteger="1" minValue="0" maxValue="0"/>
    </cacheField>
    <cacheField name="dic_" numFmtId="0">
      <sharedItems containsString="0" containsBlank="1" containsNumber="1" containsInteger="1" minValue="1" maxValue="1"/>
    </cacheField>
    <cacheField name="tipo risorsa_" numFmtId="0">
      <sharedItems/>
    </cacheField>
    <cacheField name="Resp 1°liv_" numFmtId="0">
      <sharedItems/>
    </cacheField>
    <cacheField name="EngUnit area cluster 1_" numFmtId="0">
      <sharedItems/>
    </cacheField>
    <cacheField name="WBS description_" numFmtId="0">
      <sharedItems/>
    </cacheField>
    <cacheField name="WBE description_" numFmtId="0">
      <sharedItems/>
    </cacheField>
    <cacheField name="WBS D description_" numFmtId="0">
      <sharedItems containsBlank="1"/>
    </cacheField>
    <cacheField name="WBS M description_" numFmtId="0">
      <sharedItems/>
    </cacheField>
    <cacheField name="WBE per WBS-K" numFmtId="0">
      <sharedItems/>
    </cacheField>
    <cacheField name="Sender Cost Center" numFmtId="0">
      <sharedItems/>
    </cacheField>
    <cacheField name="Personnel Number" numFmtId="0">
      <sharedItems/>
    </cacheField>
    <cacheField name="Last name First name" numFmtId="0">
      <sharedItems/>
    </cacheField>
    <cacheField name="Project Description" numFmtId="0">
      <sharedItems containsSemiMixedTypes="0" containsString="0" containsNumber="1" containsInteger="1" minValue="1" maxValue="80"/>
    </cacheField>
    <cacheField name="WBS Element" numFmtId="0">
      <sharedItems/>
    </cacheField>
    <cacheField name="Network" numFmtId="0">
      <sharedItems/>
    </cacheField>
    <cacheField name="Operation/Activity" numFmtId="0">
      <sharedItems containsSemiMixedTypes="0" containsString="0" containsNumber="1" containsInteger="1" minValue="2023" maxValue="2023"/>
    </cacheField>
    <cacheField name="Acct assgnt text" numFmtId="0">
      <sharedItems/>
    </cacheField>
    <cacheField name="WBS Element - Project Definition (Text)" numFmtId="0">
      <sharedItems/>
    </cacheField>
    <cacheField name="Network descr" numFmtId="0">
      <sharedItems/>
    </cacheField>
    <cacheField name="PROJ CODE" numFmtId="0">
      <sharedItems/>
    </cacheField>
    <cacheField name="INT/EST" numFmtId="0">
      <sharedItems/>
    </cacheField>
    <cacheField name="Raggr. X Struttura" numFmtId="0">
      <sharedItems/>
    </cacheField>
    <cacheField name="MESE" numFmtId="0">
      <sharedItems/>
    </cacheField>
    <cacheField name="Resp 2°liv" numFmtId="0">
      <sharedItems/>
    </cacheField>
    <cacheField name="CDC bdg" numFmtId="0">
      <sharedItems/>
    </cacheField>
    <cacheField name="Resp 1°liv" numFmtId="0">
      <sharedItems/>
    </cacheField>
    <cacheField name="Resp DT" numFmtId="0">
      <sharedItems/>
    </cacheField>
    <cacheField name="TIPO REP" numFmtId="0">
      <sharedItems/>
    </cacheField>
    <cacheField name="Bus Area GDLT" numFmtId="0">
      <sharedItems/>
    </cacheField>
    <cacheField name="Bus Area_2" numFmtId="0">
      <sharedItems/>
    </cacheField>
    <cacheField name="tipo progetto" numFmtId="0">
      <sharedItems/>
    </cacheField>
    <cacheField name="Proj name" numFmtId="0">
      <sharedItems/>
    </cacheField>
    <cacheField name="machine code" numFmtId="0">
      <sharedItems/>
    </cacheField>
    <cacheField name="product area" numFmtId="0">
      <sharedItems containsSemiMixedTypes="0" containsString="0" containsNumber="1" containsInteger="1" minValue="0" maxValue="0"/>
    </cacheField>
    <cacheField name="Resp del Prodotto" numFmtId="0">
      <sharedItems containsSemiMixedTypes="0" containsString="0" containsNumber="1" containsInteger="1" minValue="0" maxValue="0"/>
    </cacheField>
    <cacheField name="Area di bdg" numFmtId="0">
      <sharedItems containsSemiMixedTypes="0" containsString="0" containsNumber="1" containsInteger="1" minValue="1" maxValue="1"/>
    </cacheField>
    <cacheField name="Macchina" numFmtId="0">
      <sharedItems containsSemiMixedTypes="0" containsString="0" containsNumber="1" containsInteger="1" minValue="0" maxValue="0"/>
    </cacheField>
    <cacheField name="Sottotipo" numFmtId="0">
      <sharedItems containsSemiMixedTypes="0" containsString="0" containsNumber="1" containsInteger="1" minValue="0" maxValue="0"/>
    </cacheField>
    <cacheField name="Cluster" numFmtId="0">
      <sharedItems containsSemiMixedTypes="0" containsString="0" containsNumber="1" containsInteger="1" minValue="0" maxValue="0"/>
    </cacheField>
    <cacheField name="Quadrante" numFmtId="0">
      <sharedItems containsSemiMixedTypes="0" containsString="0" containsNumber="1" containsInteger="1" minValue="0" maxValue="0"/>
    </cacheField>
    <cacheField name="01.2025" numFmtId="0">
      <sharedItems containsSemiMixedTypes="0" containsString="0" containsNumber="1" containsInteger="1" minValue="0" maxValue="0"/>
    </cacheField>
    <cacheField name="02.2025" numFmtId="0">
      <sharedItems containsSemiMixedTypes="0" containsString="0" containsNumber="1" containsInteger="1" minValue="0" maxValue="0"/>
    </cacheField>
    <cacheField name="03.2025" numFmtId="0">
      <sharedItems containsSemiMixedTypes="0" containsString="0" containsNumber="1" containsInteger="1" minValue="0" maxValue="0"/>
    </cacheField>
    <cacheField name="04.2025" numFmtId="0">
      <sharedItems containsSemiMixedTypes="0" containsString="0" containsNumber="1" containsInteger="1" minValue="0" maxValue="0"/>
    </cacheField>
    <cacheField name="05.2025" numFmtId="0">
      <sharedItems containsSemiMixedTypes="0" containsString="0" containsNumber="1" containsInteger="1" minValue="0" maxValue="0"/>
    </cacheField>
    <cacheField name="06.2025" numFmtId="0">
      <sharedItems containsSemiMixedTypes="0" containsString="0" containsNumber="1" containsInteger="1" minValue="1" maxValue="1"/>
    </cacheField>
    <cacheField name="07.2025" numFmtId="0">
      <sharedItems/>
    </cacheField>
    <cacheField name="08.2025" numFmtId="0">
      <sharedItems/>
    </cacheField>
    <cacheField name="09.2025" numFmtId="0">
      <sharedItems/>
    </cacheField>
    <cacheField name="10.2025" numFmtId="0">
      <sharedItems/>
    </cacheField>
    <cacheField name="11.2025" numFmtId="0">
      <sharedItems/>
    </cacheField>
    <cacheField name="12.2025" numFmtId="0">
      <sharedItems/>
    </cacheField>
    <cacheField name="Total" numFmtId="0">
      <sharedItems/>
    </cacheField>
    <cacheField name="WBE Status" numFmtId="0">
      <sharedItems/>
    </cacheField>
    <cacheField name="competence date " numFmtId="0">
      <sharedItems/>
    </cacheField>
    <cacheField name="Proj. Type " numFmtId="0">
      <sharedItems containsNonDate="0" containsString="0" containsBlank="1"/>
    </cacheField>
    <cacheField name="WBE Name" numFmtId="0">
      <sharedItems/>
    </cacheField>
    <cacheField name="Engineering Area" numFmtId="0">
      <sharedItems containsNonDate="0" containsString="0" containsBlank="1"/>
    </cacheField>
    <cacheField name="Data Accettazione" numFmtId="0">
      <sharedItems/>
    </cacheField>
    <cacheField name="Data Uscita GD" numFmtId="0">
      <sharedItems containsNonDate="0" containsString="0" containsBlank="1"/>
    </cacheField>
    <cacheField name="REP U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s v="no"/>
    <n v="2020"/>
    <x v="0"/>
    <x v="0"/>
    <s v="A"/>
    <s v=""/>
    <s v="C A R E"/>
    <m/>
    <s v="Int"/>
    <s v="10"/>
    <n v="0"/>
    <n v="1"/>
    <n v="0"/>
    <n v="0"/>
    <n v="0"/>
    <n v="0"/>
    <n v="0"/>
    <n v="0"/>
    <n v="0"/>
    <n v="0"/>
    <n v="0"/>
    <n v="1"/>
    <s v="CONV NGP PLATFORM ENG"/>
    <s v="Gamberini G."/>
    <e v="#N/A"/>
    <s v="WBS ddd"/>
    <s v="319"/>
    <s v=""/>
    <s v=""/>
    <s v="AAAA.0001"/>
    <s v="C005RD319"/>
    <s v="MIL ANTONY"/>
    <s v="Stay"/>
    <n v="1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0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0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0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0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0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0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0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8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0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9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0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10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0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11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0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12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0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13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0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14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0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15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0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16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0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17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0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18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0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19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0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0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1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2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3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4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5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6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7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8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9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0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1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2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3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4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5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6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7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8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9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0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1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2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3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4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5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6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7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8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9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0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1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2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3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4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5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6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7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8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9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0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1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2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3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4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5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6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7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8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9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0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1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2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3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4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5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6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7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8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9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80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2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3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4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5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6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7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8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9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0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1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2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3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4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5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6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7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8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9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20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983B66-B099-438E-BDD3-F97341231C91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1" firstDataCol="1"/>
  <pivotFields count="82">
    <pivotField showAll="0"/>
    <pivotField dataField="1" showAll="0"/>
    <pivotField showAll="0"/>
    <pivotField axis="axisRow" showAll="0" sortType="ascending">
      <items count="5">
        <item m="1" x="3"/>
        <item m="1" x="2"/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2">
    <i>
      <x v="3"/>
    </i>
    <i t="grand">
      <x/>
    </i>
  </rowItems>
  <colItems count="1">
    <i/>
  </colItems>
  <dataFields count="1">
    <dataField name="Min of Anno_" fld="1" subtotal="min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34A62-7ED5-4AFF-A8FC-4DBDCFB88283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5:D8" firstHeaderRow="1" firstDataRow="1" firstDataCol="1"/>
  <pivotFields count="82">
    <pivotField showAll="0"/>
    <pivotField showAll="0"/>
    <pivotField axis="axisRow" showAll="0" sortType="ascending">
      <items count="9">
        <item m="1" x="6"/>
        <item x="0"/>
        <item m="1" x="2"/>
        <item m="1" x="5"/>
        <item m="1" x="4"/>
        <item m="1" x="1"/>
        <item m="1" x="3"/>
        <item m="1" x="7"/>
        <item t="default"/>
      </items>
    </pivotField>
    <pivotField axis="axisRow" showAll="0">
      <items count="5">
        <item m="1" x="3"/>
        <item m="1" x="2"/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3"/>
  </rowFields>
  <rowItems count="3">
    <i>
      <x v="1"/>
    </i>
    <i r="1">
      <x v="3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blBudget" displayName="tblBudget" ref="A2:S3" totalsRowShown="0">
  <autoFilter ref="A2:S3" xr:uid="{00000000-0009-0000-0100-000002000000}"/>
  <tableColumns count="19">
    <tableColumn id="1" xr3:uid="{00000000-0010-0000-0000-000001000000}" name="da considerare?_" dataDxfId="69">
      <calculatedColumnFormula>IF(  AND(  tblBudget[[#This Row],[Business ]]&gt;"",  tblBudget[[#This Row],[CATEGORIA]]=""), "no", "sì")</calculatedColumnFormula>
    </tableColumn>
    <tableColumn id="2" xr3:uid="{00000000-0010-0000-0000-000002000000}" name="BusinessArea_">
      <calculatedColumnFormula>tblBudget[[#This Row],[Business ]]</calculatedColumnFormula>
    </tableColumn>
    <tableColumn id="3" xr3:uid="{00000000-0010-0000-0000-000003000000}" name="ProjType_" dataDxfId="68">
      <calculatedColumnFormula>INDEX( tab_ProjTypeCluster[ProjType],
         MATCH(   tblBudget[[#This Row],[CATEGORIA]],
                      tab_ProjTypeCluster[Macro area], 0)  )</calculatedColumnFormula>
    </tableColumn>
    <tableColumn id="4" xr3:uid="{00000000-0010-0000-0000-000004000000}" name="ProjType Cluster 1_" dataDxfId="67">
      <calculatedColumnFormula>INDEX( tab_ProjTypeCluster[ProjType Cluster 1],   MATCH(tblBudget[[#This Row],[CATEGORIA]], tab_ProjTypeCluster[Macro area], 0 ) )</calculatedColumnFormula>
    </tableColumn>
    <tableColumn id="5" xr3:uid="{00000000-0010-0000-0000-000005000000}" name="ProjType Cluster 2_" dataDxfId="66">
      <calculatedColumnFormula>INDEX( tab_ProjTypeCluster[ProjType Cluster 2],   MATCH(tblBudget[[#This Row],[CATEGORIA]], tab_ProjTypeCluster[Macro area], 0) )</calculatedColumnFormula>
    </tableColumn>
    <tableColumn id="6" xr3:uid="{00000000-0010-0000-0000-000006000000}" name="Nome progetto_" dataDxfId="65"/>
    <tableColumn id="7" xr3:uid="{00000000-0010-0000-0000-000007000000}" name="EngUnit area cluster 1_" dataDxfId="64">
      <calculatedColumnFormula>INDEX(tab_resp1liv[EngUnit area cluster 1_],
                    MATCH(SUBSTITUTE( SUBSTITUTE(#REF!, "(ai)", ""), " ", ""),
                                      tab_resp1liv[SearchKey], 0  ) )</calculatedColumnFormula>
    </tableColumn>
    <tableColumn id="8" xr3:uid="{00000000-0010-0000-0000-000008000000}" name="BDG est_" dataDxfId="63">
      <calculatedColumnFormula>tblBudget[[#This Row],[EST]]+tblBudget[[#This Row],[EST3]]</calculatedColumnFormula>
    </tableColumn>
    <tableColumn id="9" xr3:uid="{00000000-0010-0000-0000-000009000000}" name="BDG int_" dataDxfId="62">
      <calculatedColumnFormula>tblBudget[[#This Row],[INT]]+tblBudget[[#This Row],[INT2]]</calculatedColumnFormula>
    </tableColumn>
    <tableColumn id="10" xr3:uid="{00000000-0010-0000-0000-00000A000000}" name="BDG_" dataDxfId="61">
      <calculatedColumnFormula>tblBudget[[#This Row],[TOTALE TOT]]</calculatedColumnFormula>
    </tableColumn>
    <tableColumn id="11" xr3:uid="{00000000-0010-0000-0000-00000B000000}" name="Business "/>
    <tableColumn id="12" xr3:uid="{00000000-0010-0000-0000-00000C000000}" name="CATEGORIA"/>
    <tableColumn id="13" xr3:uid="{00000000-0010-0000-0000-00000D000000}" name="INT"/>
    <tableColumn id="14" xr3:uid="{00000000-0010-0000-0000-00000E000000}" name="EST"/>
    <tableColumn id="15" xr3:uid="{00000000-0010-0000-0000-00000F000000}" name="totale Gamberini"/>
    <tableColumn id="16" xr3:uid="{00000000-0010-0000-0000-000010000000}" name="INT2"/>
    <tableColumn id="17" xr3:uid="{00000000-0010-0000-0000-000011000000}" name="EST3"/>
    <tableColumn id="18" xr3:uid="{00000000-0010-0000-0000-000012000000}" name="totale Lanzarini"/>
    <tableColumn id="19" xr3:uid="{00000000-0010-0000-0000-000013000000}" name="TOTALE T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Forecast" displayName="tblForecast" ref="A2:X3" totalsRowShown="0">
  <autoFilter ref="A2:X3" xr:uid="{00000000-0009-0000-0100-000003000000}"/>
  <tableColumns count="24">
    <tableColumn id="1" xr3:uid="{00000000-0010-0000-0100-000001000000}" name="da considerare?" dataDxfId="60">
      <calculatedColumnFormula>IF(  AND(  tblForecast[[#This Row],[Business ]]&gt;"",  tblForecast[[#This Row],[CATEGORIA]]=""), "no", "sì")</calculatedColumnFormula>
    </tableColumn>
    <tableColumn id="2" xr3:uid="{00000000-0010-0000-0100-000002000000}" name="Proj type cluster 1" dataDxfId="59">
      <calculatedColumnFormula>IF(  tblForecast[[#This Row],[da considerare?]]="sì",  INDEX( tab_ProjType[ProjType Cluster 1], MATCH( tblForecast[[#This Row],[CATEGORIA TMP]], tab_ProjType[Macro area],0)),   "")</calculatedColumnFormula>
    </tableColumn>
    <tableColumn id="3" xr3:uid="{00000000-0010-0000-0100-000003000000}" name="Proj type cluster 2" dataDxfId="58">
      <calculatedColumnFormula>IF(  tblForecast[[#This Row],[da considerare?]]="sì",  INDEX( tab_ProjType[ProjType Cluster 2], MATCH( tblForecast[[#This Row],[CATEGORIA TMP]], tab_ProjType[Macro area],0)),   "")</calculatedColumnFormula>
    </tableColumn>
    <tableColumn id="4" xr3:uid="{00000000-0010-0000-0100-000004000000}" name="Business" dataDxfId="57">
      <calculatedColumnFormula>IF(tblForecast[[#This Row],[Business ]]&gt;"",    tblForecast[[#This Row],[Business ]],D2)</calculatedColumnFormula>
    </tableColumn>
    <tableColumn id="5" xr3:uid="{00000000-0010-0000-0100-000005000000}" name="CATEGORIA_" dataDxfId="56">
      <calculatedColumnFormula>tblForecast[[#This Row],[CATEGORIA TMP]]&amp;""</calculatedColumnFormula>
    </tableColumn>
    <tableColumn id="6" xr3:uid="{00000000-0010-0000-0100-000006000000}" name="ENG TOB - INT_" dataDxfId="55">
      <calculatedColumnFormula>tblForecast[[#This Row],[INT]]</calculatedColumnFormula>
    </tableColumn>
    <tableColumn id="7" xr3:uid="{00000000-0010-0000-0100-000007000000}" name="ENG TOB - EST_" dataDxfId="54">
      <calculatedColumnFormula>tblForecast[[#This Row],[EST]]</calculatedColumnFormula>
    </tableColumn>
    <tableColumn id="8" xr3:uid="{00000000-0010-0000-0100-000008000000}" name="ENG TOB Totale_" dataDxfId="53">
      <calculatedColumnFormula>tblForecast[[#This Row],[totale Gamberini]]</calculatedColumnFormula>
    </tableColumn>
    <tableColumn id="9" xr3:uid="{00000000-0010-0000-0100-000009000000}" name="ENG LPP - INT_" dataDxfId="52">
      <calculatedColumnFormula>tblForecast[[#This Row],[INT2]]</calculatedColumnFormula>
    </tableColumn>
    <tableColumn id="10" xr3:uid="{00000000-0010-0000-0100-00000A000000}" name="ENG LPP - EST_" dataDxfId="51">
      <calculatedColumnFormula>tblForecast[[#This Row],[EST3]]</calculatedColumnFormula>
    </tableColumn>
    <tableColumn id="11" xr3:uid="{00000000-0010-0000-0100-00000B000000}" name="ENG LPP Totale_" dataDxfId="50">
      <calculatedColumnFormula>tblForecast[[#This Row],[totale Lanzarini]]</calculatedColumnFormula>
    </tableColumn>
    <tableColumn id="12" xr3:uid="{00000000-0010-0000-0100-00000C000000}" name="int FORECAST_" dataDxfId="49">
      <calculatedColumnFormula>tblForecast[[#This Row],[INT]]+tblForecast[[#This Row],[INT2]]</calculatedColumnFormula>
    </tableColumn>
    <tableColumn id="13" xr3:uid="{00000000-0010-0000-0100-00000D000000}" name="ext FORECAST_" dataDxfId="48">
      <calculatedColumnFormula>tblForecast[[#This Row],[EST]]+tblForecast[[#This Row],[EST3]]</calculatedColumnFormula>
    </tableColumn>
    <tableColumn id="14" xr3:uid="{00000000-0010-0000-0100-00000E000000}" name="FORECAST Totale_" dataDxfId="47">
      <calculatedColumnFormula>tblForecast[[#This Row],[TOTALE TOT]]</calculatedColumnFormula>
    </tableColumn>
    <tableColumn id="15" xr3:uid="{00000000-0010-0000-0100-00000F000000}" name="CATEGORIA TMP" dataDxfId="46">
      <calculatedColumnFormula>IF( LEFT(tblForecast[[#This Row],[CATEGORIA]],3)="R&amp;D", "R&amp;D", tblForecast[[#This Row],[CATEGORIA]] )</calculatedColumnFormula>
    </tableColumn>
    <tableColumn id="16" xr3:uid="{00000000-0010-0000-0100-000010000000}" name="Business "/>
    <tableColumn id="17" xr3:uid="{00000000-0010-0000-0100-000011000000}" name="CATEGORIA"/>
    <tableColumn id="18" xr3:uid="{00000000-0010-0000-0100-000012000000}" name="INT"/>
    <tableColumn id="19" xr3:uid="{00000000-0010-0000-0100-000013000000}" name="EST"/>
    <tableColumn id="20" xr3:uid="{00000000-0010-0000-0100-000014000000}" name="totale Gamberini"/>
    <tableColumn id="21" xr3:uid="{00000000-0010-0000-0100-000015000000}" name="INT2"/>
    <tableColumn id="22" xr3:uid="{00000000-0010-0000-0100-000016000000}" name="EST3"/>
    <tableColumn id="23" xr3:uid="{00000000-0010-0000-0100-000017000000}" name="totale Lanzarini"/>
    <tableColumn id="24" xr3:uid="{00000000-0010-0000-0100-000018000000}" name="TOTALE T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RunRate" displayName="tblRunRate" ref="A1:L2" totalsRowShown="0" dataDxfId="45">
  <autoFilter ref="A1:L2" xr:uid="{00000000-0009-0000-0100-000004000000}"/>
  <tableColumns count="12">
    <tableColumn id="1" xr3:uid="{00000000-0010-0000-0200-000001000000}" name="01" dataDxfId="44"/>
    <tableColumn id="2" xr3:uid="{00000000-0010-0000-0200-000002000000}" name="02" dataDxfId="43"/>
    <tableColumn id="3" xr3:uid="{00000000-0010-0000-0200-000003000000}" name="03" dataDxfId="42"/>
    <tableColumn id="4" xr3:uid="{00000000-0010-0000-0200-000004000000}" name="04" dataDxfId="41"/>
    <tableColumn id="5" xr3:uid="{00000000-0010-0000-0200-000005000000}" name="05" dataDxfId="40"/>
    <tableColumn id="6" xr3:uid="{00000000-0010-0000-0200-000006000000}" name="06" dataDxfId="39"/>
    <tableColumn id="7" xr3:uid="{00000000-0010-0000-0200-000007000000}" name="07" dataDxfId="38"/>
    <tableColumn id="8" xr3:uid="{00000000-0010-0000-0200-000008000000}" name="08" dataDxfId="37"/>
    <tableColumn id="9" xr3:uid="{00000000-0010-0000-0200-000009000000}" name="09" dataDxfId="36"/>
    <tableColumn id="10" xr3:uid="{00000000-0010-0000-0200-00000A000000}" name="10" dataDxfId="35"/>
    <tableColumn id="11" xr3:uid="{00000000-0010-0000-0200-00000B000000}" name="11" dataDxfId="34"/>
    <tableColumn id="12" xr3:uid="{00000000-0010-0000-0200-00000C000000}" name="12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Superdettagli" displayName="tabSuperdettagli" ref="A2:CD102" totalsRowShown="0" headerRowDxfId="32">
  <autoFilter ref="A2:CD102" xr:uid="{00000000-0009-0000-0100-000001000000}"/>
  <tableColumns count="82">
    <tableColumn id="1" xr3:uid="{00000000-0010-0000-0300-000001000000}" name="da considerare?_" dataDxfId="31">
      <calculatedColumnFormula>IF(  UPPER(LEFT( tabSuperdettagli[[#This Row],[WBE Status]],1) ) = "S",  "sì",  "no"   )</calculatedColumnFormula>
    </tableColumn>
    <tableColumn id="2" xr3:uid="{00000000-0010-0000-0300-000002000000}" name="Anno_" dataDxfId="30"/>
    <tableColumn id="3" xr3:uid="{00000000-0010-0000-0300-000003000000}" name="Anno di prima marcatura (=anno di apertura progetto)" dataDxfId="29">
      <calculatedColumnFormula>VLOOKUP(tabSuperdettagli[[#This Row],[WBS_]],'pivot di appoggio'!A:B,2,FALSE)</calculatedColumnFormula>
    </tableColumn>
    <tableColumn id="4" xr3:uid="{00000000-0010-0000-0300-000004000000}" name="WBS_" dataDxfId="28">
      <calculatedColumnFormula>LEFT(tabSuperdettagli[[#This Row],[Network]], 10)</calculatedColumnFormula>
    </tableColumn>
    <tableColumn id="5" xr3:uid="{00000000-0010-0000-0300-000005000000}" name="ProjType_" dataDxfId="27">
      <calculatedColumnFormula>LEFT(tabSuperdettagli[[#This Row],[Network]], 1)</calculatedColumnFormula>
    </tableColumn>
    <tableColumn id="6" xr3:uid="{00000000-0010-0000-0300-000006000000}" name="U ProjType_" dataDxfId="26">
      <calculatedColumnFormula>LOWER(TRIM( tabSuperdettagli[[#This Row],[Proj. Type ]] ))</calculatedColumnFormula>
    </tableColumn>
    <tableColumn id="7" xr3:uid="{00000000-0010-0000-0300-000007000000}" name="ProjType Cluster" dataDxfId="25">
      <calculatedColumnFormula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calculatedColumnFormula>
    </tableColumn>
    <tableColumn id="8" xr3:uid="{00000000-0010-0000-0300-000008000000}" name="ProjType Cluster2" dataDxfId="24"/>
    <tableColumn id="9" xr3:uid="{00000000-0010-0000-0300-000009000000}" name="BussinessArea Cluster" dataDxfId="23">
      <calculatedColumnFormula>IF(  TRIM(#REF!)&gt; "", TRIM(#REF!), TRIM(tabSuperdettagli[[#This Row],[Resp DT]] ) )</calculatedColumnFormula>
    </tableColumn>
    <tableColumn id="10" xr3:uid="{00000000-0010-0000-0300-00000A000000}" name="ORE_" dataDxfId="22">
      <calculatedColumnFormula>tabSuperdettagli[[#This Row],[07.2025]]</calculatedColumnFormula>
    </tableColumn>
    <tableColumn id="11" xr3:uid="{00000000-0010-0000-0300-00000B000000}" name="gen_" dataDxfId="21">
      <calculatedColumnFormula>tabSuperdettagli[[#This Row],[Resp del Prodotto]]</calculatedColumnFormula>
    </tableColumn>
    <tableColumn id="12" xr3:uid="{00000000-0010-0000-0300-00000C000000}" name="feb_">
      <calculatedColumnFormula>tabSuperdettagli[[#This Row],[Area di bdg]]</calculatedColumnFormula>
    </tableColumn>
    <tableColumn id="13" xr3:uid="{00000000-0010-0000-0300-00000D000000}" name="mar_"/>
    <tableColumn id="14" xr3:uid="{00000000-0010-0000-0300-00000E000000}" name="apr_"/>
    <tableColumn id="15" xr3:uid="{00000000-0010-0000-0300-00000F000000}" name="mag_"/>
    <tableColumn id="16" xr3:uid="{00000000-0010-0000-0300-000010000000}" name="giu_"/>
    <tableColumn id="17" xr3:uid="{00000000-0010-0000-0300-000011000000}" name="lug_"/>
    <tableColumn id="18" xr3:uid="{00000000-0010-0000-0300-000012000000}" name="ago_"/>
    <tableColumn id="19" xr3:uid="{00000000-0010-0000-0300-000013000000}" name="set_"/>
    <tableColumn id="20" xr3:uid="{00000000-0010-0000-0300-000014000000}" name="ott_"/>
    <tableColumn id="21" xr3:uid="{00000000-0010-0000-0300-000015000000}" name="nov_"/>
    <tableColumn id="22" xr3:uid="{00000000-0010-0000-0300-000016000000}" name="dic_"/>
    <tableColumn id="23" xr3:uid="{00000000-0010-0000-0300-000017000000}" name="tipo risorsa_" dataDxfId="20">
      <calculatedColumnFormula>tabSuperdettagli[[#This Row],[PROJ CODE]]</calculatedColumnFormula>
    </tableColumn>
    <tableColumn id="24" xr3:uid="{00000000-0010-0000-0300-000018000000}" name="Resp 1°liv_" dataDxfId="19">
      <calculatedColumnFormula>tabSuperdettagli[[#This Row],[Resp 2°liv]]&amp;""</calculatedColumnFormula>
    </tableColumn>
    <tableColumn id="25" xr3:uid="{00000000-0010-0000-0300-000019000000}" name="EngUnit area cluster 1_" dataDxfId="18">
      <calculatedColumnFormula>INDEX(     tab_resp1liv[EngUnit area cluster 1_],
                    MATCH(   SUBSTITUTE(tabSuperdettagli[[#This Row],[Resp 2°liv]],  " ", ""),
                                      tab_resp1liv[SearchKey],0))</calculatedColumnFormula>
    </tableColumn>
    <tableColumn id="26" xr3:uid="{00000000-0010-0000-0300-00001A000000}" name="WBS description_" dataDxfId="17">
      <calculatedColumnFormula>tabSuperdettagli[[#This Row],[WBS Element]]&amp;""</calculatedColumnFormula>
    </tableColumn>
    <tableColumn id="27" xr3:uid="{00000000-0010-0000-0300-00001B000000}" name="WBE description_" dataDxfId="16">
      <calculatedColumnFormula>tabSuperdettagli[[#This Row],[09.2025]]</calculatedColumnFormula>
    </tableColumn>
    <tableColumn id="28" xr3:uid="{00000000-0010-0000-0300-00001C000000}" name="WBS D description_" dataDxfId="15"/>
    <tableColumn id="29" xr3:uid="{00000000-0010-0000-0300-00001D000000}" name="WBS M description_" dataDxfId="14">
      <calculatedColumnFormula>IF( tabSuperdettagli[[#This Row],[ProjType_]]="M",  IF(  AND(tabSuperdettagli[[#This Row],[Resp 1°liv_]]="Guidotti C.", tabSuperdettagli[[#This Row],[WBE description_]]="Machine Mgmt"), "Documentation", tabSuperdettagli[[#This Row],[WBE description_]]),  "" )</calculatedColumnFormula>
    </tableColumn>
    <tableColumn id="30" xr3:uid="{00000000-0010-0000-0300-00001E000000}" name="WBE per WBS-K" dataDxfId="13">
      <calculatedColumnFormula>LEFT(tabSuperdettagli[[#This Row],[Network]], 18 )</calculatedColumnFormula>
    </tableColumn>
    <tableColumn id="31" xr3:uid="{00000000-0010-0000-0300-00001F000000}" name="Sender Cost Center"/>
    <tableColumn id="32" xr3:uid="{00000000-0010-0000-0300-000020000000}" name="Personnel Number"/>
    <tableColumn id="33" xr3:uid="{00000000-0010-0000-0300-000021000000}" name="Last name First name"/>
    <tableColumn id="34" xr3:uid="{00000000-0010-0000-0300-000022000000}" name="Project Description"/>
    <tableColumn id="35" xr3:uid="{00000000-0010-0000-0300-000023000000}" name="WBS Element"/>
    <tableColumn id="36" xr3:uid="{00000000-0010-0000-0300-000024000000}" name="Network"/>
    <tableColumn id="37" xr3:uid="{00000000-0010-0000-0300-000025000000}" name="Operation/Activity"/>
    <tableColumn id="38" xr3:uid="{00000000-0010-0000-0300-000026000000}" name="Acct assgnt text"/>
    <tableColumn id="39" xr3:uid="{00000000-0010-0000-0300-000027000000}" name="WBS Element - Project Definition (Text)"/>
    <tableColumn id="40" xr3:uid="{00000000-0010-0000-0300-000028000000}" name="Network descr"/>
    <tableColumn id="41" xr3:uid="{00000000-0010-0000-0300-000029000000}" name="PROJ CODE"/>
    <tableColumn id="42" xr3:uid="{00000000-0010-0000-0300-00002A000000}" name="INT/EST"/>
    <tableColumn id="43" xr3:uid="{00000000-0010-0000-0300-00002B000000}" name="Raggr. X Struttura"/>
    <tableColumn id="44" xr3:uid="{00000000-0010-0000-0300-00002C000000}" name="MESE"/>
    <tableColumn id="45" xr3:uid="{00000000-0010-0000-0300-00002D000000}" name="Resp 2°liv"/>
    <tableColumn id="46" xr3:uid="{00000000-0010-0000-0300-00002E000000}" name="CDC bdg"/>
    <tableColumn id="47" xr3:uid="{00000000-0010-0000-0300-00002F000000}" name="Resp 1°liv"/>
    <tableColumn id="48" xr3:uid="{00000000-0010-0000-0300-000030000000}" name="Resp DT"/>
    <tableColumn id="49" xr3:uid="{00000000-0010-0000-0300-000031000000}" name="TIPO REP"/>
    <tableColumn id="50" xr3:uid="{00000000-0010-0000-0300-000032000000}" name="Bus Area GDLT"/>
    <tableColumn id="51" xr3:uid="{00000000-0010-0000-0300-000033000000}" name="Bus Area_2"/>
    <tableColumn id="52" xr3:uid="{00000000-0010-0000-0300-000034000000}" name="tipo progetto"/>
    <tableColumn id="53" xr3:uid="{00000000-0010-0000-0300-000035000000}" name="Proj name"/>
    <tableColumn id="54" xr3:uid="{00000000-0010-0000-0300-000036000000}" name="machine code"/>
    <tableColumn id="55" xr3:uid="{00000000-0010-0000-0300-000037000000}" name="product area"/>
    <tableColumn id="56" xr3:uid="{00000000-0010-0000-0300-000038000000}" name="Resp del Prodotto"/>
    <tableColumn id="57" xr3:uid="{00000000-0010-0000-0300-000039000000}" name="Area di bdg"/>
    <tableColumn id="58" xr3:uid="{00000000-0010-0000-0300-00003A000000}" name="Macchina"/>
    <tableColumn id="59" xr3:uid="{00000000-0010-0000-0300-00003B000000}" name="Sottotipo"/>
    <tableColumn id="60" xr3:uid="{00000000-0010-0000-0300-00003C000000}" name="Cluster"/>
    <tableColumn id="61" xr3:uid="{00000000-0010-0000-0300-00003D000000}" name="Quadrante"/>
    <tableColumn id="62" xr3:uid="{00000000-0010-0000-0300-00003E000000}" name="01.2025"/>
    <tableColumn id="63" xr3:uid="{00000000-0010-0000-0300-00003F000000}" name="02.2025"/>
    <tableColumn id="64" xr3:uid="{00000000-0010-0000-0300-000040000000}" name="03.2025"/>
    <tableColumn id="65" xr3:uid="{00000000-0010-0000-0300-000041000000}" name="04.2025"/>
    <tableColumn id="66" xr3:uid="{00000000-0010-0000-0300-000042000000}" name="05.2025"/>
    <tableColumn id="67" xr3:uid="{00000000-0010-0000-0300-000043000000}" name="06.2025"/>
    <tableColumn id="68" xr3:uid="{00000000-0010-0000-0300-000044000000}" name="07.2025"/>
    <tableColumn id="69" xr3:uid="{00000000-0010-0000-0300-000045000000}" name="08.2025"/>
    <tableColumn id="70" xr3:uid="{00000000-0010-0000-0300-000046000000}" name="09.2025"/>
    <tableColumn id="71" xr3:uid="{00000000-0010-0000-0300-000047000000}" name="10.2025"/>
    <tableColumn id="72" xr3:uid="{00000000-0010-0000-0300-000048000000}" name="11.2025"/>
    <tableColumn id="73" xr3:uid="{00000000-0010-0000-0300-000049000000}" name="12.2025"/>
    <tableColumn id="74" xr3:uid="{00000000-0010-0000-0300-00004A000000}" name="Total"/>
    <tableColumn id="75" xr3:uid="{00000000-0010-0000-0300-00004B000000}" name="WBE Status"/>
    <tableColumn id="76" xr3:uid="{00000000-0010-0000-0300-00004C000000}" name="competence date "/>
    <tableColumn id="77" xr3:uid="{00000000-0010-0000-0300-00004D000000}" name="Proj. Type "/>
    <tableColumn id="78" xr3:uid="{00000000-0010-0000-0300-00004E000000}" name="WBE Name"/>
    <tableColumn id="79" xr3:uid="{00000000-0010-0000-0300-00004F000000}" name="Engineering Area"/>
    <tableColumn id="80" xr3:uid="{00000000-0010-0000-0300-000050000000}" name="Data Accettazione"/>
    <tableColumn id="81" xr3:uid="{00000000-0010-0000-0300-000051000000}" name="Data Uscita GD"/>
    <tableColumn id="82" xr3:uid="{056410C7-2D0B-4A3C-92A3-B542CB575802}" name="REP U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_ProjType" displayName="tab_ProjType" ref="F1:I15" totalsRowShown="0" headerRowDxfId="12">
  <autoFilter ref="F1:I15" xr:uid="{00000000-0009-0000-0100-000007000000}"/>
  <tableColumns count="4">
    <tableColumn id="1" xr3:uid="{00000000-0010-0000-0400-000001000000}" name="Macro area" dataDxfId="11"/>
    <tableColumn id="2" xr3:uid="{00000000-0010-0000-0400-000002000000}" name="ProjType"/>
    <tableColumn id="3" xr3:uid="{00000000-0010-0000-0400-000003000000}" name="ProjType Cluster 1" dataDxfId="10"/>
    <tableColumn id="4" xr3:uid="{00000000-0010-0000-0400-000004000000}" name="ProjType Cluster 2" dataDxfId="9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ab_ProjTypeCluster" displayName="tab_ProjTypeCluster" ref="F1:I21" totalsRowShown="0">
  <autoFilter ref="F1:I21" xr:uid="{00000000-0009-0000-0100-000008000000}"/>
  <tableColumns count="4">
    <tableColumn id="1" xr3:uid="{00000000-0010-0000-0500-000001000000}" name="Macro area"/>
    <tableColumn id="2" xr3:uid="{00000000-0010-0000-0500-000002000000}" name="ProjType"/>
    <tableColumn id="3" xr3:uid="{00000000-0010-0000-0500-000003000000}" name="ProjType Cluster 1" dataDxfId="8"/>
    <tableColumn id="4" xr3:uid="{00000000-0010-0000-0500-000004000000}" name="ProjType Cluster 2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_resp1liv" displayName="tab_resp1liv" ref="A1:C27" totalsRowShown="0">
  <autoFilter ref="A1:C27" xr:uid="{00000000-0009-0000-0100-000009000000}"/>
  <tableColumns count="3">
    <tableColumn id="3" xr3:uid="{00000000-0010-0000-0600-000003000000}" name="SearchKey" dataDxfId="6">
      <calculatedColumnFormula>SUBSTITUTE(tab_resp1liv[[#This Row],[Resp 1°liv2]], " ", "")</calculatedColumnFormula>
    </tableColumn>
    <tableColumn id="1" xr3:uid="{00000000-0010-0000-0600-000001000000}" name="Resp 1°liv2"/>
    <tableColumn id="2" xr3:uid="{00000000-0010-0000-0600-000002000000}" name="EngUnit area cluster 1_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tab_progettiD" displayName="tab_progettiD" ref="A3:B363" totalsRowShown="0">
  <autoFilter ref="A3:B363" xr:uid="{00000000-0009-0000-0100-00000A000000}"/>
  <sortState xmlns:xlrd2="http://schemas.microsoft.com/office/spreadsheetml/2017/richdata2" ref="A4:B355">
    <sortCondition ref="A3:A355"/>
  </sortState>
  <tableColumns count="2">
    <tableColumn id="1" xr3:uid="{00000000-0010-0000-0700-000001000000}" name="WBS"/>
    <tableColumn id="2" xr3:uid="{00000000-0010-0000-0700-000002000000}" name="PROJECT HIGHLIGH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8000000}" name="tblIndexPowerpoint7" displayName="tblIndexPowerpoint7" ref="A3:F82" totalsRowShown="0" headerRowDxfId="5">
  <autoFilter ref="A3:F82" xr:uid="{00000000-0009-0000-0100-000006000000}"/>
  <tableColumns count="6">
    <tableColumn id="1" xr3:uid="{00000000-0010-0000-0800-000001000000}" name="Powerpoint File"/>
    <tableColumn id="2" xr3:uid="{00000000-0010-0000-0800-000002000000}" name="Title"/>
    <tableColumn id="3" xr3:uid="{00000000-0010-0000-0800-000003000000}" name="Content 1" dataDxfId="4"/>
    <tableColumn id="4" xr3:uid="{00000000-0010-0000-0800-000004000000}" name="Content 2" dataDxfId="3"/>
    <tableColumn id="5" xr3:uid="{00000000-0010-0000-0800-000005000000}" name="Content 3" dataDxfId="2"/>
    <tableColumn id="6" xr3:uid="{00000000-0010-0000-0800-000006000000}" name="Layout" dataDxfId="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tblFieldFilters1213" displayName="tblFieldFilters1213" ref="K3:L15" totalsRowShown="0" headerRowDxfId="0">
  <autoFilter ref="K3:L15" xr:uid="{00000000-0009-0000-0100-00000C000000}"/>
  <sortState xmlns:xlrd2="http://schemas.microsoft.com/office/spreadsheetml/2017/richdata2" ref="K4:L15">
    <sortCondition ref="K4:K15"/>
    <sortCondition ref="L4:L15"/>
  </sortState>
  <tableColumns count="2">
    <tableColumn id="3" xr3:uid="{00000000-0010-0000-0900-000003000000}" name="TABLE"/>
    <tableColumn id="1" xr3:uid="{00000000-0010-0000-0900-000001000000}" name="Nome colonna filtrabil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79998168889431442"/>
  </sheetPr>
  <dimension ref="A1:S3"/>
  <sheetViews>
    <sheetView zoomScaleNormal="100" workbookViewId="0">
      <selection sqref="A1:J1"/>
    </sheetView>
  </sheetViews>
  <sheetFormatPr defaultRowHeight="15" x14ac:dyDescent="0.25"/>
  <cols>
    <col min="1" max="1" width="18.42578125" bestFit="1" customWidth="1"/>
    <col min="2" max="2" width="16.28515625" bestFit="1" customWidth="1"/>
    <col min="3" max="3" width="12.140625" bestFit="1" customWidth="1"/>
    <col min="4" max="5" width="20.5703125" bestFit="1" customWidth="1"/>
    <col min="6" max="6" width="18" bestFit="1" customWidth="1"/>
    <col min="7" max="7" width="23.85546875" bestFit="1" customWidth="1"/>
    <col min="8" max="8" width="11.28515625" bestFit="1" customWidth="1"/>
    <col min="9" max="9" width="11" bestFit="1" customWidth="1"/>
    <col min="10" max="10" width="8.140625" bestFit="1" customWidth="1"/>
    <col min="11" max="11" width="15.85546875" customWidth="1"/>
    <col min="12" max="12" width="15.85546875" bestFit="1" customWidth="1"/>
    <col min="13" max="14" width="8.5703125" bestFit="1" customWidth="1"/>
    <col min="15" max="15" width="20.85546875" bestFit="1" customWidth="1"/>
    <col min="16" max="17" width="9.5703125" bestFit="1" customWidth="1"/>
    <col min="18" max="18" width="19.28515625" bestFit="1" customWidth="1"/>
    <col min="19" max="19" width="16" bestFit="1" customWidth="1"/>
  </cols>
  <sheetData>
    <row r="1" spans="1:19" x14ac:dyDescent="0.25">
      <c r="A1" s="129" t="s">
        <v>0</v>
      </c>
      <c r="B1" s="130"/>
      <c r="C1" s="130"/>
      <c r="D1" s="130"/>
      <c r="E1" s="130"/>
      <c r="F1" s="130"/>
      <c r="G1" s="130"/>
      <c r="H1" s="130"/>
      <c r="I1" s="130"/>
      <c r="J1" s="131"/>
      <c r="K1" s="132" t="s">
        <v>1</v>
      </c>
      <c r="L1" s="133"/>
      <c r="M1" s="133"/>
      <c r="N1" s="133"/>
      <c r="O1" s="133"/>
      <c r="P1" s="133"/>
      <c r="Q1" s="133"/>
      <c r="R1" s="133"/>
      <c r="S1" s="133"/>
    </row>
    <row r="2" spans="1:19" x14ac:dyDescent="0.25">
      <c r="A2" s="68" t="s">
        <v>2</v>
      </c>
      <c r="B2" s="68" t="s">
        <v>3</v>
      </c>
      <c r="C2" s="68" t="s">
        <v>4</v>
      </c>
      <c r="D2" s="68" t="s">
        <v>5</v>
      </c>
      <c r="E2" s="68" t="s">
        <v>6</v>
      </c>
      <c r="F2" s="68" t="s">
        <v>7</v>
      </c>
      <c r="G2" s="68" t="s">
        <v>8</v>
      </c>
      <c r="H2" s="68" t="s">
        <v>9</v>
      </c>
      <c r="I2" s="68" t="s">
        <v>10</v>
      </c>
      <c r="J2" s="68" t="s">
        <v>11</v>
      </c>
      <c r="K2" s="87" t="s">
        <v>205</v>
      </c>
      <c r="L2" s="87" t="s">
        <v>12</v>
      </c>
      <c r="M2" s="87" t="s">
        <v>13</v>
      </c>
      <c r="N2" s="87" t="s">
        <v>14</v>
      </c>
      <c r="O2" s="87" t="s">
        <v>15</v>
      </c>
      <c r="P2" s="87" t="s">
        <v>16</v>
      </c>
      <c r="Q2" s="87" t="s">
        <v>17</v>
      </c>
      <c r="R2" s="87" t="s">
        <v>18</v>
      </c>
      <c r="S2" s="87" t="s">
        <v>19</v>
      </c>
    </row>
    <row r="3" spans="1:19" x14ac:dyDescent="0.25">
      <c r="A3" t="str">
        <f>IF(AND(tblBudget[[#This Row],[Business ]]&gt;"",tblBudget[[#This Row],[CATEGORIA]]=""),"no","sì")</f>
        <v>sì</v>
      </c>
      <c r="B3" t="str">
        <f>tblBudget[[#This Row],[Business ]]</f>
        <v>Business Sample</v>
      </c>
      <c r="C3" t="e">
        <f>INDEX(tab_ProjTypeCluster[ProjType],MATCH(tblBudget[[#This Row],[CATEGORIA]],tab_ProjTypeCluster[Macro area],0))</f>
        <v>#N/A</v>
      </c>
      <c r="D3" t="e">
        <f>INDEX(tab_ProjTypeCluster[ProjType Cluster 1],MATCH(tblBudget[[#This Row],[CATEGORIA]],tab_ProjTypeCluster[Macro area],0))</f>
        <v>#N/A</v>
      </c>
      <c r="E3" t="e">
        <f>INDEX(tab_ProjTypeCluster[ProjType Cluster 2],MATCH(tblBudget[[#This Row],[CATEGORIA]],tab_ProjTypeCluster[Macro area],0))</f>
        <v>#N/A</v>
      </c>
      <c r="G3" t="e">
        <f>INDEX(tab_resp1liv[EngUnit area cluster 1_],MATCH(SUBSTITUTE(SUBSTITUTE(#REF!,"(ai)","")," ",""),tab_resp1liv[SearchKey],0))</f>
        <v>#REF!</v>
      </c>
      <c r="H3">
        <f>tblBudget[[#This Row],[EST]]+tblBudget[[#This Row],[EST3]]</f>
        <v>15</v>
      </c>
      <c r="I3">
        <f>tblBudget[[#This Row],[INT]]+tblBudget[[#This Row],[INT2]]</f>
        <v>25</v>
      </c>
      <c r="J3">
        <f>tblBudget[[#This Row],[TOTALE TOT]]</f>
        <v>80</v>
      </c>
      <c r="K3" t="s">
        <v>236</v>
      </c>
      <c r="L3" t="s">
        <v>237</v>
      </c>
      <c r="M3">
        <v>10</v>
      </c>
      <c r="N3">
        <v>12</v>
      </c>
      <c r="O3">
        <v>22</v>
      </c>
      <c r="P3">
        <v>15</v>
      </c>
      <c r="Q3">
        <v>3</v>
      </c>
      <c r="R3">
        <v>18</v>
      </c>
      <c r="S3">
        <v>80</v>
      </c>
    </row>
  </sheetData>
  <mergeCells count="2">
    <mergeCell ref="A1:J1"/>
    <mergeCell ref="K1:S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79998168889431442"/>
  </sheetPr>
  <dimension ref="A1:X3"/>
  <sheetViews>
    <sheetView zoomScaleNormal="100" workbookViewId="0">
      <selection sqref="A1:O1"/>
    </sheetView>
  </sheetViews>
  <sheetFormatPr defaultRowHeight="15" x14ac:dyDescent="0.25"/>
  <cols>
    <col min="1" max="1" width="17.42578125" bestFit="1" customWidth="1"/>
    <col min="2" max="3" width="19.28515625" bestFit="1" customWidth="1"/>
    <col min="4" max="4" width="17.140625" bestFit="1" customWidth="1"/>
    <col min="5" max="5" width="14.5703125" bestFit="1" customWidth="1"/>
    <col min="6" max="6" width="17.28515625" bestFit="1" customWidth="1"/>
    <col min="7" max="7" width="17.42578125" bestFit="1" customWidth="1"/>
    <col min="8" max="8" width="18.42578125" bestFit="1" customWidth="1"/>
    <col min="9" max="9" width="16.5703125" bestFit="1" customWidth="1"/>
    <col min="10" max="10" width="16.7109375" bestFit="1" customWidth="1"/>
    <col min="11" max="11" width="17.85546875" bestFit="1" customWidth="1"/>
    <col min="12" max="12" width="16.42578125" bestFit="1" customWidth="1"/>
    <col min="13" max="13" width="17" bestFit="1" customWidth="1"/>
    <col min="14" max="14" width="19.5703125" bestFit="1" customWidth="1"/>
    <col min="15" max="15" width="18.140625" bestFit="1" customWidth="1"/>
    <col min="16" max="16" width="17.140625" bestFit="1" customWidth="1"/>
    <col min="17" max="17" width="16.28515625" bestFit="1" customWidth="1"/>
    <col min="18" max="18" width="9.42578125" bestFit="1" customWidth="1"/>
    <col min="19" max="19" width="9.5703125" bestFit="1" customWidth="1"/>
    <col min="20" max="20" width="20.85546875" bestFit="1" customWidth="1"/>
    <col min="21" max="21" width="10.42578125" bestFit="1" customWidth="1"/>
    <col min="22" max="22" width="10.5703125" bestFit="1" customWidth="1"/>
    <col min="23" max="23" width="19.42578125" bestFit="1" customWidth="1"/>
    <col min="24" max="24" width="16.7109375" bestFit="1" customWidth="1"/>
  </cols>
  <sheetData>
    <row r="1" spans="1:24" x14ac:dyDescent="0.25">
      <c r="A1" s="129" t="s">
        <v>0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1"/>
      <c r="P1" s="134" t="s">
        <v>1</v>
      </c>
      <c r="Q1" s="134"/>
      <c r="R1" s="134"/>
      <c r="S1" s="134"/>
      <c r="T1" s="134"/>
      <c r="U1" s="134"/>
      <c r="V1" s="134"/>
      <c r="W1" s="134"/>
      <c r="X1" s="135"/>
    </row>
    <row r="2" spans="1:24" x14ac:dyDescent="0.25">
      <c r="A2" s="68" t="s">
        <v>20</v>
      </c>
      <c r="B2" s="68" t="s">
        <v>21</v>
      </c>
      <c r="C2" s="68" t="s">
        <v>22</v>
      </c>
      <c r="D2" s="68" t="s">
        <v>23</v>
      </c>
      <c r="E2" s="68" t="s">
        <v>24</v>
      </c>
      <c r="F2" s="68" t="s">
        <v>25</v>
      </c>
      <c r="G2" s="68" t="s">
        <v>26</v>
      </c>
      <c r="H2" s="68" t="s">
        <v>27</v>
      </c>
      <c r="I2" s="68" t="s">
        <v>28</v>
      </c>
      <c r="J2" s="68" t="s">
        <v>29</v>
      </c>
      <c r="K2" s="68" t="s">
        <v>30</v>
      </c>
      <c r="L2" s="68" t="s">
        <v>31</v>
      </c>
      <c r="M2" s="68" t="s">
        <v>32</v>
      </c>
      <c r="N2" s="68" t="s">
        <v>33</v>
      </c>
      <c r="O2" s="72" t="s">
        <v>34</v>
      </c>
      <c r="P2" s="87" t="s">
        <v>205</v>
      </c>
      <c r="Q2" s="87" t="s">
        <v>12</v>
      </c>
      <c r="R2" s="87" t="s">
        <v>13</v>
      </c>
      <c r="S2" s="87" t="s">
        <v>14</v>
      </c>
      <c r="T2" s="87" t="s">
        <v>15</v>
      </c>
      <c r="U2" s="87" t="s">
        <v>16</v>
      </c>
      <c r="V2" s="87" t="s">
        <v>17</v>
      </c>
      <c r="W2" s="87" t="s">
        <v>18</v>
      </c>
      <c r="X2" s="87" t="s">
        <v>19</v>
      </c>
    </row>
    <row r="3" spans="1:24" x14ac:dyDescent="0.25">
      <c r="A3" t="str">
        <f>IF(AND(tblForecast[[#This Row],[Business ]]&gt;"",tblForecast[[#This Row],[CATEGORIA]]=""),"no","sì")</f>
        <v>sì</v>
      </c>
      <c r="B3" t="e">
        <f>IF(tblForecast[[#This Row],[da considerare?]]="sì",INDEX(tab_ProjType[ProjType Cluster 1],MATCH(tblForecast[[#This Row],[CATEGORIA TMP]],tab_ProjType[Macro area],0)),"")</f>
        <v>#N/A</v>
      </c>
      <c r="C3" t="e">
        <f>IF(tblForecast[[#This Row],[da considerare?]]="sì",INDEX(tab_ProjType[ProjType Cluster 2],MATCH(tblForecast[[#This Row],[CATEGORIA TMP]],tab_ProjType[Macro area],0)),"")</f>
        <v>#N/A</v>
      </c>
      <c r="D3" t="str">
        <f>IF(tblForecast[[#This Row],[Business ]]&gt;"",tblForecast[[#This Row],[Business ]],D2)</f>
        <v>Business Sample</v>
      </c>
      <c r="E3" t="str">
        <f>tblForecast[[#This Row],[CATEGORIA TMP]]&amp;""</f>
        <v>Categoria A</v>
      </c>
      <c r="F3">
        <f>tblForecast[[#This Row],[INT]]</f>
        <v>10</v>
      </c>
      <c r="G3">
        <f>tblForecast[[#This Row],[EST]]</f>
        <v>12</v>
      </c>
      <c r="H3">
        <f>tblForecast[[#This Row],[totale Gamberini]]</f>
        <v>22</v>
      </c>
      <c r="I3">
        <f>tblForecast[[#This Row],[INT2]]</f>
        <v>15</v>
      </c>
      <c r="J3">
        <f>tblForecast[[#This Row],[EST3]]</f>
        <v>3</v>
      </c>
      <c r="K3">
        <f>tblForecast[[#This Row],[totale Lanzarini]]</f>
        <v>18</v>
      </c>
      <c r="L3">
        <f>tblForecast[[#This Row],[INT]]+tblForecast[[#This Row],[INT2]]</f>
        <v>25</v>
      </c>
      <c r="M3">
        <f>tblForecast[[#This Row],[EST]]+tblForecast[[#This Row],[EST3]]</f>
        <v>15</v>
      </c>
      <c r="N3">
        <f>tblForecast[[#This Row],[TOTALE TOT]]</f>
        <v>80</v>
      </c>
      <c r="O3" t="str">
        <f>IF(LEFT(tblForecast[[#This Row],[CATEGORIA]],3)="R&amp;D","R&amp;D",tblForecast[[#This Row],[CATEGORIA]])</f>
        <v>Categoria A</v>
      </c>
      <c r="P3" t="s">
        <v>236</v>
      </c>
      <c r="Q3" t="s">
        <v>237</v>
      </c>
      <c r="R3">
        <v>10</v>
      </c>
      <c r="S3">
        <v>12</v>
      </c>
      <c r="T3">
        <v>22</v>
      </c>
      <c r="U3">
        <v>15</v>
      </c>
      <c r="V3">
        <v>3</v>
      </c>
      <c r="W3">
        <v>18</v>
      </c>
      <c r="X3">
        <v>80</v>
      </c>
    </row>
  </sheetData>
  <mergeCells count="2">
    <mergeCell ref="P1:X1"/>
    <mergeCell ref="A1:O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79998168889431442"/>
  </sheetPr>
  <dimension ref="A1:L2"/>
  <sheetViews>
    <sheetView zoomScaleNormal="100" workbookViewId="0"/>
  </sheetViews>
  <sheetFormatPr defaultRowHeight="15" x14ac:dyDescent="0.25"/>
  <sheetData>
    <row r="1" spans="1:12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</row>
    <row r="2" spans="1:12" x14ac:dyDescent="0.25">
      <c r="A2" s="53">
        <v>0.15</v>
      </c>
      <c r="B2" s="53">
        <v>0.1</v>
      </c>
      <c r="C2" s="53">
        <v>0.05</v>
      </c>
      <c r="D2" s="53">
        <v>0.1</v>
      </c>
      <c r="E2" s="53">
        <v>0.15</v>
      </c>
      <c r="F2" s="53">
        <v>0.2</v>
      </c>
      <c r="G2" s="53">
        <v>0.25</v>
      </c>
      <c r="H2" s="53">
        <v>0.2</v>
      </c>
      <c r="I2" s="53">
        <v>0.15</v>
      </c>
      <c r="J2" s="53">
        <v>0.1</v>
      </c>
      <c r="K2" s="53">
        <v>0.05</v>
      </c>
      <c r="L2" s="53">
        <v>0.1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CD102"/>
  <sheetViews>
    <sheetView tabSelected="1" zoomScaleNormal="100" workbookViewId="0">
      <selection sqref="A1:AD1"/>
    </sheetView>
  </sheetViews>
  <sheetFormatPr defaultRowHeight="15" x14ac:dyDescent="0.25"/>
  <cols>
    <col min="1" max="1" width="20.7109375" bestFit="1" customWidth="1"/>
    <col min="2" max="2" width="11.28515625" bestFit="1" customWidth="1"/>
    <col min="3" max="3" width="54.140625" bestFit="1" customWidth="1"/>
    <col min="4" max="4" width="10.7109375" bestFit="1" customWidth="1"/>
    <col min="5" max="5" width="14.42578125" bestFit="1" customWidth="1"/>
    <col min="6" max="6" width="16.28515625" bestFit="1" customWidth="1"/>
    <col min="7" max="8" width="22.85546875" bestFit="1" customWidth="1"/>
    <col min="9" max="9" width="27.85546875" bestFit="1" customWidth="1"/>
    <col min="10" max="10" width="10.140625" bestFit="1" customWidth="1"/>
    <col min="11" max="11" width="9.85546875" bestFit="1" customWidth="1"/>
    <col min="12" max="12" width="9.5703125" bestFit="1" customWidth="1"/>
    <col min="13" max="13" width="10" bestFit="1" customWidth="1"/>
    <col min="14" max="14" width="9.42578125" bestFit="1" customWidth="1"/>
    <col min="15" max="15" width="10.28515625" bestFit="1" customWidth="1"/>
    <col min="16" max="17" width="9.28515625" bestFit="1" customWidth="1"/>
    <col min="18" max="18" width="9.7109375" bestFit="1" customWidth="1"/>
    <col min="19" max="19" width="9.28515625" bestFit="1" customWidth="1"/>
    <col min="20" max="20" width="9.140625" bestFit="1" customWidth="1"/>
    <col min="21" max="21" width="9.85546875" bestFit="1" customWidth="1"/>
    <col min="22" max="22" width="9.140625" bestFit="1" customWidth="1"/>
    <col min="23" max="23" width="16.42578125" bestFit="1" customWidth="1"/>
    <col min="24" max="24" width="15.140625" bestFit="1" customWidth="1"/>
    <col min="25" max="25" width="26.140625" bestFit="1" customWidth="1"/>
    <col min="26" max="27" width="21.28515625" bestFit="1" customWidth="1"/>
    <col min="28" max="28" width="23.140625" bestFit="1" customWidth="1"/>
    <col min="29" max="29" width="23.7109375" bestFit="1" customWidth="1"/>
    <col min="30" max="30" width="19.7109375" bestFit="1" customWidth="1"/>
    <col min="31" max="31" width="22.85546875" bestFit="1" customWidth="1"/>
    <col min="32" max="32" width="22.5703125" bestFit="1" customWidth="1"/>
    <col min="33" max="33" width="24.42578125" bestFit="1" customWidth="1"/>
    <col min="34" max="34" width="39.28515625" bestFit="1" customWidth="1"/>
    <col min="35" max="35" width="17.7109375" bestFit="1" customWidth="1"/>
    <col min="36" max="36" width="13.28515625" bestFit="1" customWidth="1"/>
    <col min="37" max="37" width="22.42578125" bestFit="1" customWidth="1"/>
    <col min="38" max="38" width="19.42578125" bestFit="1" customWidth="1"/>
    <col min="39" max="39" width="19.5703125" bestFit="1" customWidth="1"/>
    <col min="40" max="40" width="18.5703125" bestFit="1" customWidth="1"/>
    <col min="41" max="41" width="15.28515625" bestFit="1" customWidth="1"/>
    <col min="42" max="42" width="12.42578125" bestFit="1" customWidth="1"/>
    <col min="43" max="43" width="21" bestFit="1" customWidth="1"/>
    <col min="44" max="44" width="10.42578125" bestFit="1" customWidth="1"/>
    <col min="45" max="45" width="14.140625" bestFit="1" customWidth="1"/>
    <col min="46" max="46" width="12.85546875" bestFit="1" customWidth="1"/>
    <col min="47" max="47" width="14.140625" bestFit="1" customWidth="1"/>
    <col min="48" max="48" width="12.5703125" bestFit="1" customWidth="1"/>
    <col min="49" max="49" width="13.42578125" bestFit="1" customWidth="1"/>
    <col min="50" max="50" width="18.42578125" bestFit="1" customWidth="1"/>
    <col min="51" max="51" width="15.28515625" bestFit="1" customWidth="1"/>
    <col min="52" max="52" width="17.28515625" bestFit="1" customWidth="1"/>
    <col min="53" max="53" width="14.5703125" bestFit="1" customWidth="1"/>
    <col min="54" max="54" width="18" bestFit="1" customWidth="1"/>
    <col min="55" max="55" width="16.7109375" bestFit="1" customWidth="1"/>
    <col min="56" max="56" width="21.5703125" bestFit="1" customWidth="1"/>
    <col min="57" max="57" width="15.5703125" bestFit="1" customWidth="1"/>
    <col min="58" max="58" width="14" bestFit="1" customWidth="1"/>
    <col min="59" max="59" width="13.85546875" bestFit="1" customWidth="1"/>
    <col min="60" max="60" width="11.85546875" bestFit="1" customWidth="1"/>
    <col min="61" max="61" width="15" bestFit="1" customWidth="1"/>
    <col min="62" max="69" width="13.5703125" bestFit="1" customWidth="1"/>
    <col min="70" max="73" width="12.140625" bestFit="1" customWidth="1"/>
    <col min="74" max="74" width="10" bestFit="1" customWidth="1"/>
    <col min="75" max="75" width="15.5703125" bestFit="1" customWidth="1"/>
    <col min="76" max="76" width="21.5703125" bestFit="1" customWidth="1"/>
    <col min="77" max="77" width="14.85546875" bestFit="1" customWidth="1"/>
    <col min="78" max="78" width="15.42578125" bestFit="1" customWidth="1"/>
    <col min="79" max="79" width="20.85546875" bestFit="1" customWidth="1"/>
    <col min="80" max="80" width="21.5703125" bestFit="1" customWidth="1"/>
    <col min="81" max="81" width="18.7109375" bestFit="1" customWidth="1"/>
    <col min="82" max="82" width="11.7109375" bestFit="1" customWidth="1"/>
  </cols>
  <sheetData>
    <row r="1" spans="1:82" ht="15.75" thickBot="1" x14ac:dyDescent="0.3">
      <c r="A1" s="129" t="s">
        <v>0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1"/>
      <c r="AE1" s="136" t="s">
        <v>1</v>
      </c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7"/>
      <c r="BU1" s="137"/>
      <c r="BV1" s="137"/>
      <c r="BW1" s="137"/>
      <c r="BX1" s="137"/>
      <c r="BY1" s="137"/>
      <c r="BZ1" s="137"/>
      <c r="CA1" s="137"/>
      <c r="CB1" s="137"/>
      <c r="CC1" s="137"/>
      <c r="CD1" s="138"/>
    </row>
    <row r="2" spans="1:82" s="1" customFormat="1" ht="24" x14ac:dyDescent="0.25">
      <c r="A2" s="117" t="s">
        <v>2</v>
      </c>
      <c r="B2" s="117" t="s">
        <v>48</v>
      </c>
      <c r="C2" s="117" t="s">
        <v>49</v>
      </c>
      <c r="D2" s="117" t="s">
        <v>50</v>
      </c>
      <c r="E2" s="117" t="s">
        <v>4</v>
      </c>
      <c r="F2" s="117" t="s">
        <v>51</v>
      </c>
      <c r="G2" s="117" t="s">
        <v>278</v>
      </c>
      <c r="H2" s="117" t="s">
        <v>279</v>
      </c>
      <c r="I2" s="117" t="s">
        <v>280</v>
      </c>
      <c r="J2" s="117" t="s">
        <v>52</v>
      </c>
      <c r="K2" s="117" t="s">
        <v>53</v>
      </c>
      <c r="L2" s="117" t="s">
        <v>54</v>
      </c>
      <c r="M2" s="117" t="s">
        <v>55</v>
      </c>
      <c r="N2" s="117" t="s">
        <v>56</v>
      </c>
      <c r="O2" s="117" t="s">
        <v>57</v>
      </c>
      <c r="P2" s="117" t="s">
        <v>58</v>
      </c>
      <c r="Q2" s="117" t="s">
        <v>59</v>
      </c>
      <c r="R2" s="117" t="s">
        <v>60</v>
      </c>
      <c r="S2" s="117" t="s">
        <v>61</v>
      </c>
      <c r="T2" s="117" t="s">
        <v>62</v>
      </c>
      <c r="U2" s="117" t="s">
        <v>63</v>
      </c>
      <c r="V2" s="117" t="s">
        <v>64</v>
      </c>
      <c r="W2" s="117" t="s">
        <v>65</v>
      </c>
      <c r="X2" s="117" t="s">
        <v>66</v>
      </c>
      <c r="Y2" s="117" t="s">
        <v>8</v>
      </c>
      <c r="Z2" s="117" t="s">
        <v>67</v>
      </c>
      <c r="AA2" s="117" t="s">
        <v>68</v>
      </c>
      <c r="AB2" s="117" t="s">
        <v>69</v>
      </c>
      <c r="AC2" s="117" t="s">
        <v>70</v>
      </c>
      <c r="AD2" s="117" t="s">
        <v>71</v>
      </c>
      <c r="AE2" s="111" t="s">
        <v>243</v>
      </c>
      <c r="AF2" s="111" t="s">
        <v>244</v>
      </c>
      <c r="AG2" s="111" t="s">
        <v>245</v>
      </c>
      <c r="AH2" s="111" t="s">
        <v>246</v>
      </c>
      <c r="AI2" s="111" t="s">
        <v>247</v>
      </c>
      <c r="AJ2" s="111" t="s">
        <v>248</v>
      </c>
      <c r="AK2" s="111" t="s">
        <v>249</v>
      </c>
      <c r="AL2" s="111" t="s">
        <v>250</v>
      </c>
      <c r="AM2" s="112" t="s">
        <v>218</v>
      </c>
      <c r="AN2" s="111" t="s">
        <v>219</v>
      </c>
      <c r="AO2" s="111" t="s">
        <v>251</v>
      </c>
      <c r="AP2" s="111" t="s">
        <v>220</v>
      </c>
      <c r="AQ2" s="111" t="s">
        <v>252</v>
      </c>
      <c r="AR2" s="111" t="s">
        <v>221</v>
      </c>
      <c r="AS2" s="111" t="s">
        <v>253</v>
      </c>
      <c r="AT2" s="111" t="s">
        <v>254</v>
      </c>
      <c r="AU2" s="111" t="s">
        <v>255</v>
      </c>
      <c r="AV2" s="111" t="s">
        <v>256</v>
      </c>
      <c r="AW2" s="111" t="s">
        <v>257</v>
      </c>
      <c r="AX2" s="111" t="s">
        <v>222</v>
      </c>
      <c r="AY2" s="111" t="s">
        <v>258</v>
      </c>
      <c r="AZ2" s="113" t="s">
        <v>259</v>
      </c>
      <c r="BA2" s="111" t="s">
        <v>260</v>
      </c>
      <c r="BB2" s="111" t="s">
        <v>261</v>
      </c>
      <c r="BC2" s="111" t="s">
        <v>262</v>
      </c>
      <c r="BD2" s="111" t="s">
        <v>263</v>
      </c>
      <c r="BE2" s="111" t="s">
        <v>223</v>
      </c>
      <c r="BF2" s="113" t="s">
        <v>264</v>
      </c>
      <c r="BG2" s="111" t="s">
        <v>224</v>
      </c>
      <c r="BH2" s="111" t="s">
        <v>225</v>
      </c>
      <c r="BI2" s="111" t="s">
        <v>226</v>
      </c>
      <c r="BJ2" s="114" t="s">
        <v>265</v>
      </c>
      <c r="BK2" s="114" t="s">
        <v>266</v>
      </c>
      <c r="BL2" s="114" t="s">
        <v>267</v>
      </c>
      <c r="BM2" s="114" t="s">
        <v>268</v>
      </c>
      <c r="BN2" s="114" t="s">
        <v>269</v>
      </c>
      <c r="BO2" s="114" t="s">
        <v>270</v>
      </c>
      <c r="BP2" s="114" t="s">
        <v>271</v>
      </c>
      <c r="BQ2" s="114" t="s">
        <v>272</v>
      </c>
      <c r="BR2" s="111" t="s">
        <v>273</v>
      </c>
      <c r="BS2" s="111" t="s">
        <v>274</v>
      </c>
      <c r="BT2" s="111" t="s">
        <v>275</v>
      </c>
      <c r="BU2" s="111" t="s">
        <v>276</v>
      </c>
      <c r="BV2" s="111" t="s">
        <v>227</v>
      </c>
      <c r="BW2" s="111" t="s">
        <v>228</v>
      </c>
      <c r="BX2" s="111" t="s">
        <v>229</v>
      </c>
      <c r="BY2" s="111" t="s">
        <v>230</v>
      </c>
      <c r="BZ2" s="111" t="s">
        <v>231</v>
      </c>
      <c r="CA2" s="111" t="s">
        <v>232</v>
      </c>
      <c r="CB2" s="115" t="s">
        <v>233</v>
      </c>
      <c r="CC2" s="115" t="s">
        <v>234</v>
      </c>
      <c r="CD2" s="116" t="s">
        <v>277</v>
      </c>
    </row>
    <row r="3" spans="1:82" x14ac:dyDescent="0.25">
      <c r="A3" t="str">
        <f>IF(UPPER(LEFT(tabSuperdettagli[[#This Row],[WBE Status]],1))="S","sì","no")</f>
        <v>no</v>
      </c>
      <c r="B3">
        <v>2021</v>
      </c>
      <c r="C3">
        <f>VLOOKUP(tabSuperdettagli[[#This Row],[WBS_]],'pivot di appoggio'!A:B,2,FALSE)</f>
        <v>2020</v>
      </c>
      <c r="D3" t="str">
        <f>LEFT(tabSuperdettagli[[#This Row],[Network]],10)</f>
        <v>AAAA.0001</v>
      </c>
      <c r="E3" t="str">
        <f>LEFT(tabSuperdettagli[[#This Row],[Network]],1)</f>
        <v>A</v>
      </c>
      <c r="F3" t="str">
        <f>LOWER(TRIM(tabSuperdettagli[[#This Row],[Proj. Type ]]))</f>
        <v/>
      </c>
      <c r="G3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C A R E</v>
      </c>
      <c r="I3" t="s">
        <v>238</v>
      </c>
      <c r="J3" t="str">
        <f>tabSuperdettagli[[#This Row],[07.2025]]</f>
        <v>10</v>
      </c>
      <c r="K3">
        <f>tabSuperdettagli[[#This Row],[Resp del Prodotto]]</f>
        <v>0</v>
      </c>
      <c r="L3">
        <f>tabSuperdettagli[[#This Row],[Area di bdg]]</f>
        <v>1</v>
      </c>
      <c r="M3">
        <f>tabSuperdettagli[[#This Row],[Macchina]]</f>
        <v>0</v>
      </c>
      <c r="N3">
        <f>tabSuperdettagli[[#This Row],[Sottotipo]]</f>
        <v>0</v>
      </c>
      <c r="O3">
        <f>tabSuperdettagli[[#This Row],[Cluster]]</f>
        <v>0</v>
      </c>
      <c r="P3">
        <f>tabSuperdettagli[[#This Row],[Quadrante]]</f>
        <v>0</v>
      </c>
      <c r="Q3">
        <f>tabSuperdettagli[[#This Row],[01.2025]]</f>
        <v>0</v>
      </c>
      <c r="R3">
        <f>tabSuperdettagli[[#This Row],[02.2025]]</f>
        <v>0</v>
      </c>
      <c r="S3">
        <f>tabSuperdettagli[[#This Row],[03.2025]]</f>
        <v>0</v>
      </c>
      <c r="T3">
        <f>tabSuperdettagli[[#This Row],[04.2025]]</f>
        <v>0</v>
      </c>
      <c r="U3">
        <f>tabSuperdettagli[[#This Row],[05.2025]]</f>
        <v>0</v>
      </c>
      <c r="V3">
        <f>tabSuperdettagli[[#This Row],[06.2025]]</f>
        <v>1</v>
      </c>
      <c r="W3" t="str">
        <f>tabSuperdettagli[[#This Row],[PROJ CODE]]</f>
        <v>CONV NGP PLATFORM ENG</v>
      </c>
      <c r="X3" t="str">
        <f>tabSuperdettagli[[#This Row],[Resp 2°liv]]&amp;""</f>
        <v>Gamberini G.</v>
      </c>
      <c r="Y3" t="e">
        <f>INDEX(tab_resp1liv[EngUnit area cluster 1_],MATCH(SUBSTITUTE(tabSuperdettagli[[#This Row],[Resp 2°liv]]," ",""),tab_resp1liv[SearchKey],0))</f>
        <v>#N/A</v>
      </c>
      <c r="Z3" t="str">
        <f>tabSuperdettagli[[#This Row],[WBS Element]]&amp;""</f>
        <v>WBS ddd</v>
      </c>
      <c r="AA3" t="str">
        <f>tabSuperdettagli[[#This Row],[09.2025]]</f>
        <v>319</v>
      </c>
      <c r="AB3" t="s">
        <v>74</v>
      </c>
      <c r="AC3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3" t="str">
        <f>LEFT(tabSuperdettagli[[#This Row],[Network]],18)</f>
        <v>AAAA.0001</v>
      </c>
      <c r="AE3" t="s">
        <v>187</v>
      </c>
      <c r="AF3" t="s">
        <v>188</v>
      </c>
      <c r="AG3" t="s">
        <v>235</v>
      </c>
      <c r="AH3">
        <v>1</v>
      </c>
      <c r="AI3" t="s">
        <v>305</v>
      </c>
      <c r="AJ3" t="s">
        <v>242</v>
      </c>
      <c r="AK3">
        <v>2023</v>
      </c>
      <c r="AL3" t="s">
        <v>190</v>
      </c>
      <c r="AM3" t="s">
        <v>191</v>
      </c>
      <c r="AN3" t="s">
        <v>192</v>
      </c>
      <c r="AO3" t="s">
        <v>193</v>
      </c>
      <c r="AP3" t="s">
        <v>192</v>
      </c>
      <c r="AQ3" t="s">
        <v>194</v>
      </c>
      <c r="AR3" t="s">
        <v>75</v>
      </c>
      <c r="AS3" t="s">
        <v>76</v>
      </c>
      <c r="AT3" t="s">
        <v>195</v>
      </c>
      <c r="AU3" t="s">
        <v>35</v>
      </c>
      <c r="AV3" t="s">
        <v>77</v>
      </c>
      <c r="AW3" t="s">
        <v>177</v>
      </c>
      <c r="AX3" t="s">
        <v>189</v>
      </c>
      <c r="AY3" t="s">
        <v>196</v>
      </c>
      <c r="AZ3" t="s">
        <v>197</v>
      </c>
      <c r="BA3" t="s">
        <v>198</v>
      </c>
      <c r="BB3" t="s">
        <v>199</v>
      </c>
      <c r="BC3">
        <v>0</v>
      </c>
      <c r="BD3">
        <v>0</v>
      </c>
      <c r="BE3">
        <v>1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1</v>
      </c>
      <c r="BP3" t="s">
        <v>45</v>
      </c>
      <c r="BQ3" t="s">
        <v>200</v>
      </c>
      <c r="BR3" t="s">
        <v>201</v>
      </c>
      <c r="BS3" t="s">
        <v>75</v>
      </c>
      <c r="BT3" t="s">
        <v>177</v>
      </c>
      <c r="BU3" t="s">
        <v>202</v>
      </c>
      <c r="BV3" t="s">
        <v>203</v>
      </c>
      <c r="BW3" t="s">
        <v>74</v>
      </c>
      <c r="BX3" t="s">
        <v>74</v>
      </c>
      <c r="BZ3" t="s">
        <v>79</v>
      </c>
      <c r="CB3" t="s">
        <v>204</v>
      </c>
    </row>
    <row r="4" spans="1:82" x14ac:dyDescent="0.25">
      <c r="A4" t="str">
        <f>IF(  UPPER(LEFT( tabSuperdettagli[[#This Row],[WBE Status]],1) ) = "S",  "sì",  "no"   )</f>
        <v>no</v>
      </c>
      <c r="B4">
        <v>2021</v>
      </c>
      <c r="C4">
        <f>VLOOKUP(tabSuperdettagli[[#This Row],[WBS_]],'pivot di appoggio'!A:B,2,FALSE)</f>
        <v>2020</v>
      </c>
      <c r="D4" t="str">
        <f>LEFT(tabSuperdettagli[[#This Row],[Network]], 10)</f>
        <v>AAAA.0001</v>
      </c>
      <c r="E4" t="str">
        <f>LEFT(tabSuperdettagli[[#This Row],[Network]], 1)</f>
        <v>A</v>
      </c>
      <c r="F4" t="str">
        <f>LOWER(TRIM( tabSuperdettagli[[#This Row],[Proj. Type ]] ))</f>
        <v/>
      </c>
      <c r="G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" t="e">
        <f>IF(  TRIM(#REF!)&gt; "", TRIM(#REF!), TRIM(tabSuperdettagli[[#This Row],[Resp DT]] ) )</f>
        <v>#REF!</v>
      </c>
      <c r="J4" t="str">
        <f>tabSuperdettagli[[#This Row],[07.2025]]</f>
        <v>10</v>
      </c>
      <c r="K4">
        <f>tabSuperdettagli[[#This Row],[Resp del Prodotto]]</f>
        <v>0</v>
      </c>
      <c r="L4">
        <f>tabSuperdettagli[[#This Row],[Area di bdg]]</f>
        <v>1</v>
      </c>
      <c r="W4" t="str">
        <f>tabSuperdettagli[[#This Row],[PROJ CODE]]</f>
        <v>CONV NGP PLATFORM ENG</v>
      </c>
      <c r="X4" t="str">
        <f>tabSuperdettagli[[#This Row],[Resp 2°liv]]&amp;""</f>
        <v>Gamberini G.</v>
      </c>
      <c r="Y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" t="str">
        <f>tabSuperdettagli[[#This Row],[WBS Element]]&amp;""</f>
        <v>WBS ddd</v>
      </c>
      <c r="AA4" t="str">
        <f>tabSuperdettagli[[#This Row],[09.2025]]</f>
        <v>319</v>
      </c>
      <c r="AC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" t="str">
        <f>LEFT(tabSuperdettagli[[#This Row],[Network]], 18 )</f>
        <v>AAAA.0001</v>
      </c>
      <c r="AE4" t="s">
        <v>187</v>
      </c>
      <c r="AF4" t="s">
        <v>188</v>
      </c>
      <c r="AG4" t="s">
        <v>235</v>
      </c>
      <c r="AH4">
        <v>2</v>
      </c>
      <c r="AI4" t="s">
        <v>305</v>
      </c>
      <c r="AJ4" t="s">
        <v>242</v>
      </c>
      <c r="AK4">
        <v>2023</v>
      </c>
      <c r="AL4" t="s">
        <v>190</v>
      </c>
      <c r="AM4" t="s">
        <v>191</v>
      </c>
      <c r="AN4" t="s">
        <v>192</v>
      </c>
      <c r="AO4" t="s">
        <v>193</v>
      </c>
      <c r="AP4" t="s">
        <v>192</v>
      </c>
      <c r="AQ4" t="s">
        <v>194</v>
      </c>
      <c r="AR4" t="s">
        <v>75</v>
      </c>
      <c r="AS4" t="s">
        <v>76</v>
      </c>
      <c r="AT4" t="s">
        <v>195</v>
      </c>
      <c r="AU4" t="s">
        <v>35</v>
      </c>
      <c r="AV4" t="s">
        <v>77</v>
      </c>
      <c r="AW4" t="s">
        <v>177</v>
      </c>
      <c r="AX4" t="s">
        <v>189</v>
      </c>
      <c r="AY4" t="s">
        <v>196</v>
      </c>
      <c r="AZ4" t="s">
        <v>197</v>
      </c>
      <c r="BA4" t="s">
        <v>198</v>
      </c>
      <c r="BB4" t="s">
        <v>199</v>
      </c>
      <c r="BC4">
        <v>0</v>
      </c>
      <c r="BD4">
        <v>0</v>
      </c>
      <c r="BE4">
        <v>1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1</v>
      </c>
      <c r="BP4" t="s">
        <v>45</v>
      </c>
      <c r="BQ4" t="s">
        <v>200</v>
      </c>
      <c r="BR4" t="s">
        <v>201</v>
      </c>
      <c r="BS4" t="s">
        <v>75</v>
      </c>
      <c r="BT4" t="s">
        <v>177</v>
      </c>
      <c r="BU4" t="s">
        <v>202</v>
      </c>
      <c r="BV4" t="s">
        <v>203</v>
      </c>
      <c r="BW4" t="s">
        <v>74</v>
      </c>
      <c r="BX4" t="s">
        <v>74</v>
      </c>
      <c r="BZ4" t="s">
        <v>79</v>
      </c>
      <c r="CB4" t="s">
        <v>204</v>
      </c>
    </row>
    <row r="5" spans="1:82" x14ac:dyDescent="0.25">
      <c r="A5" t="str">
        <f>IF(  UPPER(LEFT( tabSuperdettagli[[#This Row],[WBE Status]],1) ) = "S",  "sì",  "no"   )</f>
        <v>no</v>
      </c>
      <c r="B5">
        <v>2021</v>
      </c>
      <c r="C5">
        <f>VLOOKUP(tabSuperdettagli[[#This Row],[WBS_]],'pivot di appoggio'!A:B,2,FALSE)</f>
        <v>2020</v>
      </c>
      <c r="D5" t="str">
        <f>LEFT(tabSuperdettagli[[#This Row],[Network]], 10)</f>
        <v>AAAA.0001</v>
      </c>
      <c r="E5" t="str">
        <f>LEFT(tabSuperdettagli[[#This Row],[Network]], 1)</f>
        <v>A</v>
      </c>
      <c r="F5" t="str">
        <f>LOWER(TRIM( tabSuperdettagli[[#This Row],[Proj. Type ]] ))</f>
        <v/>
      </c>
      <c r="G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" t="e">
        <f>IF(  TRIM(#REF!)&gt; "", TRIM(#REF!), TRIM(tabSuperdettagli[[#This Row],[Resp DT]] ) )</f>
        <v>#REF!</v>
      </c>
      <c r="J5" t="str">
        <f>tabSuperdettagli[[#This Row],[07.2025]]</f>
        <v>10</v>
      </c>
      <c r="K5">
        <f>tabSuperdettagli[[#This Row],[Resp del Prodotto]]</f>
        <v>0</v>
      </c>
      <c r="L5">
        <f>tabSuperdettagli[[#This Row],[Area di bdg]]</f>
        <v>1</v>
      </c>
      <c r="W5" t="str">
        <f>tabSuperdettagli[[#This Row],[PROJ CODE]]</f>
        <v>CONV NGP PLATFORM ENG</v>
      </c>
      <c r="X5" t="str">
        <f>tabSuperdettagli[[#This Row],[Resp 2°liv]]&amp;""</f>
        <v>Gamberini G.</v>
      </c>
      <c r="Y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" t="str">
        <f>tabSuperdettagli[[#This Row],[WBS Element]]&amp;""</f>
        <v>WBS ddd</v>
      </c>
      <c r="AA5" t="str">
        <f>tabSuperdettagli[[#This Row],[09.2025]]</f>
        <v>319</v>
      </c>
      <c r="AC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" t="str">
        <f>LEFT(tabSuperdettagli[[#This Row],[Network]], 18 )</f>
        <v>AAAA.0001</v>
      </c>
      <c r="AE5" t="s">
        <v>187</v>
      </c>
      <c r="AF5" t="s">
        <v>188</v>
      </c>
      <c r="AG5" t="s">
        <v>235</v>
      </c>
      <c r="AH5">
        <v>3</v>
      </c>
      <c r="AI5" t="s">
        <v>305</v>
      </c>
      <c r="AJ5" t="s">
        <v>242</v>
      </c>
      <c r="AK5">
        <v>2023</v>
      </c>
      <c r="AL5" t="s">
        <v>190</v>
      </c>
      <c r="AM5" t="s">
        <v>191</v>
      </c>
      <c r="AN5" t="s">
        <v>192</v>
      </c>
      <c r="AO5" t="s">
        <v>193</v>
      </c>
      <c r="AP5" t="s">
        <v>192</v>
      </c>
      <c r="AQ5" t="s">
        <v>194</v>
      </c>
      <c r="AR5" t="s">
        <v>75</v>
      </c>
      <c r="AS5" t="s">
        <v>76</v>
      </c>
      <c r="AT5" t="s">
        <v>195</v>
      </c>
      <c r="AU5" t="s">
        <v>35</v>
      </c>
      <c r="AV5" t="s">
        <v>77</v>
      </c>
      <c r="AW5" t="s">
        <v>177</v>
      </c>
      <c r="AX5" t="s">
        <v>189</v>
      </c>
      <c r="AY5" t="s">
        <v>196</v>
      </c>
      <c r="AZ5" t="s">
        <v>197</v>
      </c>
      <c r="BA5" t="s">
        <v>198</v>
      </c>
      <c r="BB5" t="s">
        <v>199</v>
      </c>
      <c r="BC5">
        <v>0</v>
      </c>
      <c r="BD5">
        <v>0</v>
      </c>
      <c r="BE5">
        <v>1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1</v>
      </c>
      <c r="BP5" t="s">
        <v>45</v>
      </c>
      <c r="BQ5" t="s">
        <v>200</v>
      </c>
      <c r="BR5" t="s">
        <v>201</v>
      </c>
      <c r="BS5" t="s">
        <v>75</v>
      </c>
      <c r="BT5" t="s">
        <v>177</v>
      </c>
      <c r="BU5" t="s">
        <v>202</v>
      </c>
      <c r="BV5" t="s">
        <v>203</v>
      </c>
      <c r="BW5" t="s">
        <v>74</v>
      </c>
      <c r="BX5" t="s">
        <v>74</v>
      </c>
      <c r="BZ5" t="s">
        <v>79</v>
      </c>
      <c r="CB5" t="s">
        <v>204</v>
      </c>
    </row>
    <row r="6" spans="1:82" x14ac:dyDescent="0.25">
      <c r="A6" t="str">
        <f>IF(  UPPER(LEFT( tabSuperdettagli[[#This Row],[WBE Status]],1) ) = "S",  "sì",  "no"   )</f>
        <v>no</v>
      </c>
      <c r="B6">
        <v>2021</v>
      </c>
      <c r="C6">
        <f>VLOOKUP(tabSuperdettagli[[#This Row],[WBS_]],'pivot di appoggio'!A:B,2,FALSE)</f>
        <v>2020</v>
      </c>
      <c r="D6" t="str">
        <f>LEFT(tabSuperdettagli[[#This Row],[Network]], 10)</f>
        <v>AAAA.0001</v>
      </c>
      <c r="E6" t="str">
        <f>LEFT(tabSuperdettagli[[#This Row],[Network]], 1)</f>
        <v>A</v>
      </c>
      <c r="F6" t="str">
        <f>LOWER(TRIM( tabSuperdettagli[[#This Row],[Proj. Type ]] ))</f>
        <v/>
      </c>
      <c r="G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" t="e">
        <f>IF(  TRIM(#REF!)&gt; "", TRIM(#REF!), TRIM(tabSuperdettagli[[#This Row],[Resp DT]] ) )</f>
        <v>#REF!</v>
      </c>
      <c r="J6" t="str">
        <f>tabSuperdettagli[[#This Row],[07.2025]]</f>
        <v>10</v>
      </c>
      <c r="K6">
        <f>tabSuperdettagli[[#This Row],[Resp del Prodotto]]</f>
        <v>0</v>
      </c>
      <c r="L6">
        <f>tabSuperdettagli[[#This Row],[Area di bdg]]</f>
        <v>1</v>
      </c>
      <c r="W6" t="str">
        <f>tabSuperdettagli[[#This Row],[PROJ CODE]]</f>
        <v>CONV NGP PLATFORM ENG</v>
      </c>
      <c r="X6" t="str">
        <f>tabSuperdettagli[[#This Row],[Resp 2°liv]]&amp;""</f>
        <v>Gamberini G.</v>
      </c>
      <c r="Y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" t="str">
        <f>tabSuperdettagli[[#This Row],[WBS Element]]&amp;""</f>
        <v>WBS ddd</v>
      </c>
      <c r="AA6" t="str">
        <f>tabSuperdettagli[[#This Row],[09.2025]]</f>
        <v>319</v>
      </c>
      <c r="AC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" t="str">
        <f>LEFT(tabSuperdettagli[[#This Row],[Network]], 18 )</f>
        <v>AAAA.0001</v>
      </c>
      <c r="AE6" t="s">
        <v>187</v>
      </c>
      <c r="AF6" t="s">
        <v>188</v>
      </c>
      <c r="AG6" t="s">
        <v>235</v>
      </c>
      <c r="AH6">
        <v>4</v>
      </c>
      <c r="AI6" t="s">
        <v>305</v>
      </c>
      <c r="AJ6" t="s">
        <v>242</v>
      </c>
      <c r="AK6">
        <v>2023</v>
      </c>
      <c r="AL6" t="s">
        <v>190</v>
      </c>
      <c r="AM6" t="s">
        <v>191</v>
      </c>
      <c r="AN6" t="s">
        <v>192</v>
      </c>
      <c r="AO6" t="s">
        <v>193</v>
      </c>
      <c r="AP6" t="s">
        <v>192</v>
      </c>
      <c r="AQ6" t="s">
        <v>194</v>
      </c>
      <c r="AR6" t="s">
        <v>75</v>
      </c>
      <c r="AS6" t="s">
        <v>76</v>
      </c>
      <c r="AT6" t="s">
        <v>195</v>
      </c>
      <c r="AU6" t="s">
        <v>35</v>
      </c>
      <c r="AV6" t="s">
        <v>77</v>
      </c>
      <c r="AW6" t="s">
        <v>177</v>
      </c>
      <c r="AX6" t="s">
        <v>189</v>
      </c>
      <c r="AY6" t="s">
        <v>196</v>
      </c>
      <c r="AZ6" t="s">
        <v>197</v>
      </c>
      <c r="BA6" t="s">
        <v>198</v>
      </c>
      <c r="BB6" t="s">
        <v>199</v>
      </c>
      <c r="BC6">
        <v>0</v>
      </c>
      <c r="BD6">
        <v>0</v>
      </c>
      <c r="BE6">
        <v>1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1</v>
      </c>
      <c r="BP6" t="s">
        <v>45</v>
      </c>
      <c r="BQ6" t="s">
        <v>200</v>
      </c>
      <c r="BR6" t="s">
        <v>201</v>
      </c>
      <c r="BS6" t="s">
        <v>75</v>
      </c>
      <c r="BT6" t="s">
        <v>177</v>
      </c>
      <c r="BU6" t="s">
        <v>202</v>
      </c>
      <c r="BV6" t="s">
        <v>203</v>
      </c>
      <c r="BW6" t="s">
        <v>74</v>
      </c>
      <c r="BX6" t="s">
        <v>74</v>
      </c>
      <c r="BZ6" t="s">
        <v>79</v>
      </c>
      <c r="CB6" t="s">
        <v>204</v>
      </c>
    </row>
    <row r="7" spans="1:82" x14ac:dyDescent="0.25">
      <c r="A7" t="str">
        <f>IF(  UPPER(LEFT( tabSuperdettagli[[#This Row],[WBE Status]],1) ) = "S",  "sì",  "no"   )</f>
        <v>no</v>
      </c>
      <c r="B7">
        <v>2021</v>
      </c>
      <c r="C7">
        <f>VLOOKUP(tabSuperdettagli[[#This Row],[WBS_]],'pivot di appoggio'!A:B,2,FALSE)</f>
        <v>2020</v>
      </c>
      <c r="D7" t="str">
        <f>LEFT(tabSuperdettagli[[#This Row],[Network]], 10)</f>
        <v>AAAA.0001</v>
      </c>
      <c r="E7" t="str">
        <f>LEFT(tabSuperdettagli[[#This Row],[Network]], 1)</f>
        <v>A</v>
      </c>
      <c r="F7" t="str">
        <f>LOWER(TRIM( tabSuperdettagli[[#This Row],[Proj. Type ]] ))</f>
        <v/>
      </c>
      <c r="G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" t="e">
        <f>IF(  TRIM(#REF!)&gt; "", TRIM(#REF!), TRIM(tabSuperdettagli[[#This Row],[Resp DT]] ) )</f>
        <v>#REF!</v>
      </c>
      <c r="J7" t="str">
        <f>tabSuperdettagli[[#This Row],[07.2025]]</f>
        <v>10</v>
      </c>
      <c r="K7">
        <f>tabSuperdettagli[[#This Row],[Resp del Prodotto]]</f>
        <v>0</v>
      </c>
      <c r="L7">
        <f>tabSuperdettagli[[#This Row],[Area di bdg]]</f>
        <v>1</v>
      </c>
      <c r="W7" t="str">
        <f>tabSuperdettagli[[#This Row],[PROJ CODE]]</f>
        <v>CONV NGP PLATFORM ENG</v>
      </c>
      <c r="X7" t="str">
        <f>tabSuperdettagli[[#This Row],[Resp 2°liv]]&amp;""</f>
        <v>Gamberini G.</v>
      </c>
      <c r="Y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" t="str">
        <f>tabSuperdettagli[[#This Row],[WBS Element]]&amp;""</f>
        <v>WBS ddd</v>
      </c>
      <c r="AA7" t="str">
        <f>tabSuperdettagli[[#This Row],[09.2025]]</f>
        <v>319</v>
      </c>
      <c r="AC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" t="str">
        <f>LEFT(tabSuperdettagli[[#This Row],[Network]], 18 )</f>
        <v>AAAA.0001</v>
      </c>
      <c r="AE7" t="s">
        <v>187</v>
      </c>
      <c r="AF7" t="s">
        <v>188</v>
      </c>
      <c r="AG7" t="s">
        <v>235</v>
      </c>
      <c r="AH7">
        <v>5</v>
      </c>
      <c r="AI7" t="s">
        <v>305</v>
      </c>
      <c r="AJ7" t="s">
        <v>242</v>
      </c>
      <c r="AK7">
        <v>2023</v>
      </c>
      <c r="AL7" t="s">
        <v>190</v>
      </c>
      <c r="AM7" t="s">
        <v>191</v>
      </c>
      <c r="AN7" t="s">
        <v>192</v>
      </c>
      <c r="AO7" t="s">
        <v>193</v>
      </c>
      <c r="AP7" t="s">
        <v>192</v>
      </c>
      <c r="AQ7" t="s">
        <v>194</v>
      </c>
      <c r="AR7" t="s">
        <v>75</v>
      </c>
      <c r="AS7" t="s">
        <v>76</v>
      </c>
      <c r="AT7" t="s">
        <v>195</v>
      </c>
      <c r="AU7" t="s">
        <v>35</v>
      </c>
      <c r="AV7" t="s">
        <v>77</v>
      </c>
      <c r="AW7" t="s">
        <v>177</v>
      </c>
      <c r="AX7" t="s">
        <v>189</v>
      </c>
      <c r="AY7" t="s">
        <v>196</v>
      </c>
      <c r="AZ7" t="s">
        <v>197</v>
      </c>
      <c r="BA7" t="s">
        <v>198</v>
      </c>
      <c r="BB7" t="s">
        <v>199</v>
      </c>
      <c r="BC7">
        <v>0</v>
      </c>
      <c r="BD7">
        <v>0</v>
      </c>
      <c r="BE7">
        <v>1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1</v>
      </c>
      <c r="BP7" t="s">
        <v>45</v>
      </c>
      <c r="BQ7" t="s">
        <v>200</v>
      </c>
      <c r="BR7" t="s">
        <v>201</v>
      </c>
      <c r="BS7" t="s">
        <v>75</v>
      </c>
      <c r="BT7" t="s">
        <v>177</v>
      </c>
      <c r="BU7" t="s">
        <v>202</v>
      </c>
      <c r="BV7" t="s">
        <v>203</v>
      </c>
      <c r="BW7" t="s">
        <v>74</v>
      </c>
      <c r="BX7" t="s">
        <v>74</v>
      </c>
      <c r="BZ7" t="s">
        <v>79</v>
      </c>
      <c r="CB7" t="s">
        <v>204</v>
      </c>
    </row>
    <row r="8" spans="1:82" x14ac:dyDescent="0.25">
      <c r="A8" t="str">
        <f>IF(  UPPER(LEFT( tabSuperdettagli[[#This Row],[WBE Status]],1) ) = "S",  "sì",  "no"   )</f>
        <v>no</v>
      </c>
      <c r="B8">
        <v>2021</v>
      </c>
      <c r="C8">
        <f>VLOOKUP(tabSuperdettagli[[#This Row],[WBS_]],'pivot di appoggio'!A:B,2,FALSE)</f>
        <v>2020</v>
      </c>
      <c r="D8" t="str">
        <f>LEFT(tabSuperdettagli[[#This Row],[Network]], 10)</f>
        <v>AAAA.0001</v>
      </c>
      <c r="E8" t="str">
        <f>LEFT(tabSuperdettagli[[#This Row],[Network]], 1)</f>
        <v>A</v>
      </c>
      <c r="F8" t="str">
        <f>LOWER(TRIM( tabSuperdettagli[[#This Row],[Proj. Type ]] ))</f>
        <v/>
      </c>
      <c r="G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" t="e">
        <f>IF(  TRIM(#REF!)&gt; "", TRIM(#REF!), TRIM(tabSuperdettagli[[#This Row],[Resp DT]] ) )</f>
        <v>#REF!</v>
      </c>
      <c r="J8" t="str">
        <f>tabSuperdettagli[[#This Row],[07.2025]]</f>
        <v>10</v>
      </c>
      <c r="K8">
        <f>tabSuperdettagli[[#This Row],[Resp del Prodotto]]</f>
        <v>0</v>
      </c>
      <c r="L8">
        <f>tabSuperdettagli[[#This Row],[Area di bdg]]</f>
        <v>1</v>
      </c>
      <c r="W8" t="str">
        <f>tabSuperdettagli[[#This Row],[PROJ CODE]]</f>
        <v>CONV NGP PLATFORM ENG</v>
      </c>
      <c r="X8" t="str">
        <f>tabSuperdettagli[[#This Row],[Resp 2°liv]]&amp;""</f>
        <v>Gamberini G.</v>
      </c>
      <c r="Y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" t="str">
        <f>tabSuperdettagli[[#This Row],[WBS Element]]&amp;""</f>
        <v>WBS ddd</v>
      </c>
      <c r="AA8" t="str">
        <f>tabSuperdettagli[[#This Row],[09.2025]]</f>
        <v>319</v>
      </c>
      <c r="AC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" t="str">
        <f>LEFT(tabSuperdettagli[[#This Row],[Network]], 18 )</f>
        <v>AAAA.0001</v>
      </c>
      <c r="AE8" t="s">
        <v>187</v>
      </c>
      <c r="AF8" t="s">
        <v>188</v>
      </c>
      <c r="AG8" t="s">
        <v>235</v>
      </c>
      <c r="AH8">
        <v>6</v>
      </c>
      <c r="AI8" t="s">
        <v>305</v>
      </c>
      <c r="AJ8" t="s">
        <v>242</v>
      </c>
      <c r="AK8">
        <v>2023</v>
      </c>
      <c r="AL8" t="s">
        <v>190</v>
      </c>
      <c r="AM8" t="s">
        <v>191</v>
      </c>
      <c r="AN8" t="s">
        <v>192</v>
      </c>
      <c r="AO8" t="s">
        <v>193</v>
      </c>
      <c r="AP8" t="s">
        <v>192</v>
      </c>
      <c r="AQ8" t="s">
        <v>194</v>
      </c>
      <c r="AR8" t="s">
        <v>75</v>
      </c>
      <c r="AS8" t="s">
        <v>76</v>
      </c>
      <c r="AT8" t="s">
        <v>195</v>
      </c>
      <c r="AU8" t="s">
        <v>35</v>
      </c>
      <c r="AV8" t="s">
        <v>77</v>
      </c>
      <c r="AW8" t="s">
        <v>177</v>
      </c>
      <c r="AX8" t="s">
        <v>189</v>
      </c>
      <c r="AY8" t="s">
        <v>196</v>
      </c>
      <c r="AZ8" t="s">
        <v>197</v>
      </c>
      <c r="BA8" t="s">
        <v>198</v>
      </c>
      <c r="BB8" t="s">
        <v>199</v>
      </c>
      <c r="BC8">
        <v>0</v>
      </c>
      <c r="BD8">
        <v>0</v>
      </c>
      <c r="BE8">
        <v>1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1</v>
      </c>
      <c r="BP8" t="s">
        <v>45</v>
      </c>
      <c r="BQ8" t="s">
        <v>200</v>
      </c>
      <c r="BR8" t="s">
        <v>201</v>
      </c>
      <c r="BS8" t="s">
        <v>75</v>
      </c>
      <c r="BT8" t="s">
        <v>177</v>
      </c>
      <c r="BU8" t="s">
        <v>202</v>
      </c>
      <c r="BV8" t="s">
        <v>203</v>
      </c>
      <c r="BW8" t="s">
        <v>74</v>
      </c>
      <c r="BX8" t="s">
        <v>74</v>
      </c>
      <c r="BZ8" t="s">
        <v>79</v>
      </c>
      <c r="CB8" t="s">
        <v>204</v>
      </c>
    </row>
    <row r="9" spans="1:82" x14ac:dyDescent="0.25">
      <c r="A9" t="str">
        <f>IF(  UPPER(LEFT( tabSuperdettagli[[#This Row],[WBE Status]],1) ) = "S",  "sì",  "no"   )</f>
        <v>no</v>
      </c>
      <c r="B9">
        <v>2021</v>
      </c>
      <c r="C9">
        <f>VLOOKUP(tabSuperdettagli[[#This Row],[WBS_]],'pivot di appoggio'!A:B,2,FALSE)</f>
        <v>2020</v>
      </c>
      <c r="D9" t="str">
        <f>LEFT(tabSuperdettagli[[#This Row],[Network]], 10)</f>
        <v>AAAA.0001</v>
      </c>
      <c r="E9" t="str">
        <f>LEFT(tabSuperdettagli[[#This Row],[Network]], 1)</f>
        <v>A</v>
      </c>
      <c r="F9" t="str">
        <f>LOWER(TRIM( tabSuperdettagli[[#This Row],[Proj. Type ]] ))</f>
        <v/>
      </c>
      <c r="G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" t="e">
        <f>IF(  TRIM(#REF!)&gt; "", TRIM(#REF!), TRIM(tabSuperdettagli[[#This Row],[Resp DT]] ) )</f>
        <v>#REF!</v>
      </c>
      <c r="J9" t="str">
        <f>tabSuperdettagli[[#This Row],[07.2025]]</f>
        <v>10</v>
      </c>
      <c r="K9">
        <f>tabSuperdettagli[[#This Row],[Resp del Prodotto]]</f>
        <v>0</v>
      </c>
      <c r="L9">
        <f>tabSuperdettagli[[#This Row],[Area di bdg]]</f>
        <v>1</v>
      </c>
      <c r="W9" t="str">
        <f>tabSuperdettagli[[#This Row],[PROJ CODE]]</f>
        <v>CONV NGP PLATFORM ENG</v>
      </c>
      <c r="X9" t="str">
        <f>tabSuperdettagli[[#This Row],[Resp 2°liv]]&amp;""</f>
        <v>Gamberini G.</v>
      </c>
      <c r="Y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" t="str">
        <f>tabSuperdettagli[[#This Row],[WBS Element]]&amp;""</f>
        <v>WBS ddd</v>
      </c>
      <c r="AA9" t="str">
        <f>tabSuperdettagli[[#This Row],[09.2025]]</f>
        <v>319</v>
      </c>
      <c r="AC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" t="str">
        <f>LEFT(tabSuperdettagli[[#This Row],[Network]], 18 )</f>
        <v>AAAA.0001</v>
      </c>
      <c r="AE9" t="s">
        <v>187</v>
      </c>
      <c r="AF9" t="s">
        <v>188</v>
      </c>
      <c r="AG9" t="s">
        <v>235</v>
      </c>
      <c r="AH9">
        <v>7</v>
      </c>
      <c r="AI9" t="s">
        <v>305</v>
      </c>
      <c r="AJ9" t="s">
        <v>242</v>
      </c>
      <c r="AK9">
        <v>2023</v>
      </c>
      <c r="AL9" t="s">
        <v>190</v>
      </c>
      <c r="AM9" t="s">
        <v>191</v>
      </c>
      <c r="AN9" t="s">
        <v>192</v>
      </c>
      <c r="AO9" t="s">
        <v>193</v>
      </c>
      <c r="AP9" t="s">
        <v>192</v>
      </c>
      <c r="AQ9" t="s">
        <v>194</v>
      </c>
      <c r="AR9" t="s">
        <v>75</v>
      </c>
      <c r="AS9" t="s">
        <v>76</v>
      </c>
      <c r="AT9" t="s">
        <v>195</v>
      </c>
      <c r="AU9" t="s">
        <v>35</v>
      </c>
      <c r="AV9" t="s">
        <v>77</v>
      </c>
      <c r="AW9" t="s">
        <v>177</v>
      </c>
      <c r="AX9" t="s">
        <v>189</v>
      </c>
      <c r="AY9" t="s">
        <v>196</v>
      </c>
      <c r="AZ9" t="s">
        <v>197</v>
      </c>
      <c r="BA9" t="s">
        <v>198</v>
      </c>
      <c r="BB9" t="s">
        <v>199</v>
      </c>
      <c r="BC9">
        <v>0</v>
      </c>
      <c r="BD9">
        <v>0</v>
      </c>
      <c r="BE9">
        <v>1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1</v>
      </c>
      <c r="BP9" t="s">
        <v>45</v>
      </c>
      <c r="BQ9" t="s">
        <v>200</v>
      </c>
      <c r="BR9" t="s">
        <v>201</v>
      </c>
      <c r="BS9" t="s">
        <v>75</v>
      </c>
      <c r="BT9" t="s">
        <v>177</v>
      </c>
      <c r="BU9" t="s">
        <v>202</v>
      </c>
      <c r="BV9" t="s">
        <v>203</v>
      </c>
      <c r="BW9" t="s">
        <v>74</v>
      </c>
      <c r="BX9" t="s">
        <v>74</v>
      </c>
      <c r="BZ9" t="s">
        <v>79</v>
      </c>
      <c r="CB9" t="s">
        <v>204</v>
      </c>
    </row>
    <row r="10" spans="1:82" x14ac:dyDescent="0.25">
      <c r="A10" t="str">
        <f>IF(  UPPER(LEFT( tabSuperdettagli[[#This Row],[WBE Status]],1) ) = "S",  "sì",  "no"   )</f>
        <v>no</v>
      </c>
      <c r="B10">
        <v>2021</v>
      </c>
      <c r="C10">
        <f>VLOOKUP(tabSuperdettagli[[#This Row],[WBS_]],'pivot di appoggio'!A:B,2,FALSE)</f>
        <v>2020</v>
      </c>
      <c r="D10" t="str">
        <f>LEFT(tabSuperdettagli[[#This Row],[Network]], 10)</f>
        <v>AAAA.0001</v>
      </c>
      <c r="E10" t="str">
        <f>LEFT(tabSuperdettagli[[#This Row],[Network]], 1)</f>
        <v>A</v>
      </c>
      <c r="F10" t="str">
        <f>LOWER(TRIM( tabSuperdettagli[[#This Row],[Proj. Type ]] ))</f>
        <v/>
      </c>
      <c r="G1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0" t="e">
        <f>IF(  TRIM(#REF!)&gt; "", TRIM(#REF!), TRIM(tabSuperdettagli[[#This Row],[Resp DT]] ) )</f>
        <v>#REF!</v>
      </c>
      <c r="J10" t="str">
        <f>tabSuperdettagli[[#This Row],[07.2025]]</f>
        <v>10</v>
      </c>
      <c r="K10">
        <f>tabSuperdettagli[[#This Row],[Resp del Prodotto]]</f>
        <v>0</v>
      </c>
      <c r="L10">
        <f>tabSuperdettagli[[#This Row],[Area di bdg]]</f>
        <v>1</v>
      </c>
      <c r="W10" t="str">
        <f>tabSuperdettagli[[#This Row],[PROJ CODE]]</f>
        <v>CONV NGP PLATFORM ENG</v>
      </c>
      <c r="X10" t="str">
        <f>tabSuperdettagli[[#This Row],[Resp 2°liv]]&amp;""</f>
        <v>Gamberini G.</v>
      </c>
      <c r="Y1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0" t="str">
        <f>tabSuperdettagli[[#This Row],[WBS Element]]&amp;""</f>
        <v>WBS ddd</v>
      </c>
      <c r="AA10" t="str">
        <f>tabSuperdettagli[[#This Row],[09.2025]]</f>
        <v>319</v>
      </c>
      <c r="AC1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0" t="str">
        <f>LEFT(tabSuperdettagli[[#This Row],[Network]], 18 )</f>
        <v>AAAA.0001</v>
      </c>
      <c r="AE10" t="s">
        <v>187</v>
      </c>
      <c r="AF10" t="s">
        <v>188</v>
      </c>
      <c r="AG10" t="s">
        <v>235</v>
      </c>
      <c r="AH10">
        <v>8</v>
      </c>
      <c r="AI10" t="s">
        <v>305</v>
      </c>
      <c r="AJ10" t="s">
        <v>242</v>
      </c>
      <c r="AK10">
        <v>2023</v>
      </c>
      <c r="AL10" t="s">
        <v>190</v>
      </c>
      <c r="AM10" t="s">
        <v>191</v>
      </c>
      <c r="AN10" t="s">
        <v>192</v>
      </c>
      <c r="AO10" t="s">
        <v>193</v>
      </c>
      <c r="AP10" t="s">
        <v>192</v>
      </c>
      <c r="AQ10" t="s">
        <v>194</v>
      </c>
      <c r="AR10" t="s">
        <v>75</v>
      </c>
      <c r="AS10" t="s">
        <v>76</v>
      </c>
      <c r="AT10" t="s">
        <v>195</v>
      </c>
      <c r="AU10" t="s">
        <v>35</v>
      </c>
      <c r="AV10" t="s">
        <v>77</v>
      </c>
      <c r="AW10" t="s">
        <v>177</v>
      </c>
      <c r="AX10" t="s">
        <v>189</v>
      </c>
      <c r="AY10" t="s">
        <v>196</v>
      </c>
      <c r="AZ10" t="s">
        <v>197</v>
      </c>
      <c r="BA10" t="s">
        <v>198</v>
      </c>
      <c r="BB10" t="s">
        <v>199</v>
      </c>
      <c r="BC10">
        <v>0</v>
      </c>
      <c r="BD10">
        <v>0</v>
      </c>
      <c r="BE10">
        <v>1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1</v>
      </c>
      <c r="BP10" t="s">
        <v>45</v>
      </c>
      <c r="BQ10" t="s">
        <v>200</v>
      </c>
      <c r="BR10" t="s">
        <v>201</v>
      </c>
      <c r="BS10" t="s">
        <v>75</v>
      </c>
      <c r="BT10" t="s">
        <v>177</v>
      </c>
      <c r="BU10" t="s">
        <v>202</v>
      </c>
      <c r="BV10" t="s">
        <v>203</v>
      </c>
      <c r="BW10" t="s">
        <v>74</v>
      </c>
      <c r="BX10" t="s">
        <v>74</v>
      </c>
      <c r="BZ10" t="s">
        <v>79</v>
      </c>
      <c r="CB10" t="s">
        <v>204</v>
      </c>
    </row>
    <row r="11" spans="1:82" x14ac:dyDescent="0.25">
      <c r="A11" t="str">
        <f>IF(  UPPER(LEFT( tabSuperdettagli[[#This Row],[WBE Status]],1) ) = "S",  "sì",  "no"   )</f>
        <v>no</v>
      </c>
      <c r="B11">
        <v>2021</v>
      </c>
      <c r="C11">
        <f>VLOOKUP(tabSuperdettagli[[#This Row],[WBS_]],'pivot di appoggio'!A:B,2,FALSE)</f>
        <v>2020</v>
      </c>
      <c r="D11" t="str">
        <f>LEFT(tabSuperdettagli[[#This Row],[Network]], 10)</f>
        <v>AAAA.0001</v>
      </c>
      <c r="E11" t="str">
        <f>LEFT(tabSuperdettagli[[#This Row],[Network]], 1)</f>
        <v>A</v>
      </c>
      <c r="F11" t="str">
        <f>LOWER(TRIM( tabSuperdettagli[[#This Row],[Proj. Type ]] ))</f>
        <v/>
      </c>
      <c r="G1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1" t="e">
        <f>IF(  TRIM(#REF!)&gt; "", TRIM(#REF!), TRIM(tabSuperdettagli[[#This Row],[Resp DT]] ) )</f>
        <v>#REF!</v>
      </c>
      <c r="J11" t="str">
        <f>tabSuperdettagli[[#This Row],[07.2025]]</f>
        <v>10</v>
      </c>
      <c r="K11">
        <f>tabSuperdettagli[[#This Row],[Resp del Prodotto]]</f>
        <v>0</v>
      </c>
      <c r="L11">
        <f>tabSuperdettagli[[#This Row],[Area di bdg]]</f>
        <v>1</v>
      </c>
      <c r="W11" t="str">
        <f>tabSuperdettagli[[#This Row],[PROJ CODE]]</f>
        <v>CONV NGP PLATFORM ENG</v>
      </c>
      <c r="X11" t="str">
        <f>tabSuperdettagli[[#This Row],[Resp 2°liv]]&amp;""</f>
        <v>Gamberini G.</v>
      </c>
      <c r="Y1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1" t="str">
        <f>tabSuperdettagli[[#This Row],[WBS Element]]&amp;""</f>
        <v>WBS ddd</v>
      </c>
      <c r="AA11" t="str">
        <f>tabSuperdettagli[[#This Row],[09.2025]]</f>
        <v>319</v>
      </c>
      <c r="AC1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1" t="str">
        <f>LEFT(tabSuperdettagli[[#This Row],[Network]], 18 )</f>
        <v>AAAA.0001</v>
      </c>
      <c r="AE11" t="s">
        <v>187</v>
      </c>
      <c r="AF11" t="s">
        <v>188</v>
      </c>
      <c r="AG11" t="s">
        <v>235</v>
      </c>
      <c r="AH11">
        <v>9</v>
      </c>
      <c r="AI11" t="s">
        <v>305</v>
      </c>
      <c r="AJ11" t="s">
        <v>242</v>
      </c>
      <c r="AK11">
        <v>2023</v>
      </c>
      <c r="AL11" t="s">
        <v>190</v>
      </c>
      <c r="AM11" t="s">
        <v>191</v>
      </c>
      <c r="AN11" t="s">
        <v>192</v>
      </c>
      <c r="AO11" t="s">
        <v>193</v>
      </c>
      <c r="AP11" t="s">
        <v>192</v>
      </c>
      <c r="AQ11" t="s">
        <v>194</v>
      </c>
      <c r="AR11" t="s">
        <v>75</v>
      </c>
      <c r="AS11" t="s">
        <v>76</v>
      </c>
      <c r="AT11" t="s">
        <v>195</v>
      </c>
      <c r="AU11" t="s">
        <v>35</v>
      </c>
      <c r="AV11" t="s">
        <v>77</v>
      </c>
      <c r="AW11" t="s">
        <v>177</v>
      </c>
      <c r="AX11" t="s">
        <v>189</v>
      </c>
      <c r="AY11" t="s">
        <v>196</v>
      </c>
      <c r="AZ11" t="s">
        <v>197</v>
      </c>
      <c r="BA11" t="s">
        <v>198</v>
      </c>
      <c r="BB11" t="s">
        <v>199</v>
      </c>
      <c r="BC11">
        <v>0</v>
      </c>
      <c r="BD11">
        <v>0</v>
      </c>
      <c r="BE11">
        <v>1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1</v>
      </c>
      <c r="BP11" t="s">
        <v>45</v>
      </c>
      <c r="BQ11" t="s">
        <v>200</v>
      </c>
      <c r="BR11" t="s">
        <v>201</v>
      </c>
      <c r="BS11" t="s">
        <v>75</v>
      </c>
      <c r="BT11" t="s">
        <v>177</v>
      </c>
      <c r="BU11" t="s">
        <v>202</v>
      </c>
      <c r="BV11" t="s">
        <v>203</v>
      </c>
      <c r="BW11" t="s">
        <v>74</v>
      </c>
      <c r="BX11" t="s">
        <v>74</v>
      </c>
      <c r="BZ11" t="s">
        <v>79</v>
      </c>
      <c r="CB11" t="s">
        <v>204</v>
      </c>
    </row>
    <row r="12" spans="1:82" x14ac:dyDescent="0.25">
      <c r="A12" t="str">
        <f>IF(  UPPER(LEFT( tabSuperdettagli[[#This Row],[WBE Status]],1) ) = "S",  "sì",  "no"   )</f>
        <v>no</v>
      </c>
      <c r="B12">
        <v>2021</v>
      </c>
      <c r="C12">
        <f>VLOOKUP(tabSuperdettagli[[#This Row],[WBS_]],'pivot di appoggio'!A:B,2,FALSE)</f>
        <v>2020</v>
      </c>
      <c r="D12" t="str">
        <f>LEFT(tabSuperdettagli[[#This Row],[Network]], 10)</f>
        <v>AAAA.0001</v>
      </c>
      <c r="E12" t="str">
        <f>LEFT(tabSuperdettagli[[#This Row],[Network]], 1)</f>
        <v>A</v>
      </c>
      <c r="F12" t="str">
        <f>LOWER(TRIM( tabSuperdettagli[[#This Row],[Proj. Type ]] ))</f>
        <v/>
      </c>
      <c r="G1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2" t="e">
        <f>IF(  TRIM(#REF!)&gt; "", TRIM(#REF!), TRIM(tabSuperdettagli[[#This Row],[Resp DT]] ) )</f>
        <v>#REF!</v>
      </c>
      <c r="J12" t="str">
        <f>tabSuperdettagli[[#This Row],[07.2025]]</f>
        <v>10</v>
      </c>
      <c r="K12">
        <f>tabSuperdettagli[[#This Row],[Resp del Prodotto]]</f>
        <v>0</v>
      </c>
      <c r="L12">
        <f>tabSuperdettagli[[#This Row],[Area di bdg]]</f>
        <v>1</v>
      </c>
      <c r="W12" t="str">
        <f>tabSuperdettagli[[#This Row],[PROJ CODE]]</f>
        <v>CONV NGP PLATFORM ENG</v>
      </c>
      <c r="X12" t="str">
        <f>tabSuperdettagli[[#This Row],[Resp 2°liv]]&amp;""</f>
        <v>Gamberini G.</v>
      </c>
      <c r="Y1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2" t="str">
        <f>tabSuperdettagli[[#This Row],[WBS Element]]&amp;""</f>
        <v>WBS ddd</v>
      </c>
      <c r="AA12" t="str">
        <f>tabSuperdettagli[[#This Row],[09.2025]]</f>
        <v>319</v>
      </c>
      <c r="AC1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2" t="str">
        <f>LEFT(tabSuperdettagli[[#This Row],[Network]], 18 )</f>
        <v>AAAA.0001</v>
      </c>
      <c r="AE12" t="s">
        <v>187</v>
      </c>
      <c r="AF12" t="s">
        <v>188</v>
      </c>
      <c r="AG12" t="s">
        <v>235</v>
      </c>
      <c r="AH12">
        <v>10</v>
      </c>
      <c r="AI12" t="s">
        <v>305</v>
      </c>
      <c r="AJ12" t="s">
        <v>242</v>
      </c>
      <c r="AK12">
        <v>2023</v>
      </c>
      <c r="AL12" t="s">
        <v>190</v>
      </c>
      <c r="AM12" t="s">
        <v>191</v>
      </c>
      <c r="AN12" t="s">
        <v>192</v>
      </c>
      <c r="AO12" t="s">
        <v>193</v>
      </c>
      <c r="AP12" t="s">
        <v>192</v>
      </c>
      <c r="AQ12" t="s">
        <v>194</v>
      </c>
      <c r="AR12" t="s">
        <v>75</v>
      </c>
      <c r="AS12" t="s">
        <v>76</v>
      </c>
      <c r="AT12" t="s">
        <v>195</v>
      </c>
      <c r="AU12" t="s">
        <v>35</v>
      </c>
      <c r="AV12" t="s">
        <v>77</v>
      </c>
      <c r="AW12" t="s">
        <v>177</v>
      </c>
      <c r="AX12" t="s">
        <v>189</v>
      </c>
      <c r="AY12" t="s">
        <v>196</v>
      </c>
      <c r="AZ12" t="s">
        <v>197</v>
      </c>
      <c r="BA12" t="s">
        <v>198</v>
      </c>
      <c r="BB12" t="s">
        <v>199</v>
      </c>
      <c r="BC12">
        <v>0</v>
      </c>
      <c r="BD12">
        <v>0</v>
      </c>
      <c r="BE12">
        <v>1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1</v>
      </c>
      <c r="BP12" t="s">
        <v>45</v>
      </c>
      <c r="BQ12" t="s">
        <v>200</v>
      </c>
      <c r="BR12" t="s">
        <v>201</v>
      </c>
      <c r="BS12" t="s">
        <v>75</v>
      </c>
      <c r="BT12" t="s">
        <v>177</v>
      </c>
      <c r="BU12" t="s">
        <v>202</v>
      </c>
      <c r="BV12" t="s">
        <v>203</v>
      </c>
      <c r="BW12" t="s">
        <v>74</v>
      </c>
      <c r="BX12" t="s">
        <v>74</v>
      </c>
      <c r="BZ12" t="s">
        <v>79</v>
      </c>
      <c r="CB12" t="s">
        <v>204</v>
      </c>
    </row>
    <row r="13" spans="1:82" x14ac:dyDescent="0.25">
      <c r="A13" t="str">
        <f>IF(  UPPER(LEFT( tabSuperdettagli[[#This Row],[WBE Status]],1) ) = "S",  "sì",  "no"   )</f>
        <v>no</v>
      </c>
      <c r="B13">
        <v>2021</v>
      </c>
      <c r="C13">
        <f>VLOOKUP(tabSuperdettagli[[#This Row],[WBS_]],'pivot di appoggio'!A:B,2,FALSE)</f>
        <v>2020</v>
      </c>
      <c r="D13" t="str">
        <f>LEFT(tabSuperdettagli[[#This Row],[Network]], 10)</f>
        <v>AAAA.0001</v>
      </c>
      <c r="E13" t="str">
        <f>LEFT(tabSuperdettagli[[#This Row],[Network]], 1)</f>
        <v>A</v>
      </c>
      <c r="F13" t="str">
        <f>LOWER(TRIM( tabSuperdettagli[[#This Row],[Proj. Type ]] ))</f>
        <v/>
      </c>
      <c r="G1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3" t="e">
        <f>IF(  TRIM(#REF!)&gt; "", TRIM(#REF!), TRIM(tabSuperdettagli[[#This Row],[Resp DT]] ) )</f>
        <v>#REF!</v>
      </c>
      <c r="J13" t="str">
        <f>tabSuperdettagli[[#This Row],[07.2025]]</f>
        <v>10</v>
      </c>
      <c r="K13">
        <f>tabSuperdettagli[[#This Row],[Resp del Prodotto]]</f>
        <v>0</v>
      </c>
      <c r="L13">
        <f>tabSuperdettagli[[#This Row],[Area di bdg]]</f>
        <v>1</v>
      </c>
      <c r="W13" t="str">
        <f>tabSuperdettagli[[#This Row],[PROJ CODE]]</f>
        <v>CONV NGP PLATFORM ENG</v>
      </c>
      <c r="X13" t="str">
        <f>tabSuperdettagli[[#This Row],[Resp 2°liv]]&amp;""</f>
        <v>Gamberini G.</v>
      </c>
      <c r="Y1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3" t="str">
        <f>tabSuperdettagli[[#This Row],[WBS Element]]&amp;""</f>
        <v>WBS ddd</v>
      </c>
      <c r="AA13" t="str">
        <f>tabSuperdettagli[[#This Row],[09.2025]]</f>
        <v>319</v>
      </c>
      <c r="AC1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3" t="str">
        <f>LEFT(tabSuperdettagli[[#This Row],[Network]], 18 )</f>
        <v>AAAA.0001</v>
      </c>
      <c r="AE13" t="s">
        <v>187</v>
      </c>
      <c r="AF13" t="s">
        <v>188</v>
      </c>
      <c r="AG13" t="s">
        <v>235</v>
      </c>
      <c r="AH13">
        <v>11</v>
      </c>
      <c r="AI13" t="s">
        <v>305</v>
      </c>
      <c r="AJ13" t="s">
        <v>242</v>
      </c>
      <c r="AK13">
        <v>2023</v>
      </c>
      <c r="AL13" t="s">
        <v>190</v>
      </c>
      <c r="AM13" t="s">
        <v>191</v>
      </c>
      <c r="AN13" t="s">
        <v>192</v>
      </c>
      <c r="AO13" t="s">
        <v>193</v>
      </c>
      <c r="AP13" t="s">
        <v>192</v>
      </c>
      <c r="AQ13" t="s">
        <v>194</v>
      </c>
      <c r="AR13" t="s">
        <v>75</v>
      </c>
      <c r="AS13" t="s">
        <v>76</v>
      </c>
      <c r="AT13" t="s">
        <v>195</v>
      </c>
      <c r="AU13" t="s">
        <v>35</v>
      </c>
      <c r="AV13" t="s">
        <v>77</v>
      </c>
      <c r="AW13" t="s">
        <v>177</v>
      </c>
      <c r="AX13" t="s">
        <v>189</v>
      </c>
      <c r="AY13" t="s">
        <v>196</v>
      </c>
      <c r="AZ13" t="s">
        <v>197</v>
      </c>
      <c r="BA13" t="s">
        <v>198</v>
      </c>
      <c r="BB13" t="s">
        <v>199</v>
      </c>
      <c r="BC13">
        <v>0</v>
      </c>
      <c r="BD13">
        <v>0</v>
      </c>
      <c r="BE13">
        <v>1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1</v>
      </c>
      <c r="BP13" t="s">
        <v>45</v>
      </c>
      <c r="BQ13" t="s">
        <v>200</v>
      </c>
      <c r="BR13" t="s">
        <v>201</v>
      </c>
      <c r="BS13" t="s">
        <v>75</v>
      </c>
      <c r="BT13" t="s">
        <v>177</v>
      </c>
      <c r="BU13" t="s">
        <v>202</v>
      </c>
      <c r="BV13" t="s">
        <v>203</v>
      </c>
      <c r="BW13" t="s">
        <v>74</v>
      </c>
      <c r="BX13" t="s">
        <v>74</v>
      </c>
      <c r="BZ13" t="s">
        <v>79</v>
      </c>
      <c r="CB13" t="s">
        <v>204</v>
      </c>
    </row>
    <row r="14" spans="1:82" x14ac:dyDescent="0.25">
      <c r="A14" t="str">
        <f>IF(  UPPER(LEFT( tabSuperdettagli[[#This Row],[WBE Status]],1) ) = "S",  "sì",  "no"   )</f>
        <v>no</v>
      </c>
      <c r="B14">
        <v>2021</v>
      </c>
      <c r="C14">
        <f>VLOOKUP(tabSuperdettagli[[#This Row],[WBS_]],'pivot di appoggio'!A:B,2,FALSE)</f>
        <v>2020</v>
      </c>
      <c r="D14" t="str">
        <f>LEFT(tabSuperdettagli[[#This Row],[Network]], 10)</f>
        <v>AAAA.0001</v>
      </c>
      <c r="E14" t="str">
        <f>LEFT(tabSuperdettagli[[#This Row],[Network]], 1)</f>
        <v>A</v>
      </c>
      <c r="F14" t="str">
        <f>LOWER(TRIM( tabSuperdettagli[[#This Row],[Proj. Type ]] ))</f>
        <v/>
      </c>
      <c r="G1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4" t="e">
        <f>IF(  TRIM(#REF!)&gt; "", TRIM(#REF!), TRIM(tabSuperdettagli[[#This Row],[Resp DT]] ) )</f>
        <v>#REF!</v>
      </c>
      <c r="J14" t="str">
        <f>tabSuperdettagli[[#This Row],[07.2025]]</f>
        <v>10</v>
      </c>
      <c r="K14">
        <f>tabSuperdettagli[[#This Row],[Resp del Prodotto]]</f>
        <v>0</v>
      </c>
      <c r="L14">
        <f>tabSuperdettagli[[#This Row],[Area di bdg]]</f>
        <v>1</v>
      </c>
      <c r="W14" t="str">
        <f>tabSuperdettagli[[#This Row],[PROJ CODE]]</f>
        <v>CONV NGP PLATFORM ENG</v>
      </c>
      <c r="X14" t="str">
        <f>tabSuperdettagli[[#This Row],[Resp 2°liv]]&amp;""</f>
        <v>Gamberini G.</v>
      </c>
      <c r="Y1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4" t="str">
        <f>tabSuperdettagli[[#This Row],[WBS Element]]&amp;""</f>
        <v>WBS ddd</v>
      </c>
      <c r="AA14" t="str">
        <f>tabSuperdettagli[[#This Row],[09.2025]]</f>
        <v>319</v>
      </c>
      <c r="AC1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4" t="str">
        <f>LEFT(tabSuperdettagli[[#This Row],[Network]], 18 )</f>
        <v>AAAA.0001</v>
      </c>
      <c r="AE14" t="s">
        <v>187</v>
      </c>
      <c r="AF14" t="s">
        <v>188</v>
      </c>
      <c r="AG14" t="s">
        <v>235</v>
      </c>
      <c r="AH14">
        <v>12</v>
      </c>
      <c r="AI14" t="s">
        <v>305</v>
      </c>
      <c r="AJ14" t="s">
        <v>242</v>
      </c>
      <c r="AK14">
        <v>2023</v>
      </c>
      <c r="AL14" t="s">
        <v>190</v>
      </c>
      <c r="AM14" t="s">
        <v>191</v>
      </c>
      <c r="AN14" t="s">
        <v>192</v>
      </c>
      <c r="AO14" t="s">
        <v>193</v>
      </c>
      <c r="AP14" t="s">
        <v>192</v>
      </c>
      <c r="AQ14" t="s">
        <v>194</v>
      </c>
      <c r="AR14" t="s">
        <v>75</v>
      </c>
      <c r="AS14" t="s">
        <v>76</v>
      </c>
      <c r="AT14" t="s">
        <v>195</v>
      </c>
      <c r="AU14" t="s">
        <v>35</v>
      </c>
      <c r="AV14" t="s">
        <v>77</v>
      </c>
      <c r="AW14" t="s">
        <v>177</v>
      </c>
      <c r="AX14" t="s">
        <v>189</v>
      </c>
      <c r="AY14" t="s">
        <v>196</v>
      </c>
      <c r="AZ14" t="s">
        <v>197</v>
      </c>
      <c r="BA14" t="s">
        <v>198</v>
      </c>
      <c r="BB14" t="s">
        <v>199</v>
      </c>
      <c r="BC14">
        <v>0</v>
      </c>
      <c r="BD14">
        <v>0</v>
      </c>
      <c r="BE14">
        <v>1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1</v>
      </c>
      <c r="BP14" t="s">
        <v>45</v>
      </c>
      <c r="BQ14" t="s">
        <v>200</v>
      </c>
      <c r="BR14" t="s">
        <v>201</v>
      </c>
      <c r="BS14" t="s">
        <v>75</v>
      </c>
      <c r="BT14" t="s">
        <v>177</v>
      </c>
      <c r="BU14" t="s">
        <v>202</v>
      </c>
      <c r="BV14" t="s">
        <v>203</v>
      </c>
      <c r="BW14" t="s">
        <v>74</v>
      </c>
      <c r="BX14" t="s">
        <v>74</v>
      </c>
      <c r="BZ14" t="s">
        <v>79</v>
      </c>
      <c r="CB14" t="s">
        <v>204</v>
      </c>
    </row>
    <row r="15" spans="1:82" x14ac:dyDescent="0.25">
      <c r="A15" t="str">
        <f>IF(  UPPER(LEFT( tabSuperdettagli[[#This Row],[WBE Status]],1) ) = "S",  "sì",  "no"   )</f>
        <v>no</v>
      </c>
      <c r="B15">
        <v>2021</v>
      </c>
      <c r="C15">
        <f>VLOOKUP(tabSuperdettagli[[#This Row],[WBS_]],'pivot di appoggio'!A:B,2,FALSE)</f>
        <v>2020</v>
      </c>
      <c r="D15" t="str">
        <f>LEFT(tabSuperdettagli[[#This Row],[Network]], 10)</f>
        <v>AAAA.0001</v>
      </c>
      <c r="E15" t="str">
        <f>LEFT(tabSuperdettagli[[#This Row],[Network]], 1)</f>
        <v>A</v>
      </c>
      <c r="F15" t="str">
        <f>LOWER(TRIM( tabSuperdettagli[[#This Row],[Proj. Type ]] ))</f>
        <v/>
      </c>
      <c r="G1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5" t="e">
        <f>IF(  TRIM(#REF!)&gt; "", TRIM(#REF!), TRIM(tabSuperdettagli[[#This Row],[Resp DT]] ) )</f>
        <v>#REF!</v>
      </c>
      <c r="J15" t="str">
        <f>tabSuperdettagli[[#This Row],[07.2025]]</f>
        <v>10</v>
      </c>
      <c r="K15">
        <f>tabSuperdettagli[[#This Row],[Resp del Prodotto]]</f>
        <v>0</v>
      </c>
      <c r="L15">
        <f>tabSuperdettagli[[#This Row],[Area di bdg]]</f>
        <v>1</v>
      </c>
      <c r="W15" t="str">
        <f>tabSuperdettagli[[#This Row],[PROJ CODE]]</f>
        <v>CONV NGP PLATFORM ENG</v>
      </c>
      <c r="X15" t="str">
        <f>tabSuperdettagli[[#This Row],[Resp 2°liv]]&amp;""</f>
        <v>Gamberini G.</v>
      </c>
      <c r="Y1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5" t="str">
        <f>tabSuperdettagli[[#This Row],[WBS Element]]&amp;""</f>
        <v>WBS ddd</v>
      </c>
      <c r="AA15" t="str">
        <f>tabSuperdettagli[[#This Row],[09.2025]]</f>
        <v>319</v>
      </c>
      <c r="AC1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5" t="str">
        <f>LEFT(tabSuperdettagli[[#This Row],[Network]], 18 )</f>
        <v>AAAA.0001</v>
      </c>
      <c r="AE15" t="s">
        <v>187</v>
      </c>
      <c r="AF15" t="s">
        <v>188</v>
      </c>
      <c r="AG15" t="s">
        <v>235</v>
      </c>
      <c r="AH15">
        <v>13</v>
      </c>
      <c r="AI15" t="s">
        <v>305</v>
      </c>
      <c r="AJ15" t="s">
        <v>242</v>
      </c>
      <c r="AK15">
        <v>2023</v>
      </c>
      <c r="AL15" t="s">
        <v>190</v>
      </c>
      <c r="AM15" t="s">
        <v>191</v>
      </c>
      <c r="AN15" t="s">
        <v>192</v>
      </c>
      <c r="AO15" t="s">
        <v>193</v>
      </c>
      <c r="AP15" t="s">
        <v>192</v>
      </c>
      <c r="AQ15" t="s">
        <v>194</v>
      </c>
      <c r="AR15" t="s">
        <v>75</v>
      </c>
      <c r="AS15" t="s">
        <v>76</v>
      </c>
      <c r="AT15" t="s">
        <v>195</v>
      </c>
      <c r="AU15" t="s">
        <v>35</v>
      </c>
      <c r="AV15" t="s">
        <v>77</v>
      </c>
      <c r="AW15" t="s">
        <v>177</v>
      </c>
      <c r="AX15" t="s">
        <v>189</v>
      </c>
      <c r="AY15" t="s">
        <v>196</v>
      </c>
      <c r="AZ15" t="s">
        <v>197</v>
      </c>
      <c r="BA15" t="s">
        <v>198</v>
      </c>
      <c r="BB15" t="s">
        <v>199</v>
      </c>
      <c r="BC15">
        <v>0</v>
      </c>
      <c r="BD15">
        <v>0</v>
      </c>
      <c r="BE15">
        <v>1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1</v>
      </c>
      <c r="BP15" t="s">
        <v>45</v>
      </c>
      <c r="BQ15" t="s">
        <v>200</v>
      </c>
      <c r="BR15" t="s">
        <v>201</v>
      </c>
      <c r="BS15" t="s">
        <v>75</v>
      </c>
      <c r="BT15" t="s">
        <v>177</v>
      </c>
      <c r="BU15" t="s">
        <v>202</v>
      </c>
      <c r="BV15" t="s">
        <v>203</v>
      </c>
      <c r="BW15" t="s">
        <v>74</v>
      </c>
      <c r="BX15" t="s">
        <v>74</v>
      </c>
      <c r="BZ15" t="s">
        <v>79</v>
      </c>
      <c r="CB15" t="s">
        <v>204</v>
      </c>
    </row>
    <row r="16" spans="1:82" x14ac:dyDescent="0.25">
      <c r="A16" t="str">
        <f>IF(  UPPER(LEFT( tabSuperdettagli[[#This Row],[WBE Status]],1) ) = "S",  "sì",  "no"   )</f>
        <v>no</v>
      </c>
      <c r="B16">
        <v>2021</v>
      </c>
      <c r="C16">
        <f>VLOOKUP(tabSuperdettagli[[#This Row],[WBS_]],'pivot di appoggio'!A:B,2,FALSE)</f>
        <v>2020</v>
      </c>
      <c r="D16" t="str">
        <f>LEFT(tabSuperdettagli[[#This Row],[Network]], 10)</f>
        <v>AAAA.0001</v>
      </c>
      <c r="E16" t="str">
        <f>LEFT(tabSuperdettagli[[#This Row],[Network]], 1)</f>
        <v>A</v>
      </c>
      <c r="F16" t="str">
        <f>LOWER(TRIM( tabSuperdettagli[[#This Row],[Proj. Type ]] ))</f>
        <v/>
      </c>
      <c r="G1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6" t="e">
        <f>IF(  TRIM(#REF!)&gt; "", TRIM(#REF!), TRIM(tabSuperdettagli[[#This Row],[Resp DT]] ) )</f>
        <v>#REF!</v>
      </c>
      <c r="J16" t="str">
        <f>tabSuperdettagli[[#This Row],[07.2025]]</f>
        <v>10</v>
      </c>
      <c r="K16">
        <f>tabSuperdettagli[[#This Row],[Resp del Prodotto]]</f>
        <v>0</v>
      </c>
      <c r="L16">
        <f>tabSuperdettagli[[#This Row],[Area di bdg]]</f>
        <v>1</v>
      </c>
      <c r="W16" t="str">
        <f>tabSuperdettagli[[#This Row],[PROJ CODE]]</f>
        <v>CONV NGP PLATFORM ENG</v>
      </c>
      <c r="X16" t="str">
        <f>tabSuperdettagli[[#This Row],[Resp 2°liv]]&amp;""</f>
        <v>Gamberini G.</v>
      </c>
      <c r="Y1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6" t="str">
        <f>tabSuperdettagli[[#This Row],[WBS Element]]&amp;""</f>
        <v>WBS ddd</v>
      </c>
      <c r="AA16" t="str">
        <f>tabSuperdettagli[[#This Row],[09.2025]]</f>
        <v>319</v>
      </c>
      <c r="AC1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6" t="str">
        <f>LEFT(tabSuperdettagli[[#This Row],[Network]], 18 )</f>
        <v>AAAA.0001</v>
      </c>
      <c r="AE16" t="s">
        <v>187</v>
      </c>
      <c r="AF16" t="s">
        <v>188</v>
      </c>
      <c r="AG16" t="s">
        <v>235</v>
      </c>
      <c r="AH16">
        <v>14</v>
      </c>
      <c r="AI16" t="s">
        <v>305</v>
      </c>
      <c r="AJ16" t="s">
        <v>242</v>
      </c>
      <c r="AK16">
        <v>2023</v>
      </c>
      <c r="AL16" t="s">
        <v>190</v>
      </c>
      <c r="AM16" t="s">
        <v>191</v>
      </c>
      <c r="AN16" t="s">
        <v>192</v>
      </c>
      <c r="AO16" t="s">
        <v>193</v>
      </c>
      <c r="AP16" t="s">
        <v>192</v>
      </c>
      <c r="AQ16" t="s">
        <v>194</v>
      </c>
      <c r="AR16" t="s">
        <v>75</v>
      </c>
      <c r="AS16" t="s">
        <v>76</v>
      </c>
      <c r="AT16" t="s">
        <v>195</v>
      </c>
      <c r="AU16" t="s">
        <v>35</v>
      </c>
      <c r="AV16" t="s">
        <v>77</v>
      </c>
      <c r="AW16" t="s">
        <v>177</v>
      </c>
      <c r="AX16" t="s">
        <v>189</v>
      </c>
      <c r="AY16" t="s">
        <v>196</v>
      </c>
      <c r="AZ16" t="s">
        <v>197</v>
      </c>
      <c r="BA16" t="s">
        <v>198</v>
      </c>
      <c r="BB16" t="s">
        <v>199</v>
      </c>
      <c r="BC16">
        <v>0</v>
      </c>
      <c r="BD16">
        <v>0</v>
      </c>
      <c r="BE16">
        <v>1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1</v>
      </c>
      <c r="BP16" t="s">
        <v>45</v>
      </c>
      <c r="BQ16" t="s">
        <v>200</v>
      </c>
      <c r="BR16" t="s">
        <v>201</v>
      </c>
      <c r="BS16" t="s">
        <v>75</v>
      </c>
      <c r="BT16" t="s">
        <v>177</v>
      </c>
      <c r="BU16" t="s">
        <v>202</v>
      </c>
      <c r="BV16" t="s">
        <v>203</v>
      </c>
      <c r="BW16" t="s">
        <v>74</v>
      </c>
      <c r="BX16" t="s">
        <v>74</v>
      </c>
      <c r="BZ16" t="s">
        <v>79</v>
      </c>
      <c r="CB16" t="s">
        <v>204</v>
      </c>
    </row>
    <row r="17" spans="1:80" x14ac:dyDescent="0.25">
      <c r="A17" t="str">
        <f>IF(  UPPER(LEFT( tabSuperdettagli[[#This Row],[WBE Status]],1) ) = "S",  "sì",  "no"   )</f>
        <v>no</v>
      </c>
      <c r="B17">
        <v>2021</v>
      </c>
      <c r="C17">
        <f>VLOOKUP(tabSuperdettagli[[#This Row],[WBS_]],'pivot di appoggio'!A:B,2,FALSE)</f>
        <v>2020</v>
      </c>
      <c r="D17" t="str">
        <f>LEFT(tabSuperdettagli[[#This Row],[Network]], 10)</f>
        <v>AAAA.0001</v>
      </c>
      <c r="E17" t="str">
        <f>LEFT(tabSuperdettagli[[#This Row],[Network]], 1)</f>
        <v>A</v>
      </c>
      <c r="F17" t="str">
        <f>LOWER(TRIM( tabSuperdettagli[[#This Row],[Proj. Type ]] ))</f>
        <v/>
      </c>
      <c r="G1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7" t="e">
        <f>IF(  TRIM(#REF!)&gt; "", TRIM(#REF!), TRIM(tabSuperdettagli[[#This Row],[Resp DT]] ) )</f>
        <v>#REF!</v>
      </c>
      <c r="J17" t="str">
        <f>tabSuperdettagli[[#This Row],[07.2025]]</f>
        <v>10</v>
      </c>
      <c r="K17">
        <f>tabSuperdettagli[[#This Row],[Resp del Prodotto]]</f>
        <v>0</v>
      </c>
      <c r="L17">
        <f>tabSuperdettagli[[#This Row],[Area di bdg]]</f>
        <v>1</v>
      </c>
      <c r="W17" t="str">
        <f>tabSuperdettagli[[#This Row],[PROJ CODE]]</f>
        <v>CONV NGP PLATFORM ENG</v>
      </c>
      <c r="X17" t="str">
        <f>tabSuperdettagli[[#This Row],[Resp 2°liv]]&amp;""</f>
        <v>Gamberini G.</v>
      </c>
      <c r="Y1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7" t="str">
        <f>tabSuperdettagli[[#This Row],[WBS Element]]&amp;""</f>
        <v>WBS ddd</v>
      </c>
      <c r="AA17" t="str">
        <f>tabSuperdettagli[[#This Row],[09.2025]]</f>
        <v>319</v>
      </c>
      <c r="AC1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7" t="str">
        <f>LEFT(tabSuperdettagli[[#This Row],[Network]], 18 )</f>
        <v>AAAA.0001</v>
      </c>
      <c r="AE17" t="s">
        <v>187</v>
      </c>
      <c r="AF17" t="s">
        <v>188</v>
      </c>
      <c r="AG17" t="s">
        <v>235</v>
      </c>
      <c r="AH17">
        <v>15</v>
      </c>
      <c r="AI17" t="s">
        <v>305</v>
      </c>
      <c r="AJ17" t="s">
        <v>242</v>
      </c>
      <c r="AK17">
        <v>2023</v>
      </c>
      <c r="AL17" t="s">
        <v>190</v>
      </c>
      <c r="AM17" t="s">
        <v>191</v>
      </c>
      <c r="AN17" t="s">
        <v>192</v>
      </c>
      <c r="AO17" t="s">
        <v>193</v>
      </c>
      <c r="AP17" t="s">
        <v>192</v>
      </c>
      <c r="AQ17" t="s">
        <v>194</v>
      </c>
      <c r="AR17" t="s">
        <v>75</v>
      </c>
      <c r="AS17" t="s">
        <v>76</v>
      </c>
      <c r="AT17" t="s">
        <v>195</v>
      </c>
      <c r="AU17" t="s">
        <v>35</v>
      </c>
      <c r="AV17" t="s">
        <v>77</v>
      </c>
      <c r="AW17" t="s">
        <v>177</v>
      </c>
      <c r="AX17" t="s">
        <v>189</v>
      </c>
      <c r="AY17" t="s">
        <v>196</v>
      </c>
      <c r="AZ17" t="s">
        <v>197</v>
      </c>
      <c r="BA17" t="s">
        <v>198</v>
      </c>
      <c r="BB17" t="s">
        <v>199</v>
      </c>
      <c r="BC17">
        <v>0</v>
      </c>
      <c r="BD17">
        <v>0</v>
      </c>
      <c r="BE17">
        <v>1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1</v>
      </c>
      <c r="BP17" t="s">
        <v>45</v>
      </c>
      <c r="BQ17" t="s">
        <v>200</v>
      </c>
      <c r="BR17" t="s">
        <v>201</v>
      </c>
      <c r="BS17" t="s">
        <v>75</v>
      </c>
      <c r="BT17" t="s">
        <v>177</v>
      </c>
      <c r="BU17" t="s">
        <v>202</v>
      </c>
      <c r="BV17" t="s">
        <v>203</v>
      </c>
      <c r="BW17" t="s">
        <v>74</v>
      </c>
      <c r="BX17" t="s">
        <v>74</v>
      </c>
      <c r="BZ17" t="s">
        <v>79</v>
      </c>
      <c r="CB17" t="s">
        <v>204</v>
      </c>
    </row>
    <row r="18" spans="1:80" x14ac:dyDescent="0.25">
      <c r="A18" t="str">
        <f>IF(  UPPER(LEFT( tabSuperdettagli[[#This Row],[WBE Status]],1) ) = "S",  "sì",  "no"   )</f>
        <v>no</v>
      </c>
      <c r="B18">
        <v>2021</v>
      </c>
      <c r="C18">
        <f>VLOOKUP(tabSuperdettagli[[#This Row],[WBS_]],'pivot di appoggio'!A:B,2,FALSE)</f>
        <v>2020</v>
      </c>
      <c r="D18" t="str">
        <f>LEFT(tabSuperdettagli[[#This Row],[Network]], 10)</f>
        <v>AAAA.0001</v>
      </c>
      <c r="E18" t="str">
        <f>LEFT(tabSuperdettagli[[#This Row],[Network]], 1)</f>
        <v>A</v>
      </c>
      <c r="F18" t="str">
        <f>LOWER(TRIM( tabSuperdettagli[[#This Row],[Proj. Type ]] ))</f>
        <v/>
      </c>
      <c r="G1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8" t="e">
        <f>IF(  TRIM(#REF!)&gt; "", TRIM(#REF!), TRIM(tabSuperdettagli[[#This Row],[Resp DT]] ) )</f>
        <v>#REF!</v>
      </c>
      <c r="J18" t="str">
        <f>tabSuperdettagli[[#This Row],[07.2025]]</f>
        <v>10</v>
      </c>
      <c r="K18">
        <f>tabSuperdettagli[[#This Row],[Resp del Prodotto]]</f>
        <v>0</v>
      </c>
      <c r="L18">
        <f>tabSuperdettagli[[#This Row],[Area di bdg]]</f>
        <v>1</v>
      </c>
      <c r="W18" t="str">
        <f>tabSuperdettagli[[#This Row],[PROJ CODE]]</f>
        <v>CONV NGP PLATFORM ENG</v>
      </c>
      <c r="X18" t="str">
        <f>tabSuperdettagli[[#This Row],[Resp 2°liv]]&amp;""</f>
        <v>Gamberini G.</v>
      </c>
      <c r="Y1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8" t="str">
        <f>tabSuperdettagli[[#This Row],[WBS Element]]&amp;""</f>
        <v>WBS ddd</v>
      </c>
      <c r="AA18" t="str">
        <f>tabSuperdettagli[[#This Row],[09.2025]]</f>
        <v>319</v>
      </c>
      <c r="AC1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8" t="str">
        <f>LEFT(tabSuperdettagli[[#This Row],[Network]], 18 )</f>
        <v>AAAA.0001</v>
      </c>
      <c r="AE18" t="s">
        <v>187</v>
      </c>
      <c r="AF18" t="s">
        <v>188</v>
      </c>
      <c r="AG18" t="s">
        <v>235</v>
      </c>
      <c r="AH18">
        <v>16</v>
      </c>
      <c r="AI18" t="s">
        <v>305</v>
      </c>
      <c r="AJ18" t="s">
        <v>242</v>
      </c>
      <c r="AK18">
        <v>2023</v>
      </c>
      <c r="AL18" t="s">
        <v>190</v>
      </c>
      <c r="AM18" t="s">
        <v>191</v>
      </c>
      <c r="AN18" t="s">
        <v>192</v>
      </c>
      <c r="AO18" t="s">
        <v>193</v>
      </c>
      <c r="AP18" t="s">
        <v>192</v>
      </c>
      <c r="AQ18" t="s">
        <v>194</v>
      </c>
      <c r="AR18" t="s">
        <v>75</v>
      </c>
      <c r="AS18" t="s">
        <v>76</v>
      </c>
      <c r="AT18" t="s">
        <v>195</v>
      </c>
      <c r="AU18" t="s">
        <v>35</v>
      </c>
      <c r="AV18" t="s">
        <v>77</v>
      </c>
      <c r="AW18" t="s">
        <v>177</v>
      </c>
      <c r="AX18" t="s">
        <v>189</v>
      </c>
      <c r="AY18" t="s">
        <v>196</v>
      </c>
      <c r="AZ18" t="s">
        <v>197</v>
      </c>
      <c r="BA18" t="s">
        <v>198</v>
      </c>
      <c r="BB18" t="s">
        <v>199</v>
      </c>
      <c r="BC18">
        <v>0</v>
      </c>
      <c r="BD18">
        <v>0</v>
      </c>
      <c r="BE18">
        <v>1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1</v>
      </c>
      <c r="BP18" t="s">
        <v>45</v>
      </c>
      <c r="BQ18" t="s">
        <v>200</v>
      </c>
      <c r="BR18" t="s">
        <v>201</v>
      </c>
      <c r="BS18" t="s">
        <v>75</v>
      </c>
      <c r="BT18" t="s">
        <v>177</v>
      </c>
      <c r="BU18" t="s">
        <v>202</v>
      </c>
      <c r="BV18" t="s">
        <v>203</v>
      </c>
      <c r="BW18" t="s">
        <v>74</v>
      </c>
      <c r="BX18" t="s">
        <v>74</v>
      </c>
      <c r="BZ18" t="s">
        <v>79</v>
      </c>
      <c r="CB18" t="s">
        <v>204</v>
      </c>
    </row>
    <row r="19" spans="1:80" x14ac:dyDescent="0.25">
      <c r="A19" t="str">
        <f>IF(  UPPER(LEFT( tabSuperdettagli[[#This Row],[WBE Status]],1) ) = "S",  "sì",  "no"   )</f>
        <v>no</v>
      </c>
      <c r="B19">
        <v>2021</v>
      </c>
      <c r="C19">
        <f>VLOOKUP(tabSuperdettagli[[#This Row],[WBS_]],'pivot di appoggio'!A:B,2,FALSE)</f>
        <v>2020</v>
      </c>
      <c r="D19" t="str">
        <f>LEFT(tabSuperdettagli[[#This Row],[Network]], 10)</f>
        <v>AAAA.0001</v>
      </c>
      <c r="E19" t="str">
        <f>LEFT(tabSuperdettagli[[#This Row],[Network]], 1)</f>
        <v>A</v>
      </c>
      <c r="F19" t="str">
        <f>LOWER(TRIM( tabSuperdettagli[[#This Row],[Proj. Type ]] ))</f>
        <v/>
      </c>
      <c r="G1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9" t="e">
        <f>IF(  TRIM(#REF!)&gt; "", TRIM(#REF!), TRIM(tabSuperdettagli[[#This Row],[Resp DT]] ) )</f>
        <v>#REF!</v>
      </c>
      <c r="J19" t="str">
        <f>tabSuperdettagli[[#This Row],[07.2025]]</f>
        <v>10</v>
      </c>
      <c r="K19">
        <f>tabSuperdettagli[[#This Row],[Resp del Prodotto]]</f>
        <v>0</v>
      </c>
      <c r="L19">
        <f>tabSuperdettagli[[#This Row],[Area di bdg]]</f>
        <v>1</v>
      </c>
      <c r="W19" t="str">
        <f>tabSuperdettagli[[#This Row],[PROJ CODE]]</f>
        <v>CONV NGP PLATFORM ENG</v>
      </c>
      <c r="X19" t="str">
        <f>tabSuperdettagli[[#This Row],[Resp 2°liv]]&amp;""</f>
        <v>Gamberini G.</v>
      </c>
      <c r="Y1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9" t="str">
        <f>tabSuperdettagli[[#This Row],[WBS Element]]&amp;""</f>
        <v>WBS ddd</v>
      </c>
      <c r="AA19" t="str">
        <f>tabSuperdettagli[[#This Row],[09.2025]]</f>
        <v>319</v>
      </c>
      <c r="AC1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9" t="str">
        <f>LEFT(tabSuperdettagli[[#This Row],[Network]], 18 )</f>
        <v>AAAA.0001</v>
      </c>
      <c r="AE19" t="s">
        <v>187</v>
      </c>
      <c r="AF19" t="s">
        <v>188</v>
      </c>
      <c r="AG19" t="s">
        <v>235</v>
      </c>
      <c r="AH19">
        <v>17</v>
      </c>
      <c r="AI19" t="s">
        <v>305</v>
      </c>
      <c r="AJ19" t="s">
        <v>242</v>
      </c>
      <c r="AK19">
        <v>2023</v>
      </c>
      <c r="AL19" t="s">
        <v>190</v>
      </c>
      <c r="AM19" t="s">
        <v>191</v>
      </c>
      <c r="AN19" t="s">
        <v>192</v>
      </c>
      <c r="AO19" t="s">
        <v>193</v>
      </c>
      <c r="AP19" t="s">
        <v>192</v>
      </c>
      <c r="AQ19" t="s">
        <v>194</v>
      </c>
      <c r="AR19" t="s">
        <v>75</v>
      </c>
      <c r="AS19" t="s">
        <v>76</v>
      </c>
      <c r="AT19" t="s">
        <v>195</v>
      </c>
      <c r="AU19" t="s">
        <v>35</v>
      </c>
      <c r="AV19" t="s">
        <v>77</v>
      </c>
      <c r="AW19" t="s">
        <v>177</v>
      </c>
      <c r="AX19" t="s">
        <v>189</v>
      </c>
      <c r="AY19" t="s">
        <v>196</v>
      </c>
      <c r="AZ19" t="s">
        <v>197</v>
      </c>
      <c r="BA19" t="s">
        <v>198</v>
      </c>
      <c r="BB19" t="s">
        <v>199</v>
      </c>
      <c r="BC19">
        <v>0</v>
      </c>
      <c r="BD19">
        <v>0</v>
      </c>
      <c r="BE19">
        <v>1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1</v>
      </c>
      <c r="BP19" t="s">
        <v>45</v>
      </c>
      <c r="BQ19" t="s">
        <v>200</v>
      </c>
      <c r="BR19" t="s">
        <v>201</v>
      </c>
      <c r="BS19" t="s">
        <v>75</v>
      </c>
      <c r="BT19" t="s">
        <v>177</v>
      </c>
      <c r="BU19" t="s">
        <v>202</v>
      </c>
      <c r="BV19" t="s">
        <v>203</v>
      </c>
      <c r="BW19" t="s">
        <v>74</v>
      </c>
      <c r="BX19" t="s">
        <v>74</v>
      </c>
      <c r="BZ19" t="s">
        <v>79</v>
      </c>
      <c r="CB19" t="s">
        <v>204</v>
      </c>
    </row>
    <row r="20" spans="1:80" x14ac:dyDescent="0.25">
      <c r="A20" t="str">
        <f>IF(  UPPER(LEFT( tabSuperdettagli[[#This Row],[WBE Status]],1) ) = "S",  "sì",  "no"   )</f>
        <v>no</v>
      </c>
      <c r="B20">
        <v>2021</v>
      </c>
      <c r="C20">
        <f>VLOOKUP(tabSuperdettagli[[#This Row],[WBS_]],'pivot di appoggio'!A:B,2,FALSE)</f>
        <v>2020</v>
      </c>
      <c r="D20" t="str">
        <f>LEFT(tabSuperdettagli[[#This Row],[Network]], 10)</f>
        <v>AAAA.0001</v>
      </c>
      <c r="E20" t="str">
        <f>LEFT(tabSuperdettagli[[#This Row],[Network]], 1)</f>
        <v>A</v>
      </c>
      <c r="F20" t="str">
        <f>LOWER(TRIM( tabSuperdettagli[[#This Row],[Proj. Type ]] ))</f>
        <v/>
      </c>
      <c r="G2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20" t="e">
        <f>IF(  TRIM(#REF!)&gt; "", TRIM(#REF!), TRIM(tabSuperdettagli[[#This Row],[Resp DT]] ) )</f>
        <v>#REF!</v>
      </c>
      <c r="J20" t="str">
        <f>tabSuperdettagli[[#This Row],[07.2025]]</f>
        <v>10</v>
      </c>
      <c r="K20">
        <f>tabSuperdettagli[[#This Row],[Resp del Prodotto]]</f>
        <v>0</v>
      </c>
      <c r="L20">
        <f>tabSuperdettagli[[#This Row],[Area di bdg]]</f>
        <v>1</v>
      </c>
      <c r="W20" t="str">
        <f>tabSuperdettagli[[#This Row],[PROJ CODE]]</f>
        <v>CONV NGP PLATFORM ENG</v>
      </c>
      <c r="X20" t="str">
        <f>tabSuperdettagli[[#This Row],[Resp 2°liv]]&amp;""</f>
        <v>Gamberini G.</v>
      </c>
      <c r="Y2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0" t="str">
        <f>tabSuperdettagli[[#This Row],[WBS Element]]&amp;""</f>
        <v>WBS ddd</v>
      </c>
      <c r="AA20" t="str">
        <f>tabSuperdettagli[[#This Row],[09.2025]]</f>
        <v>319</v>
      </c>
      <c r="AC2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0" t="str">
        <f>LEFT(tabSuperdettagli[[#This Row],[Network]], 18 )</f>
        <v>AAAA.0001</v>
      </c>
      <c r="AE20" t="s">
        <v>187</v>
      </c>
      <c r="AF20" t="s">
        <v>188</v>
      </c>
      <c r="AG20" t="s">
        <v>235</v>
      </c>
      <c r="AH20">
        <v>18</v>
      </c>
      <c r="AI20" t="s">
        <v>305</v>
      </c>
      <c r="AJ20" t="s">
        <v>242</v>
      </c>
      <c r="AK20">
        <v>2023</v>
      </c>
      <c r="AL20" t="s">
        <v>190</v>
      </c>
      <c r="AM20" t="s">
        <v>191</v>
      </c>
      <c r="AN20" t="s">
        <v>192</v>
      </c>
      <c r="AO20" t="s">
        <v>193</v>
      </c>
      <c r="AP20" t="s">
        <v>192</v>
      </c>
      <c r="AQ20" t="s">
        <v>194</v>
      </c>
      <c r="AR20" t="s">
        <v>75</v>
      </c>
      <c r="AS20" t="s">
        <v>76</v>
      </c>
      <c r="AT20" t="s">
        <v>195</v>
      </c>
      <c r="AU20" t="s">
        <v>35</v>
      </c>
      <c r="AV20" t="s">
        <v>77</v>
      </c>
      <c r="AW20" t="s">
        <v>177</v>
      </c>
      <c r="AX20" t="s">
        <v>189</v>
      </c>
      <c r="AY20" t="s">
        <v>196</v>
      </c>
      <c r="AZ20" t="s">
        <v>197</v>
      </c>
      <c r="BA20" t="s">
        <v>198</v>
      </c>
      <c r="BB20" t="s">
        <v>199</v>
      </c>
      <c r="BC20">
        <v>0</v>
      </c>
      <c r="BD20">
        <v>0</v>
      </c>
      <c r="BE20">
        <v>1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1</v>
      </c>
      <c r="BP20" t="s">
        <v>45</v>
      </c>
      <c r="BQ20" t="s">
        <v>200</v>
      </c>
      <c r="BR20" t="s">
        <v>201</v>
      </c>
      <c r="BS20" t="s">
        <v>75</v>
      </c>
      <c r="BT20" t="s">
        <v>177</v>
      </c>
      <c r="BU20" t="s">
        <v>202</v>
      </c>
      <c r="BV20" t="s">
        <v>203</v>
      </c>
      <c r="BW20" t="s">
        <v>74</v>
      </c>
      <c r="BX20" t="s">
        <v>74</v>
      </c>
      <c r="BZ20" t="s">
        <v>79</v>
      </c>
      <c r="CB20" t="s">
        <v>204</v>
      </c>
    </row>
    <row r="21" spans="1:80" x14ac:dyDescent="0.25">
      <c r="A21" t="str">
        <f>IF(  UPPER(LEFT( tabSuperdettagli[[#This Row],[WBE Status]],1) ) = "S",  "sì",  "no"   )</f>
        <v>no</v>
      </c>
      <c r="B21">
        <v>2021</v>
      </c>
      <c r="C21">
        <f>VLOOKUP(tabSuperdettagli[[#This Row],[WBS_]],'pivot di appoggio'!A:B,2,FALSE)</f>
        <v>2020</v>
      </c>
      <c r="D21" t="str">
        <f>LEFT(tabSuperdettagli[[#This Row],[Network]], 10)</f>
        <v>AAAA.0001</v>
      </c>
      <c r="E21" t="str">
        <f>LEFT(tabSuperdettagli[[#This Row],[Network]], 1)</f>
        <v>A</v>
      </c>
      <c r="F21" t="str">
        <f>LOWER(TRIM( tabSuperdettagli[[#This Row],[Proj. Type ]] ))</f>
        <v/>
      </c>
      <c r="G2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21" t="e">
        <f>IF(  TRIM(#REF!)&gt; "", TRIM(#REF!), TRIM(tabSuperdettagli[[#This Row],[Resp DT]] ) )</f>
        <v>#REF!</v>
      </c>
      <c r="J21" t="str">
        <f>tabSuperdettagli[[#This Row],[07.2025]]</f>
        <v>10</v>
      </c>
      <c r="K21">
        <f>tabSuperdettagli[[#This Row],[Resp del Prodotto]]</f>
        <v>0</v>
      </c>
      <c r="L21">
        <f>tabSuperdettagli[[#This Row],[Area di bdg]]</f>
        <v>1</v>
      </c>
      <c r="W21" t="str">
        <f>tabSuperdettagli[[#This Row],[PROJ CODE]]</f>
        <v>CONV NGP PLATFORM ENG</v>
      </c>
      <c r="X21" t="str">
        <f>tabSuperdettagli[[#This Row],[Resp 2°liv]]&amp;""</f>
        <v>Gamberini G.</v>
      </c>
      <c r="Y2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1" t="str">
        <f>tabSuperdettagli[[#This Row],[WBS Element]]&amp;""</f>
        <v>WBS ddd</v>
      </c>
      <c r="AA21" t="str">
        <f>tabSuperdettagli[[#This Row],[09.2025]]</f>
        <v>319</v>
      </c>
      <c r="AC2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1" t="str">
        <f>LEFT(tabSuperdettagli[[#This Row],[Network]], 18 )</f>
        <v>AAAA.0001</v>
      </c>
      <c r="AE21" t="s">
        <v>187</v>
      </c>
      <c r="AF21" t="s">
        <v>188</v>
      </c>
      <c r="AG21" t="s">
        <v>235</v>
      </c>
      <c r="AH21">
        <v>19</v>
      </c>
      <c r="AI21" t="s">
        <v>305</v>
      </c>
      <c r="AJ21" t="s">
        <v>242</v>
      </c>
      <c r="AK21">
        <v>2023</v>
      </c>
      <c r="AL21" t="s">
        <v>190</v>
      </c>
      <c r="AM21" t="s">
        <v>191</v>
      </c>
      <c r="AN21" t="s">
        <v>192</v>
      </c>
      <c r="AO21" t="s">
        <v>193</v>
      </c>
      <c r="AP21" t="s">
        <v>192</v>
      </c>
      <c r="AQ21" t="s">
        <v>194</v>
      </c>
      <c r="AR21" t="s">
        <v>75</v>
      </c>
      <c r="AS21" t="s">
        <v>76</v>
      </c>
      <c r="AT21" t="s">
        <v>195</v>
      </c>
      <c r="AU21" t="s">
        <v>35</v>
      </c>
      <c r="AV21" t="s">
        <v>77</v>
      </c>
      <c r="AW21" t="s">
        <v>177</v>
      </c>
      <c r="AX21" t="s">
        <v>189</v>
      </c>
      <c r="AY21" t="s">
        <v>196</v>
      </c>
      <c r="AZ21" t="s">
        <v>197</v>
      </c>
      <c r="BA21" t="s">
        <v>198</v>
      </c>
      <c r="BB21" t="s">
        <v>199</v>
      </c>
      <c r="BC21">
        <v>0</v>
      </c>
      <c r="BD21">
        <v>0</v>
      </c>
      <c r="BE21">
        <v>1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1</v>
      </c>
      <c r="BP21" t="s">
        <v>45</v>
      </c>
      <c r="BQ21" t="s">
        <v>200</v>
      </c>
      <c r="BR21" t="s">
        <v>201</v>
      </c>
      <c r="BS21" t="s">
        <v>75</v>
      </c>
      <c r="BT21" t="s">
        <v>177</v>
      </c>
      <c r="BU21" t="s">
        <v>202</v>
      </c>
      <c r="BV21" t="s">
        <v>203</v>
      </c>
      <c r="BW21" t="s">
        <v>74</v>
      </c>
      <c r="BX21" t="s">
        <v>74</v>
      </c>
      <c r="BZ21" t="s">
        <v>79</v>
      </c>
      <c r="CB21" t="s">
        <v>204</v>
      </c>
    </row>
    <row r="22" spans="1:80" x14ac:dyDescent="0.25">
      <c r="A22" t="str">
        <f>IF(  UPPER(LEFT( tabSuperdettagli[[#This Row],[WBE Status]],1) ) = "S",  "sì",  "no"   )</f>
        <v>no</v>
      </c>
      <c r="B22">
        <v>2021</v>
      </c>
      <c r="C22">
        <f>VLOOKUP(tabSuperdettagli[[#This Row],[WBS_]],'pivot di appoggio'!A:B,2,FALSE)</f>
        <v>2020</v>
      </c>
      <c r="D22" t="str">
        <f>LEFT(tabSuperdettagli[[#This Row],[Network]], 10)</f>
        <v>AAAA.0001</v>
      </c>
      <c r="E22" t="str">
        <f>LEFT(tabSuperdettagli[[#This Row],[Network]], 1)</f>
        <v>A</v>
      </c>
      <c r="F22" t="str">
        <f>LOWER(TRIM( tabSuperdettagli[[#This Row],[Proj. Type ]] ))</f>
        <v/>
      </c>
      <c r="G2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22" t="e">
        <f>IF(  TRIM(#REF!)&gt; "", TRIM(#REF!), TRIM(tabSuperdettagli[[#This Row],[Resp DT]] ) )</f>
        <v>#REF!</v>
      </c>
      <c r="J22" t="str">
        <f>tabSuperdettagli[[#This Row],[07.2025]]</f>
        <v>10</v>
      </c>
      <c r="K22">
        <f>tabSuperdettagli[[#This Row],[Resp del Prodotto]]</f>
        <v>0</v>
      </c>
      <c r="L22">
        <f>tabSuperdettagli[[#This Row],[Area di bdg]]</f>
        <v>1</v>
      </c>
      <c r="W22" t="str">
        <f>tabSuperdettagli[[#This Row],[PROJ CODE]]</f>
        <v>CONV NGP PLATFORM ENG</v>
      </c>
      <c r="X22" t="str">
        <f>tabSuperdettagli[[#This Row],[Resp 2°liv]]&amp;""</f>
        <v>Gamberini G.</v>
      </c>
      <c r="Y2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2" t="str">
        <f>tabSuperdettagli[[#This Row],[WBS Element]]&amp;""</f>
        <v>WBS ddd</v>
      </c>
      <c r="AA22" t="str">
        <f>tabSuperdettagli[[#This Row],[09.2025]]</f>
        <v>319</v>
      </c>
      <c r="AC2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2" t="str">
        <f>LEFT(tabSuperdettagli[[#This Row],[Network]], 18 )</f>
        <v>AAAA.0001</v>
      </c>
      <c r="AE22" t="s">
        <v>187</v>
      </c>
      <c r="AF22" t="s">
        <v>188</v>
      </c>
      <c r="AG22" t="s">
        <v>235</v>
      </c>
      <c r="AH22">
        <v>20</v>
      </c>
      <c r="AI22" t="s">
        <v>305</v>
      </c>
      <c r="AJ22" t="s">
        <v>242</v>
      </c>
      <c r="AK22">
        <v>2023</v>
      </c>
      <c r="AL22" t="s">
        <v>190</v>
      </c>
      <c r="AM22" t="s">
        <v>191</v>
      </c>
      <c r="AN22" t="s">
        <v>192</v>
      </c>
      <c r="AO22" t="s">
        <v>193</v>
      </c>
      <c r="AP22" t="s">
        <v>192</v>
      </c>
      <c r="AQ22" t="s">
        <v>194</v>
      </c>
      <c r="AR22" t="s">
        <v>75</v>
      </c>
      <c r="AS22" t="s">
        <v>76</v>
      </c>
      <c r="AT22" t="s">
        <v>195</v>
      </c>
      <c r="AU22" t="s">
        <v>35</v>
      </c>
      <c r="AV22" t="s">
        <v>77</v>
      </c>
      <c r="AW22" t="s">
        <v>177</v>
      </c>
      <c r="AX22" t="s">
        <v>189</v>
      </c>
      <c r="AY22" t="s">
        <v>196</v>
      </c>
      <c r="AZ22" t="s">
        <v>197</v>
      </c>
      <c r="BA22" t="s">
        <v>198</v>
      </c>
      <c r="BB22" t="s">
        <v>199</v>
      </c>
      <c r="BC22">
        <v>0</v>
      </c>
      <c r="BD22">
        <v>0</v>
      </c>
      <c r="BE22">
        <v>1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1</v>
      </c>
      <c r="BP22" t="s">
        <v>45</v>
      </c>
      <c r="BQ22" t="s">
        <v>200</v>
      </c>
      <c r="BR22" t="s">
        <v>201</v>
      </c>
      <c r="BS22" t="s">
        <v>75</v>
      </c>
      <c r="BT22" t="s">
        <v>177</v>
      </c>
      <c r="BU22" t="s">
        <v>202</v>
      </c>
      <c r="BV22" t="s">
        <v>203</v>
      </c>
      <c r="BW22" t="s">
        <v>74</v>
      </c>
      <c r="BX22" t="s">
        <v>74</v>
      </c>
      <c r="BZ22" t="s">
        <v>79</v>
      </c>
      <c r="CB22" t="s">
        <v>204</v>
      </c>
    </row>
    <row r="23" spans="1:80" x14ac:dyDescent="0.25">
      <c r="A23" t="str">
        <f>IF(  UPPER(LEFT( tabSuperdettagli[[#This Row],[WBE Status]],1) ) = "S",  "sì",  "no"   )</f>
        <v>no</v>
      </c>
      <c r="B23">
        <v>2022</v>
      </c>
      <c r="C23">
        <f>VLOOKUP(tabSuperdettagli[[#This Row],[WBS_]],'pivot di appoggio'!A:B,2,FALSE)</f>
        <v>2020</v>
      </c>
      <c r="D23" t="str">
        <f>LEFT(tabSuperdettagli[[#This Row],[Network]], 10)</f>
        <v>AAAA.0001</v>
      </c>
      <c r="E23" t="str">
        <f>LEFT(tabSuperdettagli[[#This Row],[Network]], 1)</f>
        <v>A</v>
      </c>
      <c r="F23" t="str">
        <f>LOWER(TRIM( tabSuperdettagli[[#This Row],[Proj. Type ]] ))</f>
        <v/>
      </c>
      <c r="G2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23" t="e">
        <f>IF(  TRIM(#REF!)&gt; "", TRIM(#REF!), TRIM(tabSuperdettagli[[#This Row],[Resp DT]] ) )</f>
        <v>#REF!</v>
      </c>
      <c r="J23" t="str">
        <f>tabSuperdettagli[[#This Row],[07.2025]]</f>
        <v>10</v>
      </c>
      <c r="K23">
        <f>tabSuperdettagli[[#This Row],[Resp del Prodotto]]</f>
        <v>0</v>
      </c>
      <c r="L23">
        <f>tabSuperdettagli[[#This Row],[Area di bdg]]</f>
        <v>1</v>
      </c>
      <c r="W23" t="str">
        <f>tabSuperdettagli[[#This Row],[PROJ CODE]]</f>
        <v>CONV NGP PLATFORM ENG</v>
      </c>
      <c r="X23" t="str">
        <f>tabSuperdettagli[[#This Row],[Resp 2°liv]]&amp;""</f>
        <v>Gamberini G.</v>
      </c>
      <c r="Y2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3" t="str">
        <f>tabSuperdettagli[[#This Row],[WBS Element]]&amp;""</f>
        <v>WBS ddd</v>
      </c>
      <c r="AA23" t="str">
        <f>tabSuperdettagli[[#This Row],[09.2025]]</f>
        <v>319</v>
      </c>
      <c r="AC2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3" t="str">
        <f>LEFT(tabSuperdettagli[[#This Row],[Network]], 18 )</f>
        <v>AAAA.0001</v>
      </c>
      <c r="AE23" t="s">
        <v>187</v>
      </c>
      <c r="AF23" t="s">
        <v>188</v>
      </c>
      <c r="AG23" t="s">
        <v>235</v>
      </c>
      <c r="AH23">
        <v>21</v>
      </c>
      <c r="AI23" t="s">
        <v>305</v>
      </c>
      <c r="AJ23" t="s">
        <v>242</v>
      </c>
      <c r="AK23">
        <v>2023</v>
      </c>
      <c r="AL23" t="s">
        <v>190</v>
      </c>
      <c r="AM23" t="s">
        <v>191</v>
      </c>
      <c r="AN23" t="s">
        <v>192</v>
      </c>
      <c r="AO23" t="s">
        <v>193</v>
      </c>
      <c r="AP23" t="s">
        <v>192</v>
      </c>
      <c r="AQ23" t="s">
        <v>194</v>
      </c>
      <c r="AR23" t="s">
        <v>75</v>
      </c>
      <c r="AS23" t="s">
        <v>76</v>
      </c>
      <c r="AT23" t="s">
        <v>195</v>
      </c>
      <c r="AU23" t="s">
        <v>35</v>
      </c>
      <c r="AV23" t="s">
        <v>77</v>
      </c>
      <c r="AW23" t="s">
        <v>177</v>
      </c>
      <c r="AX23" t="s">
        <v>189</v>
      </c>
      <c r="AY23" t="s">
        <v>196</v>
      </c>
      <c r="AZ23" t="s">
        <v>197</v>
      </c>
      <c r="BA23" t="s">
        <v>198</v>
      </c>
      <c r="BB23" t="s">
        <v>199</v>
      </c>
      <c r="BC23">
        <v>0</v>
      </c>
      <c r="BD23">
        <v>0</v>
      </c>
      <c r="BE23">
        <v>1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1</v>
      </c>
      <c r="BP23" t="s">
        <v>45</v>
      </c>
      <c r="BQ23" t="s">
        <v>200</v>
      </c>
      <c r="BR23" t="s">
        <v>201</v>
      </c>
      <c r="BS23" t="s">
        <v>75</v>
      </c>
      <c r="BT23" t="s">
        <v>177</v>
      </c>
      <c r="BU23" t="s">
        <v>202</v>
      </c>
      <c r="BV23" t="s">
        <v>203</v>
      </c>
      <c r="BW23" t="s">
        <v>74</v>
      </c>
      <c r="BX23" t="s">
        <v>74</v>
      </c>
      <c r="BZ23" t="s">
        <v>79</v>
      </c>
      <c r="CB23" t="s">
        <v>204</v>
      </c>
    </row>
    <row r="24" spans="1:80" x14ac:dyDescent="0.25">
      <c r="A24" t="str">
        <f>IF(  UPPER(LEFT( tabSuperdettagli[[#This Row],[WBE Status]],1) ) = "S",  "sì",  "no"   )</f>
        <v>no</v>
      </c>
      <c r="B24">
        <v>2022</v>
      </c>
      <c r="C24">
        <f>VLOOKUP(tabSuperdettagli[[#This Row],[WBS_]],'pivot di appoggio'!A:B,2,FALSE)</f>
        <v>2020</v>
      </c>
      <c r="D24" t="str">
        <f>LEFT(tabSuperdettagli[[#This Row],[Network]], 10)</f>
        <v>AAAA.0001</v>
      </c>
      <c r="E24" t="str">
        <f>LEFT(tabSuperdettagli[[#This Row],[Network]], 1)</f>
        <v>A</v>
      </c>
      <c r="F24" t="str">
        <f>LOWER(TRIM( tabSuperdettagli[[#This Row],[Proj. Type ]] ))</f>
        <v/>
      </c>
      <c r="G2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24" t="e">
        <f>IF(  TRIM(#REF!)&gt; "", TRIM(#REF!), TRIM(tabSuperdettagli[[#This Row],[Resp DT]] ) )</f>
        <v>#REF!</v>
      </c>
      <c r="J24" t="str">
        <f>tabSuperdettagli[[#This Row],[07.2025]]</f>
        <v>10</v>
      </c>
      <c r="K24">
        <f>tabSuperdettagli[[#This Row],[Resp del Prodotto]]</f>
        <v>0</v>
      </c>
      <c r="L24">
        <f>tabSuperdettagli[[#This Row],[Area di bdg]]</f>
        <v>1</v>
      </c>
      <c r="W24" t="str">
        <f>tabSuperdettagli[[#This Row],[PROJ CODE]]</f>
        <v>CONV NGP PLATFORM ENG</v>
      </c>
      <c r="X24" t="str">
        <f>tabSuperdettagli[[#This Row],[Resp 2°liv]]&amp;""</f>
        <v>Gamberini G.</v>
      </c>
      <c r="Y2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4" t="str">
        <f>tabSuperdettagli[[#This Row],[WBS Element]]&amp;""</f>
        <v>WBS ddd</v>
      </c>
      <c r="AA24" t="str">
        <f>tabSuperdettagli[[#This Row],[09.2025]]</f>
        <v>319</v>
      </c>
      <c r="AC2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4" t="str">
        <f>LEFT(tabSuperdettagli[[#This Row],[Network]], 18 )</f>
        <v>AAAA.0001</v>
      </c>
      <c r="AE24" t="s">
        <v>187</v>
      </c>
      <c r="AF24" t="s">
        <v>188</v>
      </c>
      <c r="AG24" t="s">
        <v>235</v>
      </c>
      <c r="AH24">
        <v>22</v>
      </c>
      <c r="AI24" t="s">
        <v>305</v>
      </c>
      <c r="AJ24" t="s">
        <v>242</v>
      </c>
      <c r="AK24">
        <v>2023</v>
      </c>
      <c r="AL24" t="s">
        <v>190</v>
      </c>
      <c r="AM24" t="s">
        <v>191</v>
      </c>
      <c r="AN24" t="s">
        <v>192</v>
      </c>
      <c r="AO24" t="s">
        <v>193</v>
      </c>
      <c r="AP24" t="s">
        <v>192</v>
      </c>
      <c r="AQ24" t="s">
        <v>194</v>
      </c>
      <c r="AR24" t="s">
        <v>75</v>
      </c>
      <c r="AS24" t="s">
        <v>76</v>
      </c>
      <c r="AT24" t="s">
        <v>195</v>
      </c>
      <c r="AU24" t="s">
        <v>35</v>
      </c>
      <c r="AV24" t="s">
        <v>77</v>
      </c>
      <c r="AW24" t="s">
        <v>177</v>
      </c>
      <c r="AX24" t="s">
        <v>189</v>
      </c>
      <c r="AY24" t="s">
        <v>196</v>
      </c>
      <c r="AZ24" t="s">
        <v>197</v>
      </c>
      <c r="BA24" t="s">
        <v>198</v>
      </c>
      <c r="BB24" t="s">
        <v>199</v>
      </c>
      <c r="BC24">
        <v>0</v>
      </c>
      <c r="BD24">
        <v>0</v>
      </c>
      <c r="BE24">
        <v>1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1</v>
      </c>
      <c r="BP24" t="s">
        <v>45</v>
      </c>
      <c r="BQ24" t="s">
        <v>200</v>
      </c>
      <c r="BR24" t="s">
        <v>201</v>
      </c>
      <c r="BS24" t="s">
        <v>75</v>
      </c>
      <c r="BT24" t="s">
        <v>177</v>
      </c>
      <c r="BU24" t="s">
        <v>202</v>
      </c>
      <c r="BV24" t="s">
        <v>203</v>
      </c>
      <c r="BW24" t="s">
        <v>74</v>
      </c>
      <c r="BX24" t="s">
        <v>74</v>
      </c>
      <c r="BZ24" t="s">
        <v>79</v>
      </c>
      <c r="CB24" t="s">
        <v>204</v>
      </c>
    </row>
    <row r="25" spans="1:80" x14ac:dyDescent="0.25">
      <c r="A25" t="str">
        <f>IF(  UPPER(LEFT( tabSuperdettagli[[#This Row],[WBE Status]],1) ) = "S",  "sì",  "no"   )</f>
        <v>no</v>
      </c>
      <c r="B25">
        <v>2022</v>
      </c>
      <c r="C25">
        <f>VLOOKUP(tabSuperdettagli[[#This Row],[WBS_]],'pivot di appoggio'!A:B,2,FALSE)</f>
        <v>2020</v>
      </c>
      <c r="D25" t="str">
        <f>LEFT(tabSuperdettagli[[#This Row],[Network]], 10)</f>
        <v>AAAA.0001</v>
      </c>
      <c r="E25" t="str">
        <f>LEFT(tabSuperdettagli[[#This Row],[Network]], 1)</f>
        <v>A</v>
      </c>
      <c r="F25" t="str">
        <f>LOWER(TRIM( tabSuperdettagli[[#This Row],[Proj. Type ]] ))</f>
        <v/>
      </c>
      <c r="G2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25" t="e">
        <f>IF(  TRIM(#REF!)&gt; "", TRIM(#REF!), TRIM(tabSuperdettagli[[#This Row],[Resp DT]] ) )</f>
        <v>#REF!</v>
      </c>
      <c r="J25" t="str">
        <f>tabSuperdettagli[[#This Row],[07.2025]]</f>
        <v>10</v>
      </c>
      <c r="K25">
        <f>tabSuperdettagli[[#This Row],[Resp del Prodotto]]</f>
        <v>0</v>
      </c>
      <c r="L25">
        <f>tabSuperdettagli[[#This Row],[Area di bdg]]</f>
        <v>1</v>
      </c>
      <c r="W25" t="str">
        <f>tabSuperdettagli[[#This Row],[PROJ CODE]]</f>
        <v>CONV NGP PLATFORM ENG</v>
      </c>
      <c r="X25" t="str">
        <f>tabSuperdettagli[[#This Row],[Resp 2°liv]]&amp;""</f>
        <v>Gamberini G.</v>
      </c>
      <c r="Y2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5" t="str">
        <f>tabSuperdettagli[[#This Row],[WBS Element]]&amp;""</f>
        <v>WBS ddd</v>
      </c>
      <c r="AA25" t="str">
        <f>tabSuperdettagli[[#This Row],[09.2025]]</f>
        <v>319</v>
      </c>
      <c r="AC2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5" t="str">
        <f>LEFT(tabSuperdettagli[[#This Row],[Network]], 18 )</f>
        <v>AAAA.0001</v>
      </c>
      <c r="AE25" t="s">
        <v>187</v>
      </c>
      <c r="AF25" t="s">
        <v>188</v>
      </c>
      <c r="AG25" t="s">
        <v>235</v>
      </c>
      <c r="AH25">
        <v>23</v>
      </c>
      <c r="AI25" t="s">
        <v>305</v>
      </c>
      <c r="AJ25" t="s">
        <v>242</v>
      </c>
      <c r="AK25">
        <v>2023</v>
      </c>
      <c r="AL25" t="s">
        <v>190</v>
      </c>
      <c r="AM25" t="s">
        <v>191</v>
      </c>
      <c r="AN25" t="s">
        <v>192</v>
      </c>
      <c r="AO25" t="s">
        <v>193</v>
      </c>
      <c r="AP25" t="s">
        <v>192</v>
      </c>
      <c r="AQ25" t="s">
        <v>194</v>
      </c>
      <c r="AR25" t="s">
        <v>75</v>
      </c>
      <c r="AS25" t="s">
        <v>76</v>
      </c>
      <c r="AT25" t="s">
        <v>195</v>
      </c>
      <c r="AU25" t="s">
        <v>35</v>
      </c>
      <c r="AV25" t="s">
        <v>77</v>
      </c>
      <c r="AW25" t="s">
        <v>177</v>
      </c>
      <c r="AX25" t="s">
        <v>189</v>
      </c>
      <c r="AY25" t="s">
        <v>196</v>
      </c>
      <c r="AZ25" t="s">
        <v>197</v>
      </c>
      <c r="BA25" t="s">
        <v>198</v>
      </c>
      <c r="BB25" t="s">
        <v>199</v>
      </c>
      <c r="BC25">
        <v>0</v>
      </c>
      <c r="BD25">
        <v>0</v>
      </c>
      <c r="BE25">
        <v>1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1</v>
      </c>
      <c r="BP25" t="s">
        <v>45</v>
      </c>
      <c r="BQ25" t="s">
        <v>200</v>
      </c>
      <c r="BR25" t="s">
        <v>201</v>
      </c>
      <c r="BS25" t="s">
        <v>75</v>
      </c>
      <c r="BT25" t="s">
        <v>177</v>
      </c>
      <c r="BU25" t="s">
        <v>202</v>
      </c>
      <c r="BV25" t="s">
        <v>203</v>
      </c>
      <c r="BW25" t="s">
        <v>74</v>
      </c>
      <c r="BX25" t="s">
        <v>74</v>
      </c>
      <c r="BZ25" t="s">
        <v>79</v>
      </c>
      <c r="CB25" t="s">
        <v>204</v>
      </c>
    </row>
    <row r="26" spans="1:80" x14ac:dyDescent="0.25">
      <c r="A26" t="str">
        <f>IF(  UPPER(LEFT( tabSuperdettagli[[#This Row],[WBE Status]],1) ) = "S",  "sì",  "no"   )</f>
        <v>no</v>
      </c>
      <c r="B26">
        <v>2022</v>
      </c>
      <c r="C26">
        <f>VLOOKUP(tabSuperdettagli[[#This Row],[WBS_]],'pivot di appoggio'!A:B,2,FALSE)</f>
        <v>2020</v>
      </c>
      <c r="D26" t="str">
        <f>LEFT(tabSuperdettagli[[#This Row],[Network]], 10)</f>
        <v>AAAA.0001</v>
      </c>
      <c r="E26" t="str">
        <f>LEFT(tabSuperdettagli[[#This Row],[Network]], 1)</f>
        <v>A</v>
      </c>
      <c r="F26" t="str">
        <f>LOWER(TRIM( tabSuperdettagli[[#This Row],[Proj. Type ]] ))</f>
        <v/>
      </c>
      <c r="G2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26" t="e">
        <f>IF(  TRIM(#REF!)&gt; "", TRIM(#REF!), TRIM(tabSuperdettagli[[#This Row],[Resp DT]] ) )</f>
        <v>#REF!</v>
      </c>
      <c r="J26" t="str">
        <f>tabSuperdettagli[[#This Row],[07.2025]]</f>
        <v>10</v>
      </c>
      <c r="K26">
        <f>tabSuperdettagli[[#This Row],[Resp del Prodotto]]</f>
        <v>0</v>
      </c>
      <c r="L26">
        <f>tabSuperdettagli[[#This Row],[Area di bdg]]</f>
        <v>1</v>
      </c>
      <c r="W26" t="str">
        <f>tabSuperdettagli[[#This Row],[PROJ CODE]]</f>
        <v>CONV NGP PLATFORM ENG</v>
      </c>
      <c r="X26" t="str">
        <f>tabSuperdettagli[[#This Row],[Resp 2°liv]]&amp;""</f>
        <v>Gamberini G.</v>
      </c>
      <c r="Y2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6" t="str">
        <f>tabSuperdettagli[[#This Row],[WBS Element]]&amp;""</f>
        <v>WBS ddd</v>
      </c>
      <c r="AA26" t="str">
        <f>tabSuperdettagli[[#This Row],[09.2025]]</f>
        <v>319</v>
      </c>
      <c r="AC2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6" t="str">
        <f>LEFT(tabSuperdettagli[[#This Row],[Network]], 18 )</f>
        <v>AAAA.0001</v>
      </c>
      <c r="AE26" t="s">
        <v>187</v>
      </c>
      <c r="AF26" t="s">
        <v>188</v>
      </c>
      <c r="AG26" t="s">
        <v>235</v>
      </c>
      <c r="AH26">
        <v>24</v>
      </c>
      <c r="AI26" t="s">
        <v>305</v>
      </c>
      <c r="AJ26" t="s">
        <v>242</v>
      </c>
      <c r="AK26">
        <v>2023</v>
      </c>
      <c r="AL26" t="s">
        <v>190</v>
      </c>
      <c r="AM26" t="s">
        <v>191</v>
      </c>
      <c r="AN26" t="s">
        <v>192</v>
      </c>
      <c r="AO26" t="s">
        <v>193</v>
      </c>
      <c r="AP26" t="s">
        <v>192</v>
      </c>
      <c r="AQ26" t="s">
        <v>194</v>
      </c>
      <c r="AR26" t="s">
        <v>75</v>
      </c>
      <c r="AS26" t="s">
        <v>76</v>
      </c>
      <c r="AT26" t="s">
        <v>195</v>
      </c>
      <c r="AU26" t="s">
        <v>35</v>
      </c>
      <c r="AV26" t="s">
        <v>77</v>
      </c>
      <c r="AW26" t="s">
        <v>177</v>
      </c>
      <c r="AX26" t="s">
        <v>189</v>
      </c>
      <c r="AY26" t="s">
        <v>196</v>
      </c>
      <c r="AZ26" t="s">
        <v>197</v>
      </c>
      <c r="BA26" t="s">
        <v>198</v>
      </c>
      <c r="BB26" t="s">
        <v>199</v>
      </c>
      <c r="BC26">
        <v>0</v>
      </c>
      <c r="BD26">
        <v>0</v>
      </c>
      <c r="BE26">
        <v>1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1</v>
      </c>
      <c r="BP26" t="s">
        <v>45</v>
      </c>
      <c r="BQ26" t="s">
        <v>200</v>
      </c>
      <c r="BR26" t="s">
        <v>201</v>
      </c>
      <c r="BS26" t="s">
        <v>75</v>
      </c>
      <c r="BT26" t="s">
        <v>177</v>
      </c>
      <c r="BU26" t="s">
        <v>202</v>
      </c>
      <c r="BV26" t="s">
        <v>203</v>
      </c>
      <c r="BW26" t="s">
        <v>74</v>
      </c>
      <c r="BX26" t="s">
        <v>74</v>
      </c>
      <c r="BZ26" t="s">
        <v>79</v>
      </c>
      <c r="CB26" t="s">
        <v>204</v>
      </c>
    </row>
    <row r="27" spans="1:80" x14ac:dyDescent="0.25">
      <c r="A27" t="str">
        <f>IF(  UPPER(LEFT( tabSuperdettagli[[#This Row],[WBE Status]],1) ) = "S",  "sì",  "no"   )</f>
        <v>no</v>
      </c>
      <c r="B27">
        <v>2022</v>
      </c>
      <c r="C27">
        <f>VLOOKUP(tabSuperdettagli[[#This Row],[WBS_]],'pivot di appoggio'!A:B,2,FALSE)</f>
        <v>2020</v>
      </c>
      <c r="D27" t="str">
        <f>LEFT(tabSuperdettagli[[#This Row],[Network]], 10)</f>
        <v>AAAA.0001</v>
      </c>
      <c r="E27" t="str">
        <f>LEFT(tabSuperdettagli[[#This Row],[Network]], 1)</f>
        <v>A</v>
      </c>
      <c r="F27" t="str">
        <f>LOWER(TRIM( tabSuperdettagli[[#This Row],[Proj. Type ]] ))</f>
        <v/>
      </c>
      <c r="G2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27" t="e">
        <f>IF(  TRIM(#REF!)&gt; "", TRIM(#REF!), TRIM(tabSuperdettagli[[#This Row],[Resp DT]] ) )</f>
        <v>#REF!</v>
      </c>
      <c r="J27" t="str">
        <f>tabSuperdettagli[[#This Row],[07.2025]]</f>
        <v>10</v>
      </c>
      <c r="K27">
        <f>tabSuperdettagli[[#This Row],[Resp del Prodotto]]</f>
        <v>0</v>
      </c>
      <c r="L27">
        <f>tabSuperdettagli[[#This Row],[Area di bdg]]</f>
        <v>1</v>
      </c>
      <c r="W27" t="str">
        <f>tabSuperdettagli[[#This Row],[PROJ CODE]]</f>
        <v>CONV NGP PLATFORM ENG</v>
      </c>
      <c r="X27" t="str">
        <f>tabSuperdettagli[[#This Row],[Resp 2°liv]]&amp;""</f>
        <v>Gamberini G.</v>
      </c>
      <c r="Y2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7" t="str">
        <f>tabSuperdettagli[[#This Row],[WBS Element]]&amp;""</f>
        <v>WBS ddd</v>
      </c>
      <c r="AA27" t="str">
        <f>tabSuperdettagli[[#This Row],[09.2025]]</f>
        <v>319</v>
      </c>
      <c r="AC2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7" t="str">
        <f>LEFT(tabSuperdettagli[[#This Row],[Network]], 18 )</f>
        <v>AAAA.0001</v>
      </c>
      <c r="AE27" t="s">
        <v>187</v>
      </c>
      <c r="AF27" t="s">
        <v>188</v>
      </c>
      <c r="AG27" t="s">
        <v>235</v>
      </c>
      <c r="AH27">
        <v>25</v>
      </c>
      <c r="AI27" t="s">
        <v>305</v>
      </c>
      <c r="AJ27" t="s">
        <v>242</v>
      </c>
      <c r="AK27">
        <v>2023</v>
      </c>
      <c r="AL27" t="s">
        <v>190</v>
      </c>
      <c r="AM27" t="s">
        <v>191</v>
      </c>
      <c r="AN27" t="s">
        <v>192</v>
      </c>
      <c r="AO27" t="s">
        <v>193</v>
      </c>
      <c r="AP27" t="s">
        <v>192</v>
      </c>
      <c r="AQ27" t="s">
        <v>194</v>
      </c>
      <c r="AR27" t="s">
        <v>75</v>
      </c>
      <c r="AS27" t="s">
        <v>76</v>
      </c>
      <c r="AT27" t="s">
        <v>195</v>
      </c>
      <c r="AU27" t="s">
        <v>35</v>
      </c>
      <c r="AV27" t="s">
        <v>77</v>
      </c>
      <c r="AW27" t="s">
        <v>177</v>
      </c>
      <c r="AX27" t="s">
        <v>189</v>
      </c>
      <c r="AY27" t="s">
        <v>196</v>
      </c>
      <c r="AZ27" t="s">
        <v>197</v>
      </c>
      <c r="BA27" t="s">
        <v>198</v>
      </c>
      <c r="BB27" t="s">
        <v>199</v>
      </c>
      <c r="BC27">
        <v>0</v>
      </c>
      <c r="BD27">
        <v>0</v>
      </c>
      <c r="BE27">
        <v>1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1</v>
      </c>
      <c r="BP27" t="s">
        <v>45</v>
      </c>
      <c r="BQ27" t="s">
        <v>200</v>
      </c>
      <c r="BR27" t="s">
        <v>201</v>
      </c>
      <c r="BS27" t="s">
        <v>75</v>
      </c>
      <c r="BT27" t="s">
        <v>177</v>
      </c>
      <c r="BU27" t="s">
        <v>202</v>
      </c>
      <c r="BV27" t="s">
        <v>203</v>
      </c>
      <c r="BW27" t="s">
        <v>74</v>
      </c>
      <c r="BX27" t="s">
        <v>74</v>
      </c>
      <c r="BZ27" t="s">
        <v>79</v>
      </c>
      <c r="CB27" t="s">
        <v>204</v>
      </c>
    </row>
    <row r="28" spans="1:80" x14ac:dyDescent="0.25">
      <c r="A28" t="str">
        <f>IF(  UPPER(LEFT( tabSuperdettagli[[#This Row],[WBE Status]],1) ) = "S",  "sì",  "no"   )</f>
        <v>no</v>
      </c>
      <c r="B28">
        <v>2022</v>
      </c>
      <c r="C28">
        <f>VLOOKUP(tabSuperdettagli[[#This Row],[WBS_]],'pivot di appoggio'!A:B,2,FALSE)</f>
        <v>2020</v>
      </c>
      <c r="D28" t="str">
        <f>LEFT(tabSuperdettagli[[#This Row],[Network]], 10)</f>
        <v>AAAA.0001</v>
      </c>
      <c r="E28" t="str">
        <f>LEFT(tabSuperdettagli[[#This Row],[Network]], 1)</f>
        <v>A</v>
      </c>
      <c r="F28" t="str">
        <f>LOWER(TRIM( tabSuperdettagli[[#This Row],[Proj. Type ]] ))</f>
        <v/>
      </c>
      <c r="G2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28" t="e">
        <f>IF(  TRIM(#REF!)&gt; "", TRIM(#REF!), TRIM(tabSuperdettagli[[#This Row],[Resp DT]] ) )</f>
        <v>#REF!</v>
      </c>
      <c r="J28" t="str">
        <f>tabSuperdettagli[[#This Row],[07.2025]]</f>
        <v>10</v>
      </c>
      <c r="K28">
        <f>tabSuperdettagli[[#This Row],[Resp del Prodotto]]</f>
        <v>0</v>
      </c>
      <c r="L28">
        <f>tabSuperdettagli[[#This Row],[Area di bdg]]</f>
        <v>1</v>
      </c>
      <c r="W28" t="str">
        <f>tabSuperdettagli[[#This Row],[PROJ CODE]]</f>
        <v>CONV NGP PLATFORM ENG</v>
      </c>
      <c r="X28" t="str">
        <f>tabSuperdettagli[[#This Row],[Resp 2°liv]]&amp;""</f>
        <v>Gamberini G.</v>
      </c>
      <c r="Y2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8" t="str">
        <f>tabSuperdettagli[[#This Row],[WBS Element]]&amp;""</f>
        <v>WBS ddd</v>
      </c>
      <c r="AA28" t="str">
        <f>tabSuperdettagli[[#This Row],[09.2025]]</f>
        <v>319</v>
      </c>
      <c r="AC2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8" t="str">
        <f>LEFT(tabSuperdettagli[[#This Row],[Network]], 18 )</f>
        <v>AAAA.0001</v>
      </c>
      <c r="AE28" t="s">
        <v>187</v>
      </c>
      <c r="AF28" t="s">
        <v>188</v>
      </c>
      <c r="AG28" t="s">
        <v>235</v>
      </c>
      <c r="AH28">
        <v>26</v>
      </c>
      <c r="AI28" t="s">
        <v>305</v>
      </c>
      <c r="AJ28" t="s">
        <v>242</v>
      </c>
      <c r="AK28">
        <v>2023</v>
      </c>
      <c r="AL28" t="s">
        <v>190</v>
      </c>
      <c r="AM28" t="s">
        <v>191</v>
      </c>
      <c r="AN28" t="s">
        <v>192</v>
      </c>
      <c r="AO28" t="s">
        <v>193</v>
      </c>
      <c r="AP28" t="s">
        <v>192</v>
      </c>
      <c r="AQ28" t="s">
        <v>194</v>
      </c>
      <c r="AR28" t="s">
        <v>75</v>
      </c>
      <c r="AS28" t="s">
        <v>76</v>
      </c>
      <c r="AT28" t="s">
        <v>195</v>
      </c>
      <c r="AU28" t="s">
        <v>35</v>
      </c>
      <c r="AV28" t="s">
        <v>77</v>
      </c>
      <c r="AW28" t="s">
        <v>177</v>
      </c>
      <c r="AX28" t="s">
        <v>189</v>
      </c>
      <c r="AY28" t="s">
        <v>196</v>
      </c>
      <c r="AZ28" t="s">
        <v>197</v>
      </c>
      <c r="BA28" t="s">
        <v>198</v>
      </c>
      <c r="BB28" t="s">
        <v>199</v>
      </c>
      <c r="BC28">
        <v>0</v>
      </c>
      <c r="BD28">
        <v>0</v>
      </c>
      <c r="BE28">
        <v>1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1</v>
      </c>
      <c r="BP28" t="s">
        <v>45</v>
      </c>
      <c r="BQ28" t="s">
        <v>200</v>
      </c>
      <c r="BR28" t="s">
        <v>201</v>
      </c>
      <c r="BS28" t="s">
        <v>75</v>
      </c>
      <c r="BT28" t="s">
        <v>177</v>
      </c>
      <c r="BU28" t="s">
        <v>202</v>
      </c>
      <c r="BV28" t="s">
        <v>203</v>
      </c>
      <c r="BW28" t="s">
        <v>74</v>
      </c>
      <c r="BX28" t="s">
        <v>74</v>
      </c>
      <c r="BZ28" t="s">
        <v>79</v>
      </c>
      <c r="CB28" t="s">
        <v>204</v>
      </c>
    </row>
    <row r="29" spans="1:80" x14ac:dyDescent="0.25">
      <c r="A29" t="str">
        <f>IF(  UPPER(LEFT( tabSuperdettagli[[#This Row],[WBE Status]],1) ) = "S",  "sì",  "no"   )</f>
        <v>no</v>
      </c>
      <c r="B29">
        <v>2022</v>
      </c>
      <c r="C29">
        <f>VLOOKUP(tabSuperdettagli[[#This Row],[WBS_]],'pivot di appoggio'!A:B,2,FALSE)</f>
        <v>2020</v>
      </c>
      <c r="D29" t="str">
        <f>LEFT(tabSuperdettagli[[#This Row],[Network]], 10)</f>
        <v>AAAA.0001</v>
      </c>
      <c r="E29" t="str">
        <f>LEFT(tabSuperdettagli[[#This Row],[Network]], 1)</f>
        <v>A</v>
      </c>
      <c r="F29" t="str">
        <f>LOWER(TRIM( tabSuperdettagli[[#This Row],[Proj. Type ]] ))</f>
        <v/>
      </c>
      <c r="G2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29" t="e">
        <f>IF(  TRIM(#REF!)&gt; "", TRIM(#REF!), TRIM(tabSuperdettagli[[#This Row],[Resp DT]] ) )</f>
        <v>#REF!</v>
      </c>
      <c r="J29" t="str">
        <f>tabSuperdettagli[[#This Row],[07.2025]]</f>
        <v>10</v>
      </c>
      <c r="K29">
        <f>tabSuperdettagli[[#This Row],[Resp del Prodotto]]</f>
        <v>0</v>
      </c>
      <c r="L29">
        <f>tabSuperdettagli[[#This Row],[Area di bdg]]</f>
        <v>1</v>
      </c>
      <c r="W29" t="str">
        <f>tabSuperdettagli[[#This Row],[PROJ CODE]]</f>
        <v>CONV NGP PLATFORM ENG</v>
      </c>
      <c r="X29" t="str">
        <f>tabSuperdettagli[[#This Row],[Resp 2°liv]]&amp;""</f>
        <v>Gamberini G.</v>
      </c>
      <c r="Y2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9" t="str">
        <f>tabSuperdettagli[[#This Row],[WBS Element]]&amp;""</f>
        <v>WBS ddd</v>
      </c>
      <c r="AA29" t="str">
        <f>tabSuperdettagli[[#This Row],[09.2025]]</f>
        <v>319</v>
      </c>
      <c r="AC2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9" t="str">
        <f>LEFT(tabSuperdettagli[[#This Row],[Network]], 18 )</f>
        <v>AAAA.0001</v>
      </c>
      <c r="AE29" t="s">
        <v>187</v>
      </c>
      <c r="AF29" t="s">
        <v>188</v>
      </c>
      <c r="AG29" t="s">
        <v>235</v>
      </c>
      <c r="AH29">
        <v>27</v>
      </c>
      <c r="AI29" t="s">
        <v>305</v>
      </c>
      <c r="AJ29" t="s">
        <v>242</v>
      </c>
      <c r="AK29">
        <v>2023</v>
      </c>
      <c r="AL29" t="s">
        <v>190</v>
      </c>
      <c r="AM29" t="s">
        <v>191</v>
      </c>
      <c r="AN29" t="s">
        <v>192</v>
      </c>
      <c r="AO29" t="s">
        <v>193</v>
      </c>
      <c r="AP29" t="s">
        <v>192</v>
      </c>
      <c r="AQ29" t="s">
        <v>194</v>
      </c>
      <c r="AR29" t="s">
        <v>75</v>
      </c>
      <c r="AS29" t="s">
        <v>76</v>
      </c>
      <c r="AT29" t="s">
        <v>195</v>
      </c>
      <c r="AU29" t="s">
        <v>35</v>
      </c>
      <c r="AV29" t="s">
        <v>77</v>
      </c>
      <c r="AW29" t="s">
        <v>177</v>
      </c>
      <c r="AX29" t="s">
        <v>189</v>
      </c>
      <c r="AY29" t="s">
        <v>196</v>
      </c>
      <c r="AZ29" t="s">
        <v>197</v>
      </c>
      <c r="BA29" t="s">
        <v>198</v>
      </c>
      <c r="BB29" t="s">
        <v>199</v>
      </c>
      <c r="BC29">
        <v>0</v>
      </c>
      <c r="BD29">
        <v>0</v>
      </c>
      <c r="BE29">
        <v>1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1</v>
      </c>
      <c r="BP29" t="s">
        <v>45</v>
      </c>
      <c r="BQ29" t="s">
        <v>200</v>
      </c>
      <c r="BR29" t="s">
        <v>201</v>
      </c>
      <c r="BS29" t="s">
        <v>75</v>
      </c>
      <c r="BT29" t="s">
        <v>177</v>
      </c>
      <c r="BU29" t="s">
        <v>202</v>
      </c>
      <c r="BV29" t="s">
        <v>203</v>
      </c>
      <c r="BW29" t="s">
        <v>74</v>
      </c>
      <c r="BX29" t="s">
        <v>74</v>
      </c>
      <c r="BZ29" t="s">
        <v>79</v>
      </c>
      <c r="CB29" t="s">
        <v>204</v>
      </c>
    </row>
    <row r="30" spans="1:80" x14ac:dyDescent="0.25">
      <c r="A30" t="str">
        <f>IF(  UPPER(LEFT( tabSuperdettagli[[#This Row],[WBE Status]],1) ) = "S",  "sì",  "no"   )</f>
        <v>no</v>
      </c>
      <c r="B30">
        <v>2022</v>
      </c>
      <c r="C30">
        <f>VLOOKUP(tabSuperdettagli[[#This Row],[WBS_]],'pivot di appoggio'!A:B,2,FALSE)</f>
        <v>2020</v>
      </c>
      <c r="D30" t="str">
        <f>LEFT(tabSuperdettagli[[#This Row],[Network]], 10)</f>
        <v>AAAA.0001</v>
      </c>
      <c r="E30" t="str">
        <f>LEFT(tabSuperdettagli[[#This Row],[Network]], 1)</f>
        <v>A</v>
      </c>
      <c r="F30" t="str">
        <f>LOWER(TRIM( tabSuperdettagli[[#This Row],[Proj. Type ]] ))</f>
        <v/>
      </c>
      <c r="G3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30" t="e">
        <f>IF(  TRIM(#REF!)&gt; "", TRIM(#REF!), TRIM(tabSuperdettagli[[#This Row],[Resp DT]] ) )</f>
        <v>#REF!</v>
      </c>
      <c r="J30" t="str">
        <f>tabSuperdettagli[[#This Row],[07.2025]]</f>
        <v>10</v>
      </c>
      <c r="K30">
        <f>tabSuperdettagli[[#This Row],[Resp del Prodotto]]</f>
        <v>0</v>
      </c>
      <c r="L30">
        <f>tabSuperdettagli[[#This Row],[Area di bdg]]</f>
        <v>1</v>
      </c>
      <c r="W30" t="str">
        <f>tabSuperdettagli[[#This Row],[PROJ CODE]]</f>
        <v>CONV NGP PLATFORM ENG</v>
      </c>
      <c r="X30" t="str">
        <f>tabSuperdettagli[[#This Row],[Resp 2°liv]]&amp;""</f>
        <v>Gamberini G.</v>
      </c>
      <c r="Y3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0" t="str">
        <f>tabSuperdettagli[[#This Row],[WBS Element]]&amp;""</f>
        <v>WBS ddd</v>
      </c>
      <c r="AA30" t="str">
        <f>tabSuperdettagli[[#This Row],[09.2025]]</f>
        <v>319</v>
      </c>
      <c r="AC3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0" t="str">
        <f>LEFT(tabSuperdettagli[[#This Row],[Network]], 18 )</f>
        <v>AAAA.0001</v>
      </c>
      <c r="AE30" t="s">
        <v>187</v>
      </c>
      <c r="AF30" t="s">
        <v>188</v>
      </c>
      <c r="AG30" t="s">
        <v>235</v>
      </c>
      <c r="AH30">
        <v>28</v>
      </c>
      <c r="AI30" t="s">
        <v>305</v>
      </c>
      <c r="AJ30" t="s">
        <v>242</v>
      </c>
      <c r="AK30">
        <v>2023</v>
      </c>
      <c r="AL30" t="s">
        <v>190</v>
      </c>
      <c r="AM30" t="s">
        <v>191</v>
      </c>
      <c r="AN30" t="s">
        <v>192</v>
      </c>
      <c r="AO30" t="s">
        <v>193</v>
      </c>
      <c r="AP30" t="s">
        <v>192</v>
      </c>
      <c r="AQ30" t="s">
        <v>194</v>
      </c>
      <c r="AR30" t="s">
        <v>75</v>
      </c>
      <c r="AS30" t="s">
        <v>76</v>
      </c>
      <c r="AT30" t="s">
        <v>195</v>
      </c>
      <c r="AU30" t="s">
        <v>35</v>
      </c>
      <c r="AV30" t="s">
        <v>77</v>
      </c>
      <c r="AW30" t="s">
        <v>177</v>
      </c>
      <c r="AX30" t="s">
        <v>189</v>
      </c>
      <c r="AY30" t="s">
        <v>196</v>
      </c>
      <c r="AZ30" t="s">
        <v>197</v>
      </c>
      <c r="BA30" t="s">
        <v>198</v>
      </c>
      <c r="BB30" t="s">
        <v>199</v>
      </c>
      <c r="BC30">
        <v>0</v>
      </c>
      <c r="BD30">
        <v>0</v>
      </c>
      <c r="BE30">
        <v>1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1</v>
      </c>
      <c r="BP30" t="s">
        <v>45</v>
      </c>
      <c r="BQ30" t="s">
        <v>200</v>
      </c>
      <c r="BR30" t="s">
        <v>201</v>
      </c>
      <c r="BS30" t="s">
        <v>75</v>
      </c>
      <c r="BT30" t="s">
        <v>177</v>
      </c>
      <c r="BU30" t="s">
        <v>202</v>
      </c>
      <c r="BV30" t="s">
        <v>203</v>
      </c>
      <c r="BW30" t="s">
        <v>74</v>
      </c>
      <c r="BX30" t="s">
        <v>74</v>
      </c>
      <c r="BZ30" t="s">
        <v>79</v>
      </c>
      <c r="CB30" t="s">
        <v>204</v>
      </c>
    </row>
    <row r="31" spans="1:80" x14ac:dyDescent="0.25">
      <c r="A31" t="str">
        <f>IF(  UPPER(LEFT( tabSuperdettagli[[#This Row],[WBE Status]],1) ) = "S",  "sì",  "no"   )</f>
        <v>no</v>
      </c>
      <c r="B31">
        <v>2022</v>
      </c>
      <c r="C31">
        <f>VLOOKUP(tabSuperdettagli[[#This Row],[WBS_]],'pivot di appoggio'!A:B,2,FALSE)</f>
        <v>2020</v>
      </c>
      <c r="D31" t="str">
        <f>LEFT(tabSuperdettagli[[#This Row],[Network]], 10)</f>
        <v>AAAA.0001</v>
      </c>
      <c r="E31" t="str">
        <f>LEFT(tabSuperdettagli[[#This Row],[Network]], 1)</f>
        <v>A</v>
      </c>
      <c r="F31" t="str">
        <f>LOWER(TRIM( tabSuperdettagli[[#This Row],[Proj. Type ]] ))</f>
        <v/>
      </c>
      <c r="G3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31" t="e">
        <f>IF(  TRIM(#REF!)&gt; "", TRIM(#REF!), TRIM(tabSuperdettagli[[#This Row],[Resp DT]] ) )</f>
        <v>#REF!</v>
      </c>
      <c r="J31" t="str">
        <f>tabSuperdettagli[[#This Row],[07.2025]]</f>
        <v>10</v>
      </c>
      <c r="K31">
        <f>tabSuperdettagli[[#This Row],[Resp del Prodotto]]</f>
        <v>0</v>
      </c>
      <c r="L31">
        <f>tabSuperdettagli[[#This Row],[Area di bdg]]</f>
        <v>1</v>
      </c>
      <c r="W31" t="str">
        <f>tabSuperdettagli[[#This Row],[PROJ CODE]]</f>
        <v>CONV NGP PLATFORM ENG</v>
      </c>
      <c r="X31" t="str">
        <f>tabSuperdettagli[[#This Row],[Resp 2°liv]]&amp;""</f>
        <v>Gamberini G.</v>
      </c>
      <c r="Y3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1" t="str">
        <f>tabSuperdettagli[[#This Row],[WBS Element]]&amp;""</f>
        <v>WBS ddd</v>
      </c>
      <c r="AA31" t="str">
        <f>tabSuperdettagli[[#This Row],[09.2025]]</f>
        <v>319</v>
      </c>
      <c r="AC3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1" t="str">
        <f>LEFT(tabSuperdettagli[[#This Row],[Network]], 18 )</f>
        <v>AAAA.0001</v>
      </c>
      <c r="AE31" t="s">
        <v>187</v>
      </c>
      <c r="AF31" t="s">
        <v>188</v>
      </c>
      <c r="AG31" t="s">
        <v>235</v>
      </c>
      <c r="AH31">
        <v>29</v>
      </c>
      <c r="AI31" t="s">
        <v>305</v>
      </c>
      <c r="AJ31" t="s">
        <v>242</v>
      </c>
      <c r="AK31">
        <v>2023</v>
      </c>
      <c r="AL31" t="s">
        <v>190</v>
      </c>
      <c r="AM31" t="s">
        <v>191</v>
      </c>
      <c r="AN31" t="s">
        <v>192</v>
      </c>
      <c r="AO31" t="s">
        <v>193</v>
      </c>
      <c r="AP31" t="s">
        <v>192</v>
      </c>
      <c r="AQ31" t="s">
        <v>194</v>
      </c>
      <c r="AR31" t="s">
        <v>75</v>
      </c>
      <c r="AS31" t="s">
        <v>76</v>
      </c>
      <c r="AT31" t="s">
        <v>195</v>
      </c>
      <c r="AU31" t="s">
        <v>35</v>
      </c>
      <c r="AV31" t="s">
        <v>77</v>
      </c>
      <c r="AW31" t="s">
        <v>177</v>
      </c>
      <c r="AX31" t="s">
        <v>189</v>
      </c>
      <c r="AY31" t="s">
        <v>196</v>
      </c>
      <c r="AZ31" t="s">
        <v>197</v>
      </c>
      <c r="BA31" t="s">
        <v>198</v>
      </c>
      <c r="BB31" t="s">
        <v>199</v>
      </c>
      <c r="BC31">
        <v>0</v>
      </c>
      <c r="BD31">
        <v>0</v>
      </c>
      <c r="BE31">
        <v>1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1</v>
      </c>
      <c r="BP31" t="s">
        <v>45</v>
      </c>
      <c r="BQ31" t="s">
        <v>200</v>
      </c>
      <c r="BR31" t="s">
        <v>201</v>
      </c>
      <c r="BS31" t="s">
        <v>75</v>
      </c>
      <c r="BT31" t="s">
        <v>177</v>
      </c>
      <c r="BU31" t="s">
        <v>202</v>
      </c>
      <c r="BV31" t="s">
        <v>203</v>
      </c>
      <c r="BW31" t="s">
        <v>74</v>
      </c>
      <c r="BX31" t="s">
        <v>74</v>
      </c>
      <c r="BZ31" t="s">
        <v>79</v>
      </c>
      <c r="CB31" t="s">
        <v>204</v>
      </c>
    </row>
    <row r="32" spans="1:80" x14ac:dyDescent="0.25">
      <c r="A32" t="str">
        <f>IF(  UPPER(LEFT( tabSuperdettagli[[#This Row],[WBE Status]],1) ) = "S",  "sì",  "no"   )</f>
        <v>no</v>
      </c>
      <c r="B32">
        <v>2022</v>
      </c>
      <c r="C32">
        <f>VLOOKUP(tabSuperdettagli[[#This Row],[WBS_]],'pivot di appoggio'!A:B,2,FALSE)</f>
        <v>2020</v>
      </c>
      <c r="D32" t="str">
        <f>LEFT(tabSuperdettagli[[#This Row],[Network]], 10)</f>
        <v>AAAA.0001</v>
      </c>
      <c r="E32" t="str">
        <f>LEFT(tabSuperdettagli[[#This Row],[Network]], 1)</f>
        <v>A</v>
      </c>
      <c r="F32" t="str">
        <f>LOWER(TRIM( tabSuperdettagli[[#This Row],[Proj. Type ]] ))</f>
        <v/>
      </c>
      <c r="G3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32" t="e">
        <f>IF(  TRIM(#REF!)&gt; "", TRIM(#REF!), TRIM(tabSuperdettagli[[#This Row],[Resp DT]] ) )</f>
        <v>#REF!</v>
      </c>
      <c r="J32" t="str">
        <f>tabSuperdettagli[[#This Row],[07.2025]]</f>
        <v>10</v>
      </c>
      <c r="K32">
        <f>tabSuperdettagli[[#This Row],[Resp del Prodotto]]</f>
        <v>0</v>
      </c>
      <c r="L32">
        <f>tabSuperdettagli[[#This Row],[Area di bdg]]</f>
        <v>1</v>
      </c>
      <c r="W32" t="str">
        <f>tabSuperdettagli[[#This Row],[PROJ CODE]]</f>
        <v>CONV NGP PLATFORM ENG</v>
      </c>
      <c r="X32" t="str">
        <f>tabSuperdettagli[[#This Row],[Resp 2°liv]]&amp;""</f>
        <v>Gamberini G.</v>
      </c>
      <c r="Y3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2" t="str">
        <f>tabSuperdettagli[[#This Row],[WBS Element]]&amp;""</f>
        <v>WBS ddd</v>
      </c>
      <c r="AA32" t="str">
        <f>tabSuperdettagli[[#This Row],[09.2025]]</f>
        <v>319</v>
      </c>
      <c r="AC3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2" t="str">
        <f>LEFT(tabSuperdettagli[[#This Row],[Network]], 18 )</f>
        <v>AAAA.0001</v>
      </c>
      <c r="AE32" t="s">
        <v>187</v>
      </c>
      <c r="AF32" t="s">
        <v>188</v>
      </c>
      <c r="AG32" t="s">
        <v>235</v>
      </c>
      <c r="AH32">
        <v>30</v>
      </c>
      <c r="AI32" t="s">
        <v>305</v>
      </c>
      <c r="AJ32" t="s">
        <v>242</v>
      </c>
      <c r="AK32">
        <v>2023</v>
      </c>
      <c r="AL32" t="s">
        <v>190</v>
      </c>
      <c r="AM32" t="s">
        <v>191</v>
      </c>
      <c r="AN32" t="s">
        <v>192</v>
      </c>
      <c r="AO32" t="s">
        <v>193</v>
      </c>
      <c r="AP32" t="s">
        <v>192</v>
      </c>
      <c r="AQ32" t="s">
        <v>194</v>
      </c>
      <c r="AR32" t="s">
        <v>75</v>
      </c>
      <c r="AS32" t="s">
        <v>76</v>
      </c>
      <c r="AT32" t="s">
        <v>195</v>
      </c>
      <c r="AU32" t="s">
        <v>35</v>
      </c>
      <c r="AV32" t="s">
        <v>77</v>
      </c>
      <c r="AW32" t="s">
        <v>177</v>
      </c>
      <c r="AX32" t="s">
        <v>189</v>
      </c>
      <c r="AY32" t="s">
        <v>196</v>
      </c>
      <c r="AZ32" t="s">
        <v>197</v>
      </c>
      <c r="BA32" t="s">
        <v>198</v>
      </c>
      <c r="BB32" t="s">
        <v>199</v>
      </c>
      <c r="BC32">
        <v>0</v>
      </c>
      <c r="BD32">
        <v>0</v>
      </c>
      <c r="BE32">
        <v>1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1</v>
      </c>
      <c r="BP32" t="s">
        <v>45</v>
      </c>
      <c r="BQ32" t="s">
        <v>200</v>
      </c>
      <c r="BR32" t="s">
        <v>201</v>
      </c>
      <c r="BS32" t="s">
        <v>75</v>
      </c>
      <c r="BT32" t="s">
        <v>177</v>
      </c>
      <c r="BU32" t="s">
        <v>202</v>
      </c>
      <c r="BV32" t="s">
        <v>203</v>
      </c>
      <c r="BW32" t="s">
        <v>74</v>
      </c>
      <c r="BX32" t="s">
        <v>74</v>
      </c>
      <c r="BZ32" t="s">
        <v>79</v>
      </c>
      <c r="CB32" t="s">
        <v>204</v>
      </c>
    </row>
    <row r="33" spans="1:80" x14ac:dyDescent="0.25">
      <c r="A33" t="str">
        <f>IF(  UPPER(LEFT( tabSuperdettagli[[#This Row],[WBE Status]],1) ) = "S",  "sì",  "no"   )</f>
        <v>no</v>
      </c>
      <c r="B33">
        <v>2022</v>
      </c>
      <c r="C33">
        <f>VLOOKUP(tabSuperdettagli[[#This Row],[WBS_]],'pivot di appoggio'!A:B,2,FALSE)</f>
        <v>2020</v>
      </c>
      <c r="D33" t="str">
        <f>LEFT(tabSuperdettagli[[#This Row],[Network]], 10)</f>
        <v>AAAA.0001</v>
      </c>
      <c r="E33" t="str">
        <f>LEFT(tabSuperdettagli[[#This Row],[Network]], 1)</f>
        <v>A</v>
      </c>
      <c r="F33" t="str">
        <f>LOWER(TRIM( tabSuperdettagli[[#This Row],[Proj. Type ]] ))</f>
        <v/>
      </c>
      <c r="G3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33" t="e">
        <f>IF(  TRIM(#REF!)&gt; "", TRIM(#REF!), TRIM(tabSuperdettagli[[#This Row],[Resp DT]] ) )</f>
        <v>#REF!</v>
      </c>
      <c r="J33" t="str">
        <f>tabSuperdettagli[[#This Row],[07.2025]]</f>
        <v>10</v>
      </c>
      <c r="K33">
        <f>tabSuperdettagli[[#This Row],[Resp del Prodotto]]</f>
        <v>0</v>
      </c>
      <c r="L33">
        <f>tabSuperdettagli[[#This Row],[Area di bdg]]</f>
        <v>1</v>
      </c>
      <c r="W33" t="str">
        <f>tabSuperdettagli[[#This Row],[PROJ CODE]]</f>
        <v>CONV NGP PLATFORM ENG</v>
      </c>
      <c r="X33" t="str">
        <f>tabSuperdettagli[[#This Row],[Resp 2°liv]]&amp;""</f>
        <v>Gamberini G.</v>
      </c>
      <c r="Y3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3" t="str">
        <f>tabSuperdettagli[[#This Row],[WBS Element]]&amp;""</f>
        <v>WBS ddd</v>
      </c>
      <c r="AA33" t="str">
        <f>tabSuperdettagli[[#This Row],[09.2025]]</f>
        <v>319</v>
      </c>
      <c r="AC3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3" t="str">
        <f>LEFT(tabSuperdettagli[[#This Row],[Network]], 18 )</f>
        <v>AAAA.0001</v>
      </c>
      <c r="AE33" t="s">
        <v>187</v>
      </c>
      <c r="AF33" t="s">
        <v>188</v>
      </c>
      <c r="AG33" t="s">
        <v>235</v>
      </c>
      <c r="AH33">
        <v>31</v>
      </c>
      <c r="AI33" t="s">
        <v>305</v>
      </c>
      <c r="AJ33" t="s">
        <v>242</v>
      </c>
      <c r="AK33">
        <v>2023</v>
      </c>
      <c r="AL33" t="s">
        <v>190</v>
      </c>
      <c r="AM33" t="s">
        <v>191</v>
      </c>
      <c r="AN33" t="s">
        <v>192</v>
      </c>
      <c r="AO33" t="s">
        <v>193</v>
      </c>
      <c r="AP33" t="s">
        <v>192</v>
      </c>
      <c r="AQ33" t="s">
        <v>194</v>
      </c>
      <c r="AR33" t="s">
        <v>75</v>
      </c>
      <c r="AS33" t="s">
        <v>76</v>
      </c>
      <c r="AT33" t="s">
        <v>195</v>
      </c>
      <c r="AU33" t="s">
        <v>35</v>
      </c>
      <c r="AV33" t="s">
        <v>77</v>
      </c>
      <c r="AW33" t="s">
        <v>177</v>
      </c>
      <c r="AX33" t="s">
        <v>189</v>
      </c>
      <c r="AY33" t="s">
        <v>196</v>
      </c>
      <c r="AZ33" t="s">
        <v>197</v>
      </c>
      <c r="BA33" t="s">
        <v>198</v>
      </c>
      <c r="BB33" t="s">
        <v>199</v>
      </c>
      <c r="BC33">
        <v>0</v>
      </c>
      <c r="BD33">
        <v>0</v>
      </c>
      <c r="BE33">
        <v>1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1</v>
      </c>
      <c r="BP33" t="s">
        <v>45</v>
      </c>
      <c r="BQ33" t="s">
        <v>200</v>
      </c>
      <c r="BR33" t="s">
        <v>201</v>
      </c>
      <c r="BS33" t="s">
        <v>75</v>
      </c>
      <c r="BT33" t="s">
        <v>177</v>
      </c>
      <c r="BU33" t="s">
        <v>202</v>
      </c>
      <c r="BV33" t="s">
        <v>203</v>
      </c>
      <c r="BW33" t="s">
        <v>74</v>
      </c>
      <c r="BX33" t="s">
        <v>74</v>
      </c>
      <c r="BZ33" t="s">
        <v>79</v>
      </c>
      <c r="CB33" t="s">
        <v>204</v>
      </c>
    </row>
    <row r="34" spans="1:80" x14ac:dyDescent="0.25">
      <c r="A34" t="str">
        <f>IF(  UPPER(LEFT( tabSuperdettagli[[#This Row],[WBE Status]],1) ) = "S",  "sì",  "no"   )</f>
        <v>no</v>
      </c>
      <c r="B34">
        <v>2022</v>
      </c>
      <c r="C34">
        <f>VLOOKUP(tabSuperdettagli[[#This Row],[WBS_]],'pivot di appoggio'!A:B,2,FALSE)</f>
        <v>2020</v>
      </c>
      <c r="D34" t="str">
        <f>LEFT(tabSuperdettagli[[#This Row],[Network]], 10)</f>
        <v>AAAA.0001</v>
      </c>
      <c r="E34" t="str">
        <f>LEFT(tabSuperdettagli[[#This Row],[Network]], 1)</f>
        <v>A</v>
      </c>
      <c r="F34" t="str">
        <f>LOWER(TRIM( tabSuperdettagli[[#This Row],[Proj. Type ]] ))</f>
        <v/>
      </c>
      <c r="G3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34" t="e">
        <f>IF(  TRIM(#REF!)&gt; "", TRIM(#REF!), TRIM(tabSuperdettagli[[#This Row],[Resp DT]] ) )</f>
        <v>#REF!</v>
      </c>
      <c r="J34" t="str">
        <f>tabSuperdettagli[[#This Row],[07.2025]]</f>
        <v>10</v>
      </c>
      <c r="K34">
        <f>tabSuperdettagli[[#This Row],[Resp del Prodotto]]</f>
        <v>0</v>
      </c>
      <c r="L34">
        <f>tabSuperdettagli[[#This Row],[Area di bdg]]</f>
        <v>1</v>
      </c>
      <c r="W34" t="str">
        <f>tabSuperdettagli[[#This Row],[PROJ CODE]]</f>
        <v>CONV NGP PLATFORM ENG</v>
      </c>
      <c r="X34" t="str">
        <f>tabSuperdettagli[[#This Row],[Resp 2°liv]]&amp;""</f>
        <v>Gamberini G.</v>
      </c>
      <c r="Y3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4" t="str">
        <f>tabSuperdettagli[[#This Row],[WBS Element]]&amp;""</f>
        <v>WBS ddd</v>
      </c>
      <c r="AA34" t="str">
        <f>tabSuperdettagli[[#This Row],[09.2025]]</f>
        <v>319</v>
      </c>
      <c r="AC3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4" t="str">
        <f>LEFT(tabSuperdettagli[[#This Row],[Network]], 18 )</f>
        <v>AAAA.0001</v>
      </c>
      <c r="AE34" t="s">
        <v>187</v>
      </c>
      <c r="AF34" t="s">
        <v>188</v>
      </c>
      <c r="AG34" t="s">
        <v>235</v>
      </c>
      <c r="AH34">
        <v>32</v>
      </c>
      <c r="AI34" t="s">
        <v>305</v>
      </c>
      <c r="AJ34" t="s">
        <v>242</v>
      </c>
      <c r="AK34">
        <v>2023</v>
      </c>
      <c r="AL34" t="s">
        <v>190</v>
      </c>
      <c r="AM34" t="s">
        <v>191</v>
      </c>
      <c r="AN34" t="s">
        <v>192</v>
      </c>
      <c r="AO34" t="s">
        <v>193</v>
      </c>
      <c r="AP34" t="s">
        <v>192</v>
      </c>
      <c r="AQ34" t="s">
        <v>194</v>
      </c>
      <c r="AR34" t="s">
        <v>75</v>
      </c>
      <c r="AS34" t="s">
        <v>76</v>
      </c>
      <c r="AT34" t="s">
        <v>195</v>
      </c>
      <c r="AU34" t="s">
        <v>35</v>
      </c>
      <c r="AV34" t="s">
        <v>77</v>
      </c>
      <c r="AW34" t="s">
        <v>177</v>
      </c>
      <c r="AX34" t="s">
        <v>189</v>
      </c>
      <c r="AY34" t="s">
        <v>196</v>
      </c>
      <c r="AZ34" t="s">
        <v>197</v>
      </c>
      <c r="BA34" t="s">
        <v>198</v>
      </c>
      <c r="BB34" t="s">
        <v>199</v>
      </c>
      <c r="BC34">
        <v>0</v>
      </c>
      <c r="BD34">
        <v>0</v>
      </c>
      <c r="BE34">
        <v>1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1</v>
      </c>
      <c r="BP34" t="s">
        <v>45</v>
      </c>
      <c r="BQ34" t="s">
        <v>200</v>
      </c>
      <c r="BR34" t="s">
        <v>201</v>
      </c>
      <c r="BS34" t="s">
        <v>75</v>
      </c>
      <c r="BT34" t="s">
        <v>177</v>
      </c>
      <c r="BU34" t="s">
        <v>202</v>
      </c>
      <c r="BV34" t="s">
        <v>203</v>
      </c>
      <c r="BW34" t="s">
        <v>74</v>
      </c>
      <c r="BX34" t="s">
        <v>74</v>
      </c>
      <c r="BZ34" t="s">
        <v>79</v>
      </c>
      <c r="CB34" t="s">
        <v>204</v>
      </c>
    </row>
    <row r="35" spans="1:80" x14ac:dyDescent="0.25">
      <c r="A35" t="str">
        <f>IF(  UPPER(LEFT( tabSuperdettagli[[#This Row],[WBE Status]],1) ) = "S",  "sì",  "no"   )</f>
        <v>no</v>
      </c>
      <c r="B35">
        <v>2022</v>
      </c>
      <c r="C35">
        <f>VLOOKUP(tabSuperdettagli[[#This Row],[WBS_]],'pivot di appoggio'!A:B,2,FALSE)</f>
        <v>2020</v>
      </c>
      <c r="D35" t="str">
        <f>LEFT(tabSuperdettagli[[#This Row],[Network]], 10)</f>
        <v>AAAA.0001</v>
      </c>
      <c r="E35" t="str">
        <f>LEFT(tabSuperdettagli[[#This Row],[Network]], 1)</f>
        <v>A</v>
      </c>
      <c r="F35" t="str">
        <f>LOWER(TRIM( tabSuperdettagli[[#This Row],[Proj. Type ]] ))</f>
        <v/>
      </c>
      <c r="G3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35" t="e">
        <f>IF(  TRIM(#REF!)&gt; "", TRIM(#REF!), TRIM(tabSuperdettagli[[#This Row],[Resp DT]] ) )</f>
        <v>#REF!</v>
      </c>
      <c r="J35" t="str">
        <f>tabSuperdettagli[[#This Row],[07.2025]]</f>
        <v>10</v>
      </c>
      <c r="K35">
        <f>tabSuperdettagli[[#This Row],[Resp del Prodotto]]</f>
        <v>0</v>
      </c>
      <c r="L35">
        <f>tabSuperdettagli[[#This Row],[Area di bdg]]</f>
        <v>1</v>
      </c>
      <c r="W35" t="str">
        <f>tabSuperdettagli[[#This Row],[PROJ CODE]]</f>
        <v>CONV NGP PLATFORM ENG</v>
      </c>
      <c r="X35" t="str">
        <f>tabSuperdettagli[[#This Row],[Resp 2°liv]]&amp;""</f>
        <v>Gamberini G.</v>
      </c>
      <c r="Y3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5" t="str">
        <f>tabSuperdettagli[[#This Row],[WBS Element]]&amp;""</f>
        <v>WBS ddd</v>
      </c>
      <c r="AA35" t="str">
        <f>tabSuperdettagli[[#This Row],[09.2025]]</f>
        <v>319</v>
      </c>
      <c r="AC3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5" t="str">
        <f>LEFT(tabSuperdettagli[[#This Row],[Network]], 18 )</f>
        <v>AAAA.0001</v>
      </c>
      <c r="AE35" t="s">
        <v>187</v>
      </c>
      <c r="AF35" t="s">
        <v>188</v>
      </c>
      <c r="AG35" t="s">
        <v>235</v>
      </c>
      <c r="AH35">
        <v>33</v>
      </c>
      <c r="AI35" t="s">
        <v>305</v>
      </c>
      <c r="AJ35" t="s">
        <v>242</v>
      </c>
      <c r="AK35">
        <v>2023</v>
      </c>
      <c r="AL35" t="s">
        <v>190</v>
      </c>
      <c r="AM35" t="s">
        <v>191</v>
      </c>
      <c r="AN35" t="s">
        <v>192</v>
      </c>
      <c r="AO35" t="s">
        <v>193</v>
      </c>
      <c r="AP35" t="s">
        <v>192</v>
      </c>
      <c r="AQ35" t="s">
        <v>194</v>
      </c>
      <c r="AR35" t="s">
        <v>75</v>
      </c>
      <c r="AS35" t="s">
        <v>76</v>
      </c>
      <c r="AT35" t="s">
        <v>195</v>
      </c>
      <c r="AU35" t="s">
        <v>35</v>
      </c>
      <c r="AV35" t="s">
        <v>77</v>
      </c>
      <c r="AW35" t="s">
        <v>177</v>
      </c>
      <c r="AX35" t="s">
        <v>189</v>
      </c>
      <c r="AY35" t="s">
        <v>196</v>
      </c>
      <c r="AZ35" t="s">
        <v>197</v>
      </c>
      <c r="BA35" t="s">
        <v>198</v>
      </c>
      <c r="BB35" t="s">
        <v>199</v>
      </c>
      <c r="BC35">
        <v>0</v>
      </c>
      <c r="BD35">
        <v>0</v>
      </c>
      <c r="BE35">
        <v>1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1</v>
      </c>
      <c r="BP35" t="s">
        <v>45</v>
      </c>
      <c r="BQ35" t="s">
        <v>200</v>
      </c>
      <c r="BR35" t="s">
        <v>201</v>
      </c>
      <c r="BS35" t="s">
        <v>75</v>
      </c>
      <c r="BT35" t="s">
        <v>177</v>
      </c>
      <c r="BU35" t="s">
        <v>202</v>
      </c>
      <c r="BV35" t="s">
        <v>203</v>
      </c>
      <c r="BW35" t="s">
        <v>74</v>
      </c>
      <c r="BX35" t="s">
        <v>74</v>
      </c>
      <c r="BZ35" t="s">
        <v>79</v>
      </c>
      <c r="CB35" t="s">
        <v>204</v>
      </c>
    </row>
    <row r="36" spans="1:80" x14ac:dyDescent="0.25">
      <c r="A36" t="str">
        <f>IF(  UPPER(LEFT( tabSuperdettagli[[#This Row],[WBE Status]],1) ) = "S",  "sì",  "no"   )</f>
        <v>no</v>
      </c>
      <c r="B36">
        <v>2022</v>
      </c>
      <c r="C36">
        <f>VLOOKUP(tabSuperdettagli[[#This Row],[WBS_]],'pivot di appoggio'!A:B,2,FALSE)</f>
        <v>2020</v>
      </c>
      <c r="D36" t="str">
        <f>LEFT(tabSuperdettagli[[#This Row],[Network]], 10)</f>
        <v>AAAA.0001</v>
      </c>
      <c r="E36" t="str">
        <f>LEFT(tabSuperdettagli[[#This Row],[Network]], 1)</f>
        <v>A</v>
      </c>
      <c r="F36" t="str">
        <f>LOWER(TRIM( tabSuperdettagli[[#This Row],[Proj. Type ]] ))</f>
        <v/>
      </c>
      <c r="G3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36" t="e">
        <f>IF(  TRIM(#REF!)&gt; "", TRIM(#REF!), TRIM(tabSuperdettagli[[#This Row],[Resp DT]] ) )</f>
        <v>#REF!</v>
      </c>
      <c r="J36" t="str">
        <f>tabSuperdettagli[[#This Row],[07.2025]]</f>
        <v>10</v>
      </c>
      <c r="K36">
        <f>tabSuperdettagli[[#This Row],[Resp del Prodotto]]</f>
        <v>0</v>
      </c>
      <c r="L36">
        <f>tabSuperdettagli[[#This Row],[Area di bdg]]</f>
        <v>1</v>
      </c>
      <c r="W36" t="str">
        <f>tabSuperdettagli[[#This Row],[PROJ CODE]]</f>
        <v>CONV NGP PLATFORM ENG</v>
      </c>
      <c r="X36" t="str">
        <f>tabSuperdettagli[[#This Row],[Resp 2°liv]]&amp;""</f>
        <v>Gamberini G.</v>
      </c>
      <c r="Y3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6" t="str">
        <f>tabSuperdettagli[[#This Row],[WBS Element]]&amp;""</f>
        <v>WBS ddd</v>
      </c>
      <c r="AA36" t="str">
        <f>tabSuperdettagli[[#This Row],[09.2025]]</f>
        <v>319</v>
      </c>
      <c r="AC3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6" t="str">
        <f>LEFT(tabSuperdettagli[[#This Row],[Network]], 18 )</f>
        <v>AAAA.0001</v>
      </c>
      <c r="AE36" t="s">
        <v>187</v>
      </c>
      <c r="AF36" t="s">
        <v>188</v>
      </c>
      <c r="AG36" t="s">
        <v>235</v>
      </c>
      <c r="AH36">
        <v>34</v>
      </c>
      <c r="AI36" t="s">
        <v>305</v>
      </c>
      <c r="AJ36" t="s">
        <v>242</v>
      </c>
      <c r="AK36">
        <v>2023</v>
      </c>
      <c r="AL36" t="s">
        <v>190</v>
      </c>
      <c r="AM36" t="s">
        <v>191</v>
      </c>
      <c r="AN36" t="s">
        <v>192</v>
      </c>
      <c r="AO36" t="s">
        <v>193</v>
      </c>
      <c r="AP36" t="s">
        <v>192</v>
      </c>
      <c r="AQ36" t="s">
        <v>194</v>
      </c>
      <c r="AR36" t="s">
        <v>75</v>
      </c>
      <c r="AS36" t="s">
        <v>76</v>
      </c>
      <c r="AT36" t="s">
        <v>195</v>
      </c>
      <c r="AU36" t="s">
        <v>35</v>
      </c>
      <c r="AV36" t="s">
        <v>77</v>
      </c>
      <c r="AW36" t="s">
        <v>177</v>
      </c>
      <c r="AX36" t="s">
        <v>189</v>
      </c>
      <c r="AY36" t="s">
        <v>196</v>
      </c>
      <c r="AZ36" t="s">
        <v>197</v>
      </c>
      <c r="BA36" t="s">
        <v>198</v>
      </c>
      <c r="BB36" t="s">
        <v>199</v>
      </c>
      <c r="BC36">
        <v>0</v>
      </c>
      <c r="BD36">
        <v>0</v>
      </c>
      <c r="BE36">
        <v>1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1</v>
      </c>
      <c r="BP36" t="s">
        <v>45</v>
      </c>
      <c r="BQ36" t="s">
        <v>200</v>
      </c>
      <c r="BR36" t="s">
        <v>201</v>
      </c>
      <c r="BS36" t="s">
        <v>75</v>
      </c>
      <c r="BT36" t="s">
        <v>177</v>
      </c>
      <c r="BU36" t="s">
        <v>202</v>
      </c>
      <c r="BV36" t="s">
        <v>203</v>
      </c>
      <c r="BW36" t="s">
        <v>74</v>
      </c>
      <c r="BX36" t="s">
        <v>74</v>
      </c>
      <c r="BZ36" t="s">
        <v>79</v>
      </c>
      <c r="CB36" t="s">
        <v>204</v>
      </c>
    </row>
    <row r="37" spans="1:80" x14ac:dyDescent="0.25">
      <c r="A37" t="str">
        <f>IF(  UPPER(LEFT( tabSuperdettagli[[#This Row],[WBE Status]],1) ) = "S",  "sì",  "no"   )</f>
        <v>no</v>
      </c>
      <c r="B37">
        <v>2022</v>
      </c>
      <c r="C37">
        <f>VLOOKUP(tabSuperdettagli[[#This Row],[WBS_]],'pivot di appoggio'!A:B,2,FALSE)</f>
        <v>2020</v>
      </c>
      <c r="D37" t="str">
        <f>LEFT(tabSuperdettagli[[#This Row],[Network]], 10)</f>
        <v>AAAA.0001</v>
      </c>
      <c r="E37" t="str">
        <f>LEFT(tabSuperdettagli[[#This Row],[Network]], 1)</f>
        <v>A</v>
      </c>
      <c r="F37" t="str">
        <f>LOWER(TRIM( tabSuperdettagli[[#This Row],[Proj. Type ]] ))</f>
        <v/>
      </c>
      <c r="G3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37" t="e">
        <f>IF(  TRIM(#REF!)&gt; "", TRIM(#REF!), TRIM(tabSuperdettagli[[#This Row],[Resp DT]] ) )</f>
        <v>#REF!</v>
      </c>
      <c r="J37" t="str">
        <f>tabSuperdettagli[[#This Row],[07.2025]]</f>
        <v>10</v>
      </c>
      <c r="K37">
        <f>tabSuperdettagli[[#This Row],[Resp del Prodotto]]</f>
        <v>0</v>
      </c>
      <c r="L37">
        <f>tabSuperdettagli[[#This Row],[Area di bdg]]</f>
        <v>1</v>
      </c>
      <c r="W37" t="str">
        <f>tabSuperdettagli[[#This Row],[PROJ CODE]]</f>
        <v>CONV NGP PLATFORM ENG</v>
      </c>
      <c r="X37" t="str">
        <f>tabSuperdettagli[[#This Row],[Resp 2°liv]]&amp;""</f>
        <v>Gamberini G.</v>
      </c>
      <c r="Y3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7" t="str">
        <f>tabSuperdettagli[[#This Row],[WBS Element]]&amp;""</f>
        <v>WBS ddd</v>
      </c>
      <c r="AA37" t="str">
        <f>tabSuperdettagli[[#This Row],[09.2025]]</f>
        <v>319</v>
      </c>
      <c r="AC3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7" t="str">
        <f>LEFT(tabSuperdettagli[[#This Row],[Network]], 18 )</f>
        <v>AAAA.0001</v>
      </c>
      <c r="AE37" t="s">
        <v>187</v>
      </c>
      <c r="AF37" t="s">
        <v>188</v>
      </c>
      <c r="AG37" t="s">
        <v>235</v>
      </c>
      <c r="AH37">
        <v>35</v>
      </c>
      <c r="AI37" t="s">
        <v>305</v>
      </c>
      <c r="AJ37" t="s">
        <v>242</v>
      </c>
      <c r="AK37">
        <v>2023</v>
      </c>
      <c r="AL37" t="s">
        <v>190</v>
      </c>
      <c r="AM37" t="s">
        <v>191</v>
      </c>
      <c r="AN37" t="s">
        <v>192</v>
      </c>
      <c r="AO37" t="s">
        <v>193</v>
      </c>
      <c r="AP37" t="s">
        <v>192</v>
      </c>
      <c r="AQ37" t="s">
        <v>194</v>
      </c>
      <c r="AR37" t="s">
        <v>75</v>
      </c>
      <c r="AS37" t="s">
        <v>76</v>
      </c>
      <c r="AT37" t="s">
        <v>195</v>
      </c>
      <c r="AU37" t="s">
        <v>35</v>
      </c>
      <c r="AV37" t="s">
        <v>77</v>
      </c>
      <c r="AW37" t="s">
        <v>177</v>
      </c>
      <c r="AX37" t="s">
        <v>189</v>
      </c>
      <c r="AY37" t="s">
        <v>196</v>
      </c>
      <c r="AZ37" t="s">
        <v>197</v>
      </c>
      <c r="BA37" t="s">
        <v>198</v>
      </c>
      <c r="BB37" t="s">
        <v>199</v>
      </c>
      <c r="BC37">
        <v>0</v>
      </c>
      <c r="BD37">
        <v>0</v>
      </c>
      <c r="BE37">
        <v>1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1</v>
      </c>
      <c r="BP37" t="s">
        <v>45</v>
      </c>
      <c r="BQ37" t="s">
        <v>200</v>
      </c>
      <c r="BR37" t="s">
        <v>201</v>
      </c>
      <c r="BS37" t="s">
        <v>75</v>
      </c>
      <c r="BT37" t="s">
        <v>177</v>
      </c>
      <c r="BU37" t="s">
        <v>202</v>
      </c>
      <c r="BV37" t="s">
        <v>203</v>
      </c>
      <c r="BW37" t="s">
        <v>74</v>
      </c>
      <c r="BX37" t="s">
        <v>74</v>
      </c>
      <c r="BZ37" t="s">
        <v>79</v>
      </c>
      <c r="CB37" t="s">
        <v>204</v>
      </c>
    </row>
    <row r="38" spans="1:80" x14ac:dyDescent="0.25">
      <c r="A38" t="str">
        <f>IF(  UPPER(LEFT( tabSuperdettagli[[#This Row],[WBE Status]],1) ) = "S",  "sì",  "no"   )</f>
        <v>no</v>
      </c>
      <c r="B38">
        <v>2022</v>
      </c>
      <c r="C38">
        <f>VLOOKUP(tabSuperdettagli[[#This Row],[WBS_]],'pivot di appoggio'!A:B,2,FALSE)</f>
        <v>2020</v>
      </c>
      <c r="D38" t="str">
        <f>LEFT(tabSuperdettagli[[#This Row],[Network]], 10)</f>
        <v>AAAA.0001</v>
      </c>
      <c r="E38" t="str">
        <f>LEFT(tabSuperdettagli[[#This Row],[Network]], 1)</f>
        <v>A</v>
      </c>
      <c r="F38" t="str">
        <f>LOWER(TRIM( tabSuperdettagli[[#This Row],[Proj. Type ]] ))</f>
        <v/>
      </c>
      <c r="G3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38" t="e">
        <f>IF(  TRIM(#REF!)&gt; "", TRIM(#REF!), TRIM(tabSuperdettagli[[#This Row],[Resp DT]] ) )</f>
        <v>#REF!</v>
      </c>
      <c r="J38" t="str">
        <f>tabSuperdettagli[[#This Row],[07.2025]]</f>
        <v>10</v>
      </c>
      <c r="K38">
        <f>tabSuperdettagli[[#This Row],[Resp del Prodotto]]</f>
        <v>0</v>
      </c>
      <c r="L38">
        <f>tabSuperdettagli[[#This Row],[Area di bdg]]</f>
        <v>1</v>
      </c>
      <c r="W38" t="str">
        <f>tabSuperdettagli[[#This Row],[PROJ CODE]]</f>
        <v>CONV NGP PLATFORM ENG</v>
      </c>
      <c r="X38" t="str">
        <f>tabSuperdettagli[[#This Row],[Resp 2°liv]]&amp;""</f>
        <v>Gamberini G.</v>
      </c>
      <c r="Y3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8" t="str">
        <f>tabSuperdettagli[[#This Row],[WBS Element]]&amp;""</f>
        <v>WBS ddd</v>
      </c>
      <c r="AA38" t="str">
        <f>tabSuperdettagli[[#This Row],[09.2025]]</f>
        <v>319</v>
      </c>
      <c r="AC3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8" t="str">
        <f>LEFT(tabSuperdettagli[[#This Row],[Network]], 18 )</f>
        <v>AAAA.0001</v>
      </c>
      <c r="AE38" t="s">
        <v>187</v>
      </c>
      <c r="AF38" t="s">
        <v>188</v>
      </c>
      <c r="AG38" t="s">
        <v>235</v>
      </c>
      <c r="AH38">
        <v>36</v>
      </c>
      <c r="AI38" t="s">
        <v>305</v>
      </c>
      <c r="AJ38" t="s">
        <v>242</v>
      </c>
      <c r="AK38">
        <v>2023</v>
      </c>
      <c r="AL38" t="s">
        <v>190</v>
      </c>
      <c r="AM38" t="s">
        <v>191</v>
      </c>
      <c r="AN38" t="s">
        <v>192</v>
      </c>
      <c r="AO38" t="s">
        <v>193</v>
      </c>
      <c r="AP38" t="s">
        <v>192</v>
      </c>
      <c r="AQ38" t="s">
        <v>194</v>
      </c>
      <c r="AR38" t="s">
        <v>75</v>
      </c>
      <c r="AS38" t="s">
        <v>76</v>
      </c>
      <c r="AT38" t="s">
        <v>195</v>
      </c>
      <c r="AU38" t="s">
        <v>35</v>
      </c>
      <c r="AV38" t="s">
        <v>77</v>
      </c>
      <c r="AW38" t="s">
        <v>177</v>
      </c>
      <c r="AX38" t="s">
        <v>189</v>
      </c>
      <c r="AY38" t="s">
        <v>196</v>
      </c>
      <c r="AZ38" t="s">
        <v>197</v>
      </c>
      <c r="BA38" t="s">
        <v>198</v>
      </c>
      <c r="BB38" t="s">
        <v>199</v>
      </c>
      <c r="BC38">
        <v>0</v>
      </c>
      <c r="BD38">
        <v>0</v>
      </c>
      <c r="BE38">
        <v>1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1</v>
      </c>
      <c r="BP38" t="s">
        <v>45</v>
      </c>
      <c r="BQ38" t="s">
        <v>200</v>
      </c>
      <c r="BR38" t="s">
        <v>201</v>
      </c>
      <c r="BS38" t="s">
        <v>75</v>
      </c>
      <c r="BT38" t="s">
        <v>177</v>
      </c>
      <c r="BU38" t="s">
        <v>202</v>
      </c>
      <c r="BV38" t="s">
        <v>203</v>
      </c>
      <c r="BW38" t="s">
        <v>74</v>
      </c>
      <c r="BX38" t="s">
        <v>74</v>
      </c>
      <c r="BZ38" t="s">
        <v>79</v>
      </c>
      <c r="CB38" t="s">
        <v>204</v>
      </c>
    </row>
    <row r="39" spans="1:80" x14ac:dyDescent="0.25">
      <c r="A39" t="str">
        <f>IF(  UPPER(LEFT( tabSuperdettagli[[#This Row],[WBE Status]],1) ) = "S",  "sì",  "no"   )</f>
        <v>no</v>
      </c>
      <c r="B39">
        <v>2022</v>
      </c>
      <c r="C39">
        <f>VLOOKUP(tabSuperdettagli[[#This Row],[WBS_]],'pivot di appoggio'!A:B,2,FALSE)</f>
        <v>2020</v>
      </c>
      <c r="D39" t="str">
        <f>LEFT(tabSuperdettagli[[#This Row],[Network]], 10)</f>
        <v>AAAA.0001</v>
      </c>
      <c r="E39" t="str">
        <f>LEFT(tabSuperdettagli[[#This Row],[Network]], 1)</f>
        <v>A</v>
      </c>
      <c r="F39" t="str">
        <f>LOWER(TRIM( tabSuperdettagli[[#This Row],[Proj. Type ]] ))</f>
        <v/>
      </c>
      <c r="G3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39" t="e">
        <f>IF(  TRIM(#REF!)&gt; "", TRIM(#REF!), TRIM(tabSuperdettagli[[#This Row],[Resp DT]] ) )</f>
        <v>#REF!</v>
      </c>
      <c r="J39" t="str">
        <f>tabSuperdettagli[[#This Row],[07.2025]]</f>
        <v>10</v>
      </c>
      <c r="K39">
        <f>tabSuperdettagli[[#This Row],[Resp del Prodotto]]</f>
        <v>0</v>
      </c>
      <c r="L39">
        <f>tabSuperdettagli[[#This Row],[Area di bdg]]</f>
        <v>1</v>
      </c>
      <c r="W39" t="str">
        <f>tabSuperdettagli[[#This Row],[PROJ CODE]]</f>
        <v>CONV NGP PLATFORM ENG</v>
      </c>
      <c r="X39" t="str">
        <f>tabSuperdettagli[[#This Row],[Resp 2°liv]]&amp;""</f>
        <v>Gamberini G.</v>
      </c>
      <c r="Y3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9" t="str">
        <f>tabSuperdettagli[[#This Row],[WBS Element]]&amp;""</f>
        <v>WBS ddd</v>
      </c>
      <c r="AA39" t="str">
        <f>tabSuperdettagli[[#This Row],[09.2025]]</f>
        <v>319</v>
      </c>
      <c r="AC3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9" t="str">
        <f>LEFT(tabSuperdettagli[[#This Row],[Network]], 18 )</f>
        <v>AAAA.0001</v>
      </c>
      <c r="AE39" t="s">
        <v>187</v>
      </c>
      <c r="AF39" t="s">
        <v>188</v>
      </c>
      <c r="AG39" t="s">
        <v>235</v>
      </c>
      <c r="AH39">
        <v>37</v>
      </c>
      <c r="AI39" t="s">
        <v>305</v>
      </c>
      <c r="AJ39" t="s">
        <v>242</v>
      </c>
      <c r="AK39">
        <v>2023</v>
      </c>
      <c r="AL39" t="s">
        <v>190</v>
      </c>
      <c r="AM39" t="s">
        <v>191</v>
      </c>
      <c r="AN39" t="s">
        <v>192</v>
      </c>
      <c r="AO39" t="s">
        <v>193</v>
      </c>
      <c r="AP39" t="s">
        <v>192</v>
      </c>
      <c r="AQ39" t="s">
        <v>194</v>
      </c>
      <c r="AR39" t="s">
        <v>75</v>
      </c>
      <c r="AS39" t="s">
        <v>76</v>
      </c>
      <c r="AT39" t="s">
        <v>195</v>
      </c>
      <c r="AU39" t="s">
        <v>35</v>
      </c>
      <c r="AV39" t="s">
        <v>77</v>
      </c>
      <c r="AW39" t="s">
        <v>177</v>
      </c>
      <c r="AX39" t="s">
        <v>189</v>
      </c>
      <c r="AY39" t="s">
        <v>196</v>
      </c>
      <c r="AZ39" t="s">
        <v>197</v>
      </c>
      <c r="BA39" t="s">
        <v>198</v>
      </c>
      <c r="BB39" t="s">
        <v>199</v>
      </c>
      <c r="BC39">
        <v>0</v>
      </c>
      <c r="BD39">
        <v>0</v>
      </c>
      <c r="BE39">
        <v>1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1</v>
      </c>
      <c r="BP39" t="s">
        <v>45</v>
      </c>
      <c r="BQ39" t="s">
        <v>200</v>
      </c>
      <c r="BR39" t="s">
        <v>201</v>
      </c>
      <c r="BS39" t="s">
        <v>75</v>
      </c>
      <c r="BT39" t="s">
        <v>177</v>
      </c>
      <c r="BU39" t="s">
        <v>202</v>
      </c>
      <c r="BV39" t="s">
        <v>203</v>
      </c>
      <c r="BW39" t="s">
        <v>74</v>
      </c>
      <c r="BX39" t="s">
        <v>74</v>
      </c>
      <c r="BZ39" t="s">
        <v>79</v>
      </c>
      <c r="CB39" t="s">
        <v>204</v>
      </c>
    </row>
    <row r="40" spans="1:80" x14ac:dyDescent="0.25">
      <c r="A40" t="str">
        <f>IF(  UPPER(LEFT( tabSuperdettagli[[#This Row],[WBE Status]],1) ) = "S",  "sì",  "no"   )</f>
        <v>no</v>
      </c>
      <c r="B40">
        <v>2022</v>
      </c>
      <c r="C40">
        <f>VLOOKUP(tabSuperdettagli[[#This Row],[WBS_]],'pivot di appoggio'!A:B,2,FALSE)</f>
        <v>2020</v>
      </c>
      <c r="D40" t="str">
        <f>LEFT(tabSuperdettagli[[#This Row],[Network]], 10)</f>
        <v>AAAA.0001</v>
      </c>
      <c r="E40" t="str">
        <f>LEFT(tabSuperdettagli[[#This Row],[Network]], 1)</f>
        <v>A</v>
      </c>
      <c r="F40" t="str">
        <f>LOWER(TRIM( tabSuperdettagli[[#This Row],[Proj. Type ]] ))</f>
        <v/>
      </c>
      <c r="G4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0" t="e">
        <f>IF(  TRIM(#REF!)&gt; "", TRIM(#REF!), TRIM(tabSuperdettagli[[#This Row],[Resp DT]] ) )</f>
        <v>#REF!</v>
      </c>
      <c r="J40" t="str">
        <f>tabSuperdettagli[[#This Row],[07.2025]]</f>
        <v>10</v>
      </c>
      <c r="K40">
        <f>tabSuperdettagli[[#This Row],[Resp del Prodotto]]</f>
        <v>0</v>
      </c>
      <c r="L40">
        <f>tabSuperdettagli[[#This Row],[Area di bdg]]</f>
        <v>1</v>
      </c>
      <c r="W40" t="str">
        <f>tabSuperdettagli[[#This Row],[PROJ CODE]]</f>
        <v>CONV NGP PLATFORM ENG</v>
      </c>
      <c r="X40" t="str">
        <f>tabSuperdettagli[[#This Row],[Resp 2°liv]]&amp;""</f>
        <v>Gamberini G.</v>
      </c>
      <c r="Y4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0" t="str">
        <f>tabSuperdettagli[[#This Row],[WBS Element]]&amp;""</f>
        <v>WBS ddd</v>
      </c>
      <c r="AA40" t="str">
        <f>tabSuperdettagli[[#This Row],[09.2025]]</f>
        <v>319</v>
      </c>
      <c r="AC4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0" t="str">
        <f>LEFT(tabSuperdettagli[[#This Row],[Network]], 18 )</f>
        <v>AAAA.0001</v>
      </c>
      <c r="AE40" t="s">
        <v>187</v>
      </c>
      <c r="AF40" t="s">
        <v>188</v>
      </c>
      <c r="AG40" t="s">
        <v>235</v>
      </c>
      <c r="AH40">
        <v>38</v>
      </c>
      <c r="AI40" t="s">
        <v>305</v>
      </c>
      <c r="AJ40" t="s">
        <v>242</v>
      </c>
      <c r="AK40">
        <v>2023</v>
      </c>
      <c r="AL40" t="s">
        <v>190</v>
      </c>
      <c r="AM40" t="s">
        <v>191</v>
      </c>
      <c r="AN40" t="s">
        <v>192</v>
      </c>
      <c r="AO40" t="s">
        <v>193</v>
      </c>
      <c r="AP40" t="s">
        <v>192</v>
      </c>
      <c r="AQ40" t="s">
        <v>194</v>
      </c>
      <c r="AR40" t="s">
        <v>75</v>
      </c>
      <c r="AS40" t="s">
        <v>76</v>
      </c>
      <c r="AT40" t="s">
        <v>195</v>
      </c>
      <c r="AU40" t="s">
        <v>35</v>
      </c>
      <c r="AV40" t="s">
        <v>77</v>
      </c>
      <c r="AW40" t="s">
        <v>177</v>
      </c>
      <c r="AX40" t="s">
        <v>189</v>
      </c>
      <c r="AY40" t="s">
        <v>196</v>
      </c>
      <c r="AZ40" t="s">
        <v>197</v>
      </c>
      <c r="BA40" t="s">
        <v>198</v>
      </c>
      <c r="BB40" t="s">
        <v>199</v>
      </c>
      <c r="BC40">
        <v>0</v>
      </c>
      <c r="BD40">
        <v>0</v>
      </c>
      <c r="BE40">
        <v>1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1</v>
      </c>
      <c r="BP40" t="s">
        <v>45</v>
      </c>
      <c r="BQ40" t="s">
        <v>200</v>
      </c>
      <c r="BR40" t="s">
        <v>201</v>
      </c>
      <c r="BS40" t="s">
        <v>75</v>
      </c>
      <c r="BT40" t="s">
        <v>177</v>
      </c>
      <c r="BU40" t="s">
        <v>202</v>
      </c>
      <c r="BV40" t="s">
        <v>203</v>
      </c>
      <c r="BW40" t="s">
        <v>74</v>
      </c>
      <c r="BX40" t="s">
        <v>74</v>
      </c>
      <c r="BZ40" t="s">
        <v>79</v>
      </c>
      <c r="CB40" t="s">
        <v>204</v>
      </c>
    </row>
    <row r="41" spans="1:80" x14ac:dyDescent="0.25">
      <c r="A41" t="str">
        <f>IF(  UPPER(LEFT( tabSuperdettagli[[#This Row],[WBE Status]],1) ) = "S",  "sì",  "no"   )</f>
        <v>no</v>
      </c>
      <c r="B41">
        <v>2022</v>
      </c>
      <c r="C41">
        <f>VLOOKUP(tabSuperdettagli[[#This Row],[WBS_]],'pivot di appoggio'!A:B,2,FALSE)</f>
        <v>2020</v>
      </c>
      <c r="D41" t="str">
        <f>LEFT(tabSuperdettagli[[#This Row],[Network]], 10)</f>
        <v>AAAA.0001</v>
      </c>
      <c r="E41" t="str">
        <f>LEFT(tabSuperdettagli[[#This Row],[Network]], 1)</f>
        <v>A</v>
      </c>
      <c r="F41" t="str">
        <f>LOWER(TRIM( tabSuperdettagli[[#This Row],[Proj. Type ]] ))</f>
        <v/>
      </c>
      <c r="G4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1" t="e">
        <f>IF(  TRIM(#REF!)&gt; "", TRIM(#REF!), TRIM(tabSuperdettagli[[#This Row],[Resp DT]] ) )</f>
        <v>#REF!</v>
      </c>
      <c r="J41" t="str">
        <f>tabSuperdettagli[[#This Row],[07.2025]]</f>
        <v>10</v>
      </c>
      <c r="K41">
        <f>tabSuperdettagli[[#This Row],[Resp del Prodotto]]</f>
        <v>0</v>
      </c>
      <c r="L41">
        <f>tabSuperdettagli[[#This Row],[Area di bdg]]</f>
        <v>1</v>
      </c>
      <c r="W41" t="str">
        <f>tabSuperdettagli[[#This Row],[PROJ CODE]]</f>
        <v>CONV NGP PLATFORM ENG</v>
      </c>
      <c r="X41" t="str">
        <f>tabSuperdettagli[[#This Row],[Resp 2°liv]]&amp;""</f>
        <v>Gamberini G.</v>
      </c>
      <c r="Y4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1" t="str">
        <f>tabSuperdettagli[[#This Row],[WBS Element]]&amp;""</f>
        <v>WBS ddd</v>
      </c>
      <c r="AA41" t="str">
        <f>tabSuperdettagli[[#This Row],[09.2025]]</f>
        <v>319</v>
      </c>
      <c r="AC4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1" t="str">
        <f>LEFT(tabSuperdettagli[[#This Row],[Network]], 18 )</f>
        <v>AAAA.0001</v>
      </c>
      <c r="AE41" t="s">
        <v>187</v>
      </c>
      <c r="AF41" t="s">
        <v>188</v>
      </c>
      <c r="AG41" t="s">
        <v>235</v>
      </c>
      <c r="AH41">
        <v>39</v>
      </c>
      <c r="AI41" t="s">
        <v>305</v>
      </c>
      <c r="AJ41" t="s">
        <v>242</v>
      </c>
      <c r="AK41">
        <v>2023</v>
      </c>
      <c r="AL41" t="s">
        <v>190</v>
      </c>
      <c r="AM41" t="s">
        <v>191</v>
      </c>
      <c r="AN41" t="s">
        <v>192</v>
      </c>
      <c r="AO41" t="s">
        <v>193</v>
      </c>
      <c r="AP41" t="s">
        <v>192</v>
      </c>
      <c r="AQ41" t="s">
        <v>194</v>
      </c>
      <c r="AR41" t="s">
        <v>75</v>
      </c>
      <c r="AS41" t="s">
        <v>76</v>
      </c>
      <c r="AT41" t="s">
        <v>195</v>
      </c>
      <c r="AU41" t="s">
        <v>35</v>
      </c>
      <c r="AV41" t="s">
        <v>77</v>
      </c>
      <c r="AW41" t="s">
        <v>177</v>
      </c>
      <c r="AX41" t="s">
        <v>189</v>
      </c>
      <c r="AY41" t="s">
        <v>196</v>
      </c>
      <c r="AZ41" t="s">
        <v>197</v>
      </c>
      <c r="BA41" t="s">
        <v>198</v>
      </c>
      <c r="BB41" t="s">
        <v>199</v>
      </c>
      <c r="BC41">
        <v>0</v>
      </c>
      <c r="BD41">
        <v>0</v>
      </c>
      <c r="BE41">
        <v>1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1</v>
      </c>
      <c r="BP41" t="s">
        <v>45</v>
      </c>
      <c r="BQ41" t="s">
        <v>200</v>
      </c>
      <c r="BR41" t="s">
        <v>201</v>
      </c>
      <c r="BS41" t="s">
        <v>75</v>
      </c>
      <c r="BT41" t="s">
        <v>177</v>
      </c>
      <c r="BU41" t="s">
        <v>202</v>
      </c>
      <c r="BV41" t="s">
        <v>203</v>
      </c>
      <c r="BW41" t="s">
        <v>74</v>
      </c>
      <c r="BX41" t="s">
        <v>74</v>
      </c>
      <c r="BZ41" t="s">
        <v>79</v>
      </c>
      <c r="CB41" t="s">
        <v>204</v>
      </c>
    </row>
    <row r="42" spans="1:80" x14ac:dyDescent="0.25">
      <c r="A42" t="str">
        <f>IF(  UPPER(LEFT( tabSuperdettagli[[#This Row],[WBE Status]],1) ) = "S",  "sì",  "no"   )</f>
        <v>no</v>
      </c>
      <c r="B42">
        <v>2022</v>
      </c>
      <c r="C42">
        <f>VLOOKUP(tabSuperdettagli[[#This Row],[WBS_]],'pivot di appoggio'!A:B,2,FALSE)</f>
        <v>2020</v>
      </c>
      <c r="D42" t="str">
        <f>LEFT(tabSuperdettagli[[#This Row],[Network]], 10)</f>
        <v>AAAA.0001</v>
      </c>
      <c r="E42" t="str">
        <f>LEFT(tabSuperdettagli[[#This Row],[Network]], 1)</f>
        <v>A</v>
      </c>
      <c r="F42" t="str">
        <f>LOWER(TRIM( tabSuperdettagli[[#This Row],[Proj. Type ]] ))</f>
        <v/>
      </c>
      <c r="G4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2" t="e">
        <f>IF(  TRIM(#REF!)&gt; "", TRIM(#REF!), TRIM(tabSuperdettagli[[#This Row],[Resp DT]] ) )</f>
        <v>#REF!</v>
      </c>
      <c r="J42" t="str">
        <f>tabSuperdettagli[[#This Row],[07.2025]]</f>
        <v>10</v>
      </c>
      <c r="K42">
        <f>tabSuperdettagli[[#This Row],[Resp del Prodotto]]</f>
        <v>0</v>
      </c>
      <c r="L42">
        <f>tabSuperdettagli[[#This Row],[Area di bdg]]</f>
        <v>1</v>
      </c>
      <c r="W42" t="str">
        <f>tabSuperdettagli[[#This Row],[PROJ CODE]]</f>
        <v>CONV NGP PLATFORM ENG</v>
      </c>
      <c r="X42" t="str">
        <f>tabSuperdettagli[[#This Row],[Resp 2°liv]]&amp;""</f>
        <v>Gamberini G.</v>
      </c>
      <c r="Y4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2" t="str">
        <f>tabSuperdettagli[[#This Row],[WBS Element]]&amp;""</f>
        <v>WBS ddd</v>
      </c>
      <c r="AA42" t="str">
        <f>tabSuperdettagli[[#This Row],[09.2025]]</f>
        <v>319</v>
      </c>
      <c r="AC4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2" t="str">
        <f>LEFT(tabSuperdettagli[[#This Row],[Network]], 18 )</f>
        <v>AAAA.0001</v>
      </c>
      <c r="AE42" t="s">
        <v>187</v>
      </c>
      <c r="AF42" t="s">
        <v>188</v>
      </c>
      <c r="AG42" t="s">
        <v>235</v>
      </c>
      <c r="AH42">
        <v>40</v>
      </c>
      <c r="AI42" t="s">
        <v>305</v>
      </c>
      <c r="AJ42" t="s">
        <v>242</v>
      </c>
      <c r="AK42">
        <v>2023</v>
      </c>
      <c r="AL42" t="s">
        <v>190</v>
      </c>
      <c r="AM42" t="s">
        <v>191</v>
      </c>
      <c r="AN42" t="s">
        <v>192</v>
      </c>
      <c r="AO42" t="s">
        <v>193</v>
      </c>
      <c r="AP42" t="s">
        <v>192</v>
      </c>
      <c r="AQ42" t="s">
        <v>194</v>
      </c>
      <c r="AR42" t="s">
        <v>75</v>
      </c>
      <c r="AS42" t="s">
        <v>76</v>
      </c>
      <c r="AT42" t="s">
        <v>195</v>
      </c>
      <c r="AU42" t="s">
        <v>35</v>
      </c>
      <c r="AV42" t="s">
        <v>77</v>
      </c>
      <c r="AW42" t="s">
        <v>177</v>
      </c>
      <c r="AX42" t="s">
        <v>189</v>
      </c>
      <c r="AY42" t="s">
        <v>196</v>
      </c>
      <c r="AZ42" t="s">
        <v>197</v>
      </c>
      <c r="BA42" t="s">
        <v>198</v>
      </c>
      <c r="BB42" t="s">
        <v>199</v>
      </c>
      <c r="BC42">
        <v>0</v>
      </c>
      <c r="BD42">
        <v>0</v>
      </c>
      <c r="BE42">
        <v>1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1</v>
      </c>
      <c r="BP42" t="s">
        <v>45</v>
      </c>
      <c r="BQ42" t="s">
        <v>200</v>
      </c>
      <c r="BR42" t="s">
        <v>201</v>
      </c>
      <c r="BS42" t="s">
        <v>75</v>
      </c>
      <c r="BT42" t="s">
        <v>177</v>
      </c>
      <c r="BU42" t="s">
        <v>202</v>
      </c>
      <c r="BV42" t="s">
        <v>203</v>
      </c>
      <c r="BW42" t="s">
        <v>74</v>
      </c>
      <c r="BX42" t="s">
        <v>74</v>
      </c>
      <c r="BZ42" t="s">
        <v>79</v>
      </c>
      <c r="CB42" t="s">
        <v>204</v>
      </c>
    </row>
    <row r="43" spans="1:80" x14ac:dyDescent="0.25">
      <c r="A43" t="str">
        <f>IF(  UPPER(LEFT( tabSuperdettagli[[#This Row],[WBE Status]],1) ) = "S",  "sì",  "no"   )</f>
        <v>no</v>
      </c>
      <c r="B43">
        <v>2023</v>
      </c>
      <c r="C43">
        <f>VLOOKUP(tabSuperdettagli[[#This Row],[WBS_]],'pivot di appoggio'!A:B,2,FALSE)</f>
        <v>2020</v>
      </c>
      <c r="D43" t="str">
        <f>LEFT(tabSuperdettagli[[#This Row],[Network]], 10)</f>
        <v>AAAA.0001</v>
      </c>
      <c r="E43" t="str">
        <f>LEFT(tabSuperdettagli[[#This Row],[Network]], 1)</f>
        <v>A</v>
      </c>
      <c r="F43" t="str">
        <f>LOWER(TRIM( tabSuperdettagli[[#This Row],[Proj. Type ]] ))</f>
        <v/>
      </c>
      <c r="G4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3" t="e">
        <f>IF(  TRIM(#REF!)&gt; "", TRIM(#REF!), TRIM(tabSuperdettagli[[#This Row],[Resp DT]] ) )</f>
        <v>#REF!</v>
      </c>
      <c r="J43" t="str">
        <f>tabSuperdettagli[[#This Row],[07.2025]]</f>
        <v>10</v>
      </c>
      <c r="K43">
        <f>tabSuperdettagli[[#This Row],[Resp del Prodotto]]</f>
        <v>0</v>
      </c>
      <c r="L43">
        <f>tabSuperdettagli[[#This Row],[Area di bdg]]</f>
        <v>1</v>
      </c>
      <c r="W43" t="str">
        <f>tabSuperdettagli[[#This Row],[PROJ CODE]]</f>
        <v>CONV NGP PLATFORM ENG</v>
      </c>
      <c r="X43" t="str">
        <f>tabSuperdettagli[[#This Row],[Resp 2°liv]]&amp;""</f>
        <v>Gamberini G.</v>
      </c>
      <c r="Y4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3" t="str">
        <f>tabSuperdettagli[[#This Row],[WBS Element]]&amp;""</f>
        <v>WBS ddd</v>
      </c>
      <c r="AA43" t="str">
        <f>tabSuperdettagli[[#This Row],[09.2025]]</f>
        <v>319</v>
      </c>
      <c r="AC4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3" t="str">
        <f>LEFT(tabSuperdettagli[[#This Row],[Network]], 18 )</f>
        <v>AAAA.0001</v>
      </c>
      <c r="AE43" t="s">
        <v>187</v>
      </c>
      <c r="AF43" t="s">
        <v>188</v>
      </c>
      <c r="AG43" t="s">
        <v>235</v>
      </c>
      <c r="AH43">
        <v>41</v>
      </c>
      <c r="AI43" t="s">
        <v>305</v>
      </c>
      <c r="AJ43" t="s">
        <v>242</v>
      </c>
      <c r="AK43">
        <v>2023</v>
      </c>
      <c r="AL43" t="s">
        <v>190</v>
      </c>
      <c r="AM43" t="s">
        <v>191</v>
      </c>
      <c r="AN43" t="s">
        <v>192</v>
      </c>
      <c r="AO43" t="s">
        <v>193</v>
      </c>
      <c r="AP43" t="s">
        <v>192</v>
      </c>
      <c r="AQ43" t="s">
        <v>194</v>
      </c>
      <c r="AR43" t="s">
        <v>75</v>
      </c>
      <c r="AS43" t="s">
        <v>76</v>
      </c>
      <c r="AT43" t="s">
        <v>195</v>
      </c>
      <c r="AU43" t="s">
        <v>35</v>
      </c>
      <c r="AV43" t="s">
        <v>77</v>
      </c>
      <c r="AW43" t="s">
        <v>177</v>
      </c>
      <c r="AX43" t="s">
        <v>189</v>
      </c>
      <c r="AY43" t="s">
        <v>196</v>
      </c>
      <c r="AZ43" t="s">
        <v>197</v>
      </c>
      <c r="BA43" t="s">
        <v>198</v>
      </c>
      <c r="BB43" t="s">
        <v>199</v>
      </c>
      <c r="BC43">
        <v>0</v>
      </c>
      <c r="BD43">
        <v>0</v>
      </c>
      <c r="BE43">
        <v>1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1</v>
      </c>
      <c r="BP43" t="s">
        <v>45</v>
      </c>
      <c r="BQ43" t="s">
        <v>200</v>
      </c>
      <c r="BR43" t="s">
        <v>201</v>
      </c>
      <c r="BS43" t="s">
        <v>75</v>
      </c>
      <c r="BT43" t="s">
        <v>177</v>
      </c>
      <c r="BU43" t="s">
        <v>202</v>
      </c>
      <c r="BV43" t="s">
        <v>203</v>
      </c>
      <c r="BW43" t="s">
        <v>74</v>
      </c>
      <c r="BX43" t="s">
        <v>74</v>
      </c>
      <c r="BZ43" t="s">
        <v>79</v>
      </c>
      <c r="CB43" t="s">
        <v>204</v>
      </c>
    </row>
    <row r="44" spans="1:80" x14ac:dyDescent="0.25">
      <c r="A44" t="str">
        <f>IF(  UPPER(LEFT( tabSuperdettagli[[#This Row],[WBE Status]],1) ) = "S",  "sì",  "no"   )</f>
        <v>no</v>
      </c>
      <c r="B44">
        <v>2023</v>
      </c>
      <c r="C44">
        <f>VLOOKUP(tabSuperdettagli[[#This Row],[WBS_]],'pivot di appoggio'!A:B,2,FALSE)</f>
        <v>2020</v>
      </c>
      <c r="D44" t="str">
        <f>LEFT(tabSuperdettagli[[#This Row],[Network]], 10)</f>
        <v>AAAA.0001</v>
      </c>
      <c r="E44" t="str">
        <f>LEFT(tabSuperdettagli[[#This Row],[Network]], 1)</f>
        <v>A</v>
      </c>
      <c r="F44" t="str">
        <f>LOWER(TRIM( tabSuperdettagli[[#This Row],[Proj. Type ]] ))</f>
        <v/>
      </c>
      <c r="G4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4" t="e">
        <f>IF(  TRIM(#REF!)&gt; "", TRIM(#REF!), TRIM(tabSuperdettagli[[#This Row],[Resp DT]] ) )</f>
        <v>#REF!</v>
      </c>
      <c r="J44" t="str">
        <f>tabSuperdettagli[[#This Row],[07.2025]]</f>
        <v>10</v>
      </c>
      <c r="K44">
        <f>tabSuperdettagli[[#This Row],[Resp del Prodotto]]</f>
        <v>0</v>
      </c>
      <c r="L44">
        <f>tabSuperdettagli[[#This Row],[Area di bdg]]</f>
        <v>1</v>
      </c>
      <c r="W44" t="str">
        <f>tabSuperdettagli[[#This Row],[PROJ CODE]]</f>
        <v>CONV NGP PLATFORM ENG</v>
      </c>
      <c r="X44" t="str">
        <f>tabSuperdettagli[[#This Row],[Resp 2°liv]]&amp;""</f>
        <v>Gamberini G.</v>
      </c>
      <c r="Y4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4" t="str">
        <f>tabSuperdettagli[[#This Row],[WBS Element]]&amp;""</f>
        <v>WBS ddd</v>
      </c>
      <c r="AA44" t="str">
        <f>tabSuperdettagli[[#This Row],[09.2025]]</f>
        <v>319</v>
      </c>
      <c r="AC4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4" t="str">
        <f>LEFT(tabSuperdettagli[[#This Row],[Network]], 18 )</f>
        <v>AAAA.0001</v>
      </c>
      <c r="AE44" t="s">
        <v>187</v>
      </c>
      <c r="AF44" t="s">
        <v>188</v>
      </c>
      <c r="AG44" t="s">
        <v>235</v>
      </c>
      <c r="AH44">
        <v>42</v>
      </c>
      <c r="AI44" t="s">
        <v>305</v>
      </c>
      <c r="AJ44" t="s">
        <v>242</v>
      </c>
      <c r="AK44">
        <v>2023</v>
      </c>
      <c r="AL44" t="s">
        <v>190</v>
      </c>
      <c r="AM44" t="s">
        <v>191</v>
      </c>
      <c r="AN44" t="s">
        <v>192</v>
      </c>
      <c r="AO44" t="s">
        <v>193</v>
      </c>
      <c r="AP44" t="s">
        <v>192</v>
      </c>
      <c r="AQ44" t="s">
        <v>194</v>
      </c>
      <c r="AR44" t="s">
        <v>75</v>
      </c>
      <c r="AS44" t="s">
        <v>76</v>
      </c>
      <c r="AT44" t="s">
        <v>195</v>
      </c>
      <c r="AU44" t="s">
        <v>35</v>
      </c>
      <c r="AV44" t="s">
        <v>77</v>
      </c>
      <c r="AW44" t="s">
        <v>177</v>
      </c>
      <c r="AX44" t="s">
        <v>189</v>
      </c>
      <c r="AY44" t="s">
        <v>196</v>
      </c>
      <c r="AZ44" t="s">
        <v>197</v>
      </c>
      <c r="BA44" t="s">
        <v>198</v>
      </c>
      <c r="BB44" t="s">
        <v>199</v>
      </c>
      <c r="BC44">
        <v>0</v>
      </c>
      <c r="BD44">
        <v>0</v>
      </c>
      <c r="BE44">
        <v>1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1</v>
      </c>
      <c r="BP44" t="s">
        <v>45</v>
      </c>
      <c r="BQ44" t="s">
        <v>200</v>
      </c>
      <c r="BR44" t="s">
        <v>201</v>
      </c>
      <c r="BS44" t="s">
        <v>75</v>
      </c>
      <c r="BT44" t="s">
        <v>177</v>
      </c>
      <c r="BU44" t="s">
        <v>202</v>
      </c>
      <c r="BV44" t="s">
        <v>203</v>
      </c>
      <c r="BW44" t="s">
        <v>74</v>
      </c>
      <c r="BX44" t="s">
        <v>74</v>
      </c>
      <c r="BZ44" t="s">
        <v>79</v>
      </c>
      <c r="CB44" t="s">
        <v>204</v>
      </c>
    </row>
    <row r="45" spans="1:80" x14ac:dyDescent="0.25">
      <c r="A45" t="str">
        <f>IF(  UPPER(LEFT( tabSuperdettagli[[#This Row],[WBE Status]],1) ) = "S",  "sì",  "no"   )</f>
        <v>no</v>
      </c>
      <c r="B45">
        <v>2023</v>
      </c>
      <c r="C45">
        <f>VLOOKUP(tabSuperdettagli[[#This Row],[WBS_]],'pivot di appoggio'!A:B,2,FALSE)</f>
        <v>2020</v>
      </c>
      <c r="D45" t="str">
        <f>LEFT(tabSuperdettagli[[#This Row],[Network]], 10)</f>
        <v>AAAA.0001</v>
      </c>
      <c r="E45" t="str">
        <f>LEFT(tabSuperdettagli[[#This Row],[Network]], 1)</f>
        <v>A</v>
      </c>
      <c r="F45" t="str">
        <f>LOWER(TRIM( tabSuperdettagli[[#This Row],[Proj. Type ]] ))</f>
        <v/>
      </c>
      <c r="G4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5" t="e">
        <f>IF(  TRIM(#REF!)&gt; "", TRIM(#REF!), TRIM(tabSuperdettagli[[#This Row],[Resp DT]] ) )</f>
        <v>#REF!</v>
      </c>
      <c r="J45" t="str">
        <f>tabSuperdettagli[[#This Row],[07.2025]]</f>
        <v>10</v>
      </c>
      <c r="K45">
        <f>tabSuperdettagli[[#This Row],[Resp del Prodotto]]</f>
        <v>0</v>
      </c>
      <c r="L45">
        <f>tabSuperdettagli[[#This Row],[Area di bdg]]</f>
        <v>1</v>
      </c>
      <c r="W45" t="str">
        <f>tabSuperdettagli[[#This Row],[PROJ CODE]]</f>
        <v>CONV NGP PLATFORM ENG</v>
      </c>
      <c r="X45" t="str">
        <f>tabSuperdettagli[[#This Row],[Resp 2°liv]]&amp;""</f>
        <v>Gamberini G.</v>
      </c>
      <c r="Y4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5" t="str">
        <f>tabSuperdettagli[[#This Row],[WBS Element]]&amp;""</f>
        <v>WBS ddd</v>
      </c>
      <c r="AA45" t="str">
        <f>tabSuperdettagli[[#This Row],[09.2025]]</f>
        <v>319</v>
      </c>
      <c r="AC4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5" t="str">
        <f>LEFT(tabSuperdettagli[[#This Row],[Network]], 18 )</f>
        <v>AAAA.0001</v>
      </c>
      <c r="AE45" t="s">
        <v>187</v>
      </c>
      <c r="AF45" t="s">
        <v>188</v>
      </c>
      <c r="AG45" t="s">
        <v>235</v>
      </c>
      <c r="AH45">
        <v>43</v>
      </c>
      <c r="AI45" t="s">
        <v>305</v>
      </c>
      <c r="AJ45" t="s">
        <v>242</v>
      </c>
      <c r="AK45">
        <v>2023</v>
      </c>
      <c r="AL45" t="s">
        <v>190</v>
      </c>
      <c r="AM45" t="s">
        <v>191</v>
      </c>
      <c r="AN45" t="s">
        <v>192</v>
      </c>
      <c r="AO45" t="s">
        <v>193</v>
      </c>
      <c r="AP45" t="s">
        <v>192</v>
      </c>
      <c r="AQ45" t="s">
        <v>194</v>
      </c>
      <c r="AR45" t="s">
        <v>75</v>
      </c>
      <c r="AS45" t="s">
        <v>76</v>
      </c>
      <c r="AT45" t="s">
        <v>195</v>
      </c>
      <c r="AU45" t="s">
        <v>35</v>
      </c>
      <c r="AV45" t="s">
        <v>77</v>
      </c>
      <c r="AW45" t="s">
        <v>177</v>
      </c>
      <c r="AX45" t="s">
        <v>189</v>
      </c>
      <c r="AY45" t="s">
        <v>196</v>
      </c>
      <c r="AZ45" t="s">
        <v>197</v>
      </c>
      <c r="BA45" t="s">
        <v>198</v>
      </c>
      <c r="BB45" t="s">
        <v>199</v>
      </c>
      <c r="BC45">
        <v>0</v>
      </c>
      <c r="BD45">
        <v>0</v>
      </c>
      <c r="BE45">
        <v>1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1</v>
      </c>
      <c r="BP45" t="s">
        <v>45</v>
      </c>
      <c r="BQ45" t="s">
        <v>200</v>
      </c>
      <c r="BR45" t="s">
        <v>201</v>
      </c>
      <c r="BS45" t="s">
        <v>75</v>
      </c>
      <c r="BT45" t="s">
        <v>177</v>
      </c>
      <c r="BU45" t="s">
        <v>202</v>
      </c>
      <c r="BV45" t="s">
        <v>203</v>
      </c>
      <c r="BW45" t="s">
        <v>74</v>
      </c>
      <c r="BX45" t="s">
        <v>74</v>
      </c>
      <c r="BZ45" t="s">
        <v>79</v>
      </c>
      <c r="CB45" t="s">
        <v>204</v>
      </c>
    </row>
    <row r="46" spans="1:80" x14ac:dyDescent="0.25">
      <c r="A46" t="str">
        <f>IF(  UPPER(LEFT( tabSuperdettagli[[#This Row],[WBE Status]],1) ) = "S",  "sì",  "no"   )</f>
        <v>no</v>
      </c>
      <c r="B46">
        <v>2023</v>
      </c>
      <c r="C46">
        <f>VLOOKUP(tabSuperdettagli[[#This Row],[WBS_]],'pivot di appoggio'!A:B,2,FALSE)</f>
        <v>2020</v>
      </c>
      <c r="D46" t="str">
        <f>LEFT(tabSuperdettagli[[#This Row],[Network]], 10)</f>
        <v>AAAA.0001</v>
      </c>
      <c r="E46" t="str">
        <f>LEFT(tabSuperdettagli[[#This Row],[Network]], 1)</f>
        <v>A</v>
      </c>
      <c r="F46" t="str">
        <f>LOWER(TRIM( tabSuperdettagli[[#This Row],[Proj. Type ]] ))</f>
        <v/>
      </c>
      <c r="G4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6" t="e">
        <f>IF(  TRIM(#REF!)&gt; "", TRIM(#REF!), TRIM(tabSuperdettagli[[#This Row],[Resp DT]] ) )</f>
        <v>#REF!</v>
      </c>
      <c r="J46" t="str">
        <f>tabSuperdettagli[[#This Row],[07.2025]]</f>
        <v>10</v>
      </c>
      <c r="K46">
        <f>tabSuperdettagli[[#This Row],[Resp del Prodotto]]</f>
        <v>0</v>
      </c>
      <c r="L46">
        <f>tabSuperdettagli[[#This Row],[Area di bdg]]</f>
        <v>1</v>
      </c>
      <c r="W46" t="str">
        <f>tabSuperdettagli[[#This Row],[PROJ CODE]]</f>
        <v>CONV NGP PLATFORM ENG</v>
      </c>
      <c r="X46" t="str">
        <f>tabSuperdettagli[[#This Row],[Resp 2°liv]]&amp;""</f>
        <v>Gamberini G.</v>
      </c>
      <c r="Y4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6" t="str">
        <f>tabSuperdettagli[[#This Row],[WBS Element]]&amp;""</f>
        <v>WBS ddd</v>
      </c>
      <c r="AA46" t="str">
        <f>tabSuperdettagli[[#This Row],[09.2025]]</f>
        <v>319</v>
      </c>
      <c r="AC4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6" t="str">
        <f>LEFT(tabSuperdettagli[[#This Row],[Network]], 18 )</f>
        <v>AAAA.0001</v>
      </c>
      <c r="AE46" t="s">
        <v>187</v>
      </c>
      <c r="AF46" t="s">
        <v>188</v>
      </c>
      <c r="AG46" t="s">
        <v>235</v>
      </c>
      <c r="AH46">
        <v>44</v>
      </c>
      <c r="AI46" t="s">
        <v>305</v>
      </c>
      <c r="AJ46" t="s">
        <v>242</v>
      </c>
      <c r="AK46">
        <v>2023</v>
      </c>
      <c r="AL46" t="s">
        <v>190</v>
      </c>
      <c r="AM46" t="s">
        <v>191</v>
      </c>
      <c r="AN46" t="s">
        <v>192</v>
      </c>
      <c r="AO46" t="s">
        <v>193</v>
      </c>
      <c r="AP46" t="s">
        <v>192</v>
      </c>
      <c r="AQ46" t="s">
        <v>194</v>
      </c>
      <c r="AR46" t="s">
        <v>75</v>
      </c>
      <c r="AS46" t="s">
        <v>76</v>
      </c>
      <c r="AT46" t="s">
        <v>195</v>
      </c>
      <c r="AU46" t="s">
        <v>35</v>
      </c>
      <c r="AV46" t="s">
        <v>77</v>
      </c>
      <c r="AW46" t="s">
        <v>177</v>
      </c>
      <c r="AX46" t="s">
        <v>189</v>
      </c>
      <c r="AY46" t="s">
        <v>196</v>
      </c>
      <c r="AZ46" t="s">
        <v>197</v>
      </c>
      <c r="BA46" t="s">
        <v>198</v>
      </c>
      <c r="BB46" t="s">
        <v>199</v>
      </c>
      <c r="BC46">
        <v>0</v>
      </c>
      <c r="BD46">
        <v>0</v>
      </c>
      <c r="BE46">
        <v>1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1</v>
      </c>
      <c r="BP46" t="s">
        <v>45</v>
      </c>
      <c r="BQ46" t="s">
        <v>200</v>
      </c>
      <c r="BR46" t="s">
        <v>201</v>
      </c>
      <c r="BS46" t="s">
        <v>75</v>
      </c>
      <c r="BT46" t="s">
        <v>177</v>
      </c>
      <c r="BU46" t="s">
        <v>202</v>
      </c>
      <c r="BV46" t="s">
        <v>203</v>
      </c>
      <c r="BW46" t="s">
        <v>74</v>
      </c>
      <c r="BX46" t="s">
        <v>74</v>
      </c>
      <c r="BZ46" t="s">
        <v>79</v>
      </c>
      <c r="CB46" t="s">
        <v>204</v>
      </c>
    </row>
    <row r="47" spans="1:80" x14ac:dyDescent="0.25">
      <c r="A47" t="str">
        <f>IF(  UPPER(LEFT( tabSuperdettagli[[#This Row],[WBE Status]],1) ) = "S",  "sì",  "no"   )</f>
        <v>no</v>
      </c>
      <c r="B47">
        <v>2023</v>
      </c>
      <c r="C47">
        <f>VLOOKUP(tabSuperdettagli[[#This Row],[WBS_]],'pivot di appoggio'!A:B,2,FALSE)</f>
        <v>2020</v>
      </c>
      <c r="D47" t="str">
        <f>LEFT(tabSuperdettagli[[#This Row],[Network]], 10)</f>
        <v>AAAA.0001</v>
      </c>
      <c r="E47" t="str">
        <f>LEFT(tabSuperdettagli[[#This Row],[Network]], 1)</f>
        <v>A</v>
      </c>
      <c r="F47" t="str">
        <f>LOWER(TRIM( tabSuperdettagli[[#This Row],[Proj. Type ]] ))</f>
        <v/>
      </c>
      <c r="G4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7" t="e">
        <f>IF(  TRIM(#REF!)&gt; "", TRIM(#REF!), TRIM(tabSuperdettagli[[#This Row],[Resp DT]] ) )</f>
        <v>#REF!</v>
      </c>
      <c r="J47" t="str">
        <f>tabSuperdettagli[[#This Row],[07.2025]]</f>
        <v>10</v>
      </c>
      <c r="K47">
        <f>tabSuperdettagli[[#This Row],[Resp del Prodotto]]</f>
        <v>0</v>
      </c>
      <c r="L47">
        <f>tabSuperdettagli[[#This Row],[Area di bdg]]</f>
        <v>1</v>
      </c>
      <c r="W47" t="str">
        <f>tabSuperdettagli[[#This Row],[PROJ CODE]]</f>
        <v>CONV NGP PLATFORM ENG</v>
      </c>
      <c r="X47" t="str">
        <f>tabSuperdettagli[[#This Row],[Resp 2°liv]]&amp;""</f>
        <v>Gamberini G.</v>
      </c>
      <c r="Y4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7" t="str">
        <f>tabSuperdettagli[[#This Row],[WBS Element]]&amp;""</f>
        <v>WBS ddd</v>
      </c>
      <c r="AA47" t="str">
        <f>tabSuperdettagli[[#This Row],[09.2025]]</f>
        <v>319</v>
      </c>
      <c r="AC4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7" t="str">
        <f>LEFT(tabSuperdettagli[[#This Row],[Network]], 18 )</f>
        <v>AAAA.0001</v>
      </c>
      <c r="AE47" t="s">
        <v>187</v>
      </c>
      <c r="AF47" t="s">
        <v>188</v>
      </c>
      <c r="AG47" t="s">
        <v>235</v>
      </c>
      <c r="AH47">
        <v>45</v>
      </c>
      <c r="AI47" t="s">
        <v>305</v>
      </c>
      <c r="AJ47" t="s">
        <v>242</v>
      </c>
      <c r="AK47">
        <v>2023</v>
      </c>
      <c r="AL47" t="s">
        <v>190</v>
      </c>
      <c r="AM47" t="s">
        <v>191</v>
      </c>
      <c r="AN47" t="s">
        <v>192</v>
      </c>
      <c r="AO47" t="s">
        <v>193</v>
      </c>
      <c r="AP47" t="s">
        <v>192</v>
      </c>
      <c r="AQ47" t="s">
        <v>194</v>
      </c>
      <c r="AR47" t="s">
        <v>75</v>
      </c>
      <c r="AS47" t="s">
        <v>76</v>
      </c>
      <c r="AT47" t="s">
        <v>195</v>
      </c>
      <c r="AU47" t="s">
        <v>35</v>
      </c>
      <c r="AV47" t="s">
        <v>77</v>
      </c>
      <c r="AW47" t="s">
        <v>177</v>
      </c>
      <c r="AX47" t="s">
        <v>189</v>
      </c>
      <c r="AY47" t="s">
        <v>196</v>
      </c>
      <c r="AZ47" t="s">
        <v>197</v>
      </c>
      <c r="BA47" t="s">
        <v>198</v>
      </c>
      <c r="BB47" t="s">
        <v>199</v>
      </c>
      <c r="BC47">
        <v>0</v>
      </c>
      <c r="BD47">
        <v>0</v>
      </c>
      <c r="BE47">
        <v>1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1</v>
      </c>
      <c r="BP47" t="s">
        <v>45</v>
      </c>
      <c r="BQ47" t="s">
        <v>200</v>
      </c>
      <c r="BR47" t="s">
        <v>201</v>
      </c>
      <c r="BS47" t="s">
        <v>75</v>
      </c>
      <c r="BT47" t="s">
        <v>177</v>
      </c>
      <c r="BU47" t="s">
        <v>202</v>
      </c>
      <c r="BV47" t="s">
        <v>203</v>
      </c>
      <c r="BW47" t="s">
        <v>74</v>
      </c>
      <c r="BX47" t="s">
        <v>74</v>
      </c>
      <c r="BZ47" t="s">
        <v>79</v>
      </c>
      <c r="CB47" t="s">
        <v>204</v>
      </c>
    </row>
    <row r="48" spans="1:80" x14ac:dyDescent="0.25">
      <c r="A48" t="str">
        <f>IF(  UPPER(LEFT( tabSuperdettagli[[#This Row],[WBE Status]],1) ) = "S",  "sì",  "no"   )</f>
        <v>no</v>
      </c>
      <c r="B48">
        <v>2023</v>
      </c>
      <c r="C48">
        <f>VLOOKUP(tabSuperdettagli[[#This Row],[WBS_]],'pivot di appoggio'!A:B,2,FALSE)</f>
        <v>2020</v>
      </c>
      <c r="D48" t="str">
        <f>LEFT(tabSuperdettagli[[#This Row],[Network]], 10)</f>
        <v>AAAA.0001</v>
      </c>
      <c r="E48" t="str">
        <f>LEFT(tabSuperdettagli[[#This Row],[Network]], 1)</f>
        <v>A</v>
      </c>
      <c r="F48" t="str">
        <f>LOWER(TRIM( tabSuperdettagli[[#This Row],[Proj. Type ]] ))</f>
        <v/>
      </c>
      <c r="G4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8" t="e">
        <f>IF(  TRIM(#REF!)&gt; "", TRIM(#REF!), TRIM(tabSuperdettagli[[#This Row],[Resp DT]] ) )</f>
        <v>#REF!</v>
      </c>
      <c r="J48" t="str">
        <f>tabSuperdettagli[[#This Row],[07.2025]]</f>
        <v>10</v>
      </c>
      <c r="K48">
        <f>tabSuperdettagli[[#This Row],[Resp del Prodotto]]</f>
        <v>0</v>
      </c>
      <c r="L48">
        <f>tabSuperdettagli[[#This Row],[Area di bdg]]</f>
        <v>1</v>
      </c>
      <c r="W48" t="str">
        <f>tabSuperdettagli[[#This Row],[PROJ CODE]]</f>
        <v>CONV NGP PLATFORM ENG</v>
      </c>
      <c r="X48" t="str">
        <f>tabSuperdettagli[[#This Row],[Resp 2°liv]]&amp;""</f>
        <v>Gamberini G.</v>
      </c>
      <c r="Y4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8" t="str">
        <f>tabSuperdettagli[[#This Row],[WBS Element]]&amp;""</f>
        <v>WBS ddd</v>
      </c>
      <c r="AA48" t="str">
        <f>tabSuperdettagli[[#This Row],[09.2025]]</f>
        <v>319</v>
      </c>
      <c r="AC4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8" t="str">
        <f>LEFT(tabSuperdettagli[[#This Row],[Network]], 18 )</f>
        <v>AAAA.0001</v>
      </c>
      <c r="AE48" t="s">
        <v>187</v>
      </c>
      <c r="AF48" t="s">
        <v>188</v>
      </c>
      <c r="AG48" t="s">
        <v>235</v>
      </c>
      <c r="AH48">
        <v>46</v>
      </c>
      <c r="AI48" t="s">
        <v>305</v>
      </c>
      <c r="AJ48" t="s">
        <v>242</v>
      </c>
      <c r="AK48">
        <v>2023</v>
      </c>
      <c r="AL48" t="s">
        <v>190</v>
      </c>
      <c r="AM48" t="s">
        <v>191</v>
      </c>
      <c r="AN48" t="s">
        <v>192</v>
      </c>
      <c r="AO48" t="s">
        <v>193</v>
      </c>
      <c r="AP48" t="s">
        <v>192</v>
      </c>
      <c r="AQ48" t="s">
        <v>194</v>
      </c>
      <c r="AR48" t="s">
        <v>75</v>
      </c>
      <c r="AS48" t="s">
        <v>76</v>
      </c>
      <c r="AT48" t="s">
        <v>195</v>
      </c>
      <c r="AU48" t="s">
        <v>35</v>
      </c>
      <c r="AV48" t="s">
        <v>77</v>
      </c>
      <c r="AW48" t="s">
        <v>177</v>
      </c>
      <c r="AX48" t="s">
        <v>189</v>
      </c>
      <c r="AY48" t="s">
        <v>196</v>
      </c>
      <c r="AZ48" t="s">
        <v>197</v>
      </c>
      <c r="BA48" t="s">
        <v>198</v>
      </c>
      <c r="BB48" t="s">
        <v>199</v>
      </c>
      <c r="BC48">
        <v>0</v>
      </c>
      <c r="BD48">
        <v>0</v>
      </c>
      <c r="BE48">
        <v>1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1</v>
      </c>
      <c r="BP48" t="s">
        <v>45</v>
      </c>
      <c r="BQ48" t="s">
        <v>200</v>
      </c>
      <c r="BR48" t="s">
        <v>201</v>
      </c>
      <c r="BS48" t="s">
        <v>75</v>
      </c>
      <c r="BT48" t="s">
        <v>177</v>
      </c>
      <c r="BU48" t="s">
        <v>202</v>
      </c>
      <c r="BV48" t="s">
        <v>203</v>
      </c>
      <c r="BW48" t="s">
        <v>74</v>
      </c>
      <c r="BX48" t="s">
        <v>74</v>
      </c>
      <c r="BZ48" t="s">
        <v>79</v>
      </c>
      <c r="CB48" t="s">
        <v>204</v>
      </c>
    </row>
    <row r="49" spans="1:80" x14ac:dyDescent="0.25">
      <c r="A49" t="str">
        <f>IF(  UPPER(LEFT( tabSuperdettagli[[#This Row],[WBE Status]],1) ) = "S",  "sì",  "no"   )</f>
        <v>no</v>
      </c>
      <c r="B49">
        <v>2023</v>
      </c>
      <c r="C49">
        <f>VLOOKUP(tabSuperdettagli[[#This Row],[WBS_]],'pivot di appoggio'!A:B,2,FALSE)</f>
        <v>2020</v>
      </c>
      <c r="D49" t="str">
        <f>LEFT(tabSuperdettagli[[#This Row],[Network]], 10)</f>
        <v>AAAA.0001</v>
      </c>
      <c r="E49" t="str">
        <f>LEFT(tabSuperdettagli[[#This Row],[Network]], 1)</f>
        <v>A</v>
      </c>
      <c r="F49" t="str">
        <f>LOWER(TRIM( tabSuperdettagli[[#This Row],[Proj. Type ]] ))</f>
        <v/>
      </c>
      <c r="G4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9" t="e">
        <f>IF(  TRIM(#REF!)&gt; "", TRIM(#REF!), TRIM(tabSuperdettagli[[#This Row],[Resp DT]] ) )</f>
        <v>#REF!</v>
      </c>
      <c r="J49" t="str">
        <f>tabSuperdettagli[[#This Row],[07.2025]]</f>
        <v>10</v>
      </c>
      <c r="K49">
        <f>tabSuperdettagli[[#This Row],[Resp del Prodotto]]</f>
        <v>0</v>
      </c>
      <c r="L49">
        <f>tabSuperdettagli[[#This Row],[Area di bdg]]</f>
        <v>1</v>
      </c>
      <c r="W49" t="str">
        <f>tabSuperdettagli[[#This Row],[PROJ CODE]]</f>
        <v>CONV NGP PLATFORM ENG</v>
      </c>
      <c r="X49" t="str">
        <f>tabSuperdettagli[[#This Row],[Resp 2°liv]]&amp;""</f>
        <v>Gamberini G.</v>
      </c>
      <c r="Y4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9" t="str">
        <f>tabSuperdettagli[[#This Row],[WBS Element]]&amp;""</f>
        <v>WBS ddd</v>
      </c>
      <c r="AA49" t="str">
        <f>tabSuperdettagli[[#This Row],[09.2025]]</f>
        <v>319</v>
      </c>
      <c r="AC4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9" t="str">
        <f>LEFT(tabSuperdettagli[[#This Row],[Network]], 18 )</f>
        <v>AAAA.0001</v>
      </c>
      <c r="AE49" t="s">
        <v>187</v>
      </c>
      <c r="AF49" t="s">
        <v>188</v>
      </c>
      <c r="AG49" t="s">
        <v>235</v>
      </c>
      <c r="AH49">
        <v>47</v>
      </c>
      <c r="AI49" t="s">
        <v>305</v>
      </c>
      <c r="AJ49" t="s">
        <v>242</v>
      </c>
      <c r="AK49">
        <v>2023</v>
      </c>
      <c r="AL49" t="s">
        <v>190</v>
      </c>
      <c r="AM49" t="s">
        <v>191</v>
      </c>
      <c r="AN49" t="s">
        <v>192</v>
      </c>
      <c r="AO49" t="s">
        <v>193</v>
      </c>
      <c r="AP49" t="s">
        <v>192</v>
      </c>
      <c r="AQ49" t="s">
        <v>194</v>
      </c>
      <c r="AR49" t="s">
        <v>75</v>
      </c>
      <c r="AS49" t="s">
        <v>76</v>
      </c>
      <c r="AT49" t="s">
        <v>195</v>
      </c>
      <c r="AU49" t="s">
        <v>35</v>
      </c>
      <c r="AV49" t="s">
        <v>77</v>
      </c>
      <c r="AW49" t="s">
        <v>177</v>
      </c>
      <c r="AX49" t="s">
        <v>189</v>
      </c>
      <c r="AY49" t="s">
        <v>196</v>
      </c>
      <c r="AZ49" t="s">
        <v>197</v>
      </c>
      <c r="BA49" t="s">
        <v>198</v>
      </c>
      <c r="BB49" t="s">
        <v>199</v>
      </c>
      <c r="BC49">
        <v>0</v>
      </c>
      <c r="BD49">
        <v>0</v>
      </c>
      <c r="BE49">
        <v>1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1</v>
      </c>
      <c r="BP49" t="s">
        <v>45</v>
      </c>
      <c r="BQ49" t="s">
        <v>200</v>
      </c>
      <c r="BR49" t="s">
        <v>201</v>
      </c>
      <c r="BS49" t="s">
        <v>75</v>
      </c>
      <c r="BT49" t="s">
        <v>177</v>
      </c>
      <c r="BU49" t="s">
        <v>202</v>
      </c>
      <c r="BV49" t="s">
        <v>203</v>
      </c>
      <c r="BW49" t="s">
        <v>74</v>
      </c>
      <c r="BX49" t="s">
        <v>74</v>
      </c>
      <c r="BZ49" t="s">
        <v>79</v>
      </c>
      <c r="CB49" t="s">
        <v>204</v>
      </c>
    </row>
    <row r="50" spans="1:80" x14ac:dyDescent="0.25">
      <c r="A50" t="str">
        <f>IF(  UPPER(LEFT( tabSuperdettagli[[#This Row],[WBE Status]],1) ) = "S",  "sì",  "no"   )</f>
        <v>no</v>
      </c>
      <c r="B50">
        <v>2023</v>
      </c>
      <c r="C50">
        <f>VLOOKUP(tabSuperdettagli[[#This Row],[WBS_]],'pivot di appoggio'!A:B,2,FALSE)</f>
        <v>2020</v>
      </c>
      <c r="D50" t="str">
        <f>LEFT(tabSuperdettagli[[#This Row],[Network]], 10)</f>
        <v>AAAA.0001</v>
      </c>
      <c r="E50" t="str">
        <f>LEFT(tabSuperdettagli[[#This Row],[Network]], 1)</f>
        <v>A</v>
      </c>
      <c r="F50" t="str">
        <f>LOWER(TRIM( tabSuperdettagli[[#This Row],[Proj. Type ]] ))</f>
        <v/>
      </c>
      <c r="G5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0" t="e">
        <f>IF(  TRIM(#REF!)&gt; "", TRIM(#REF!), TRIM(tabSuperdettagli[[#This Row],[Resp DT]] ) )</f>
        <v>#REF!</v>
      </c>
      <c r="J50" t="str">
        <f>tabSuperdettagli[[#This Row],[07.2025]]</f>
        <v>10</v>
      </c>
      <c r="K50">
        <f>tabSuperdettagli[[#This Row],[Resp del Prodotto]]</f>
        <v>0</v>
      </c>
      <c r="L50">
        <f>tabSuperdettagli[[#This Row],[Area di bdg]]</f>
        <v>1</v>
      </c>
      <c r="W50" t="str">
        <f>tabSuperdettagli[[#This Row],[PROJ CODE]]</f>
        <v>CONV NGP PLATFORM ENG</v>
      </c>
      <c r="X50" t="str">
        <f>tabSuperdettagli[[#This Row],[Resp 2°liv]]&amp;""</f>
        <v>Gamberini G.</v>
      </c>
      <c r="Y5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0" t="str">
        <f>tabSuperdettagli[[#This Row],[WBS Element]]&amp;""</f>
        <v>WBS ddd</v>
      </c>
      <c r="AA50" t="str">
        <f>tabSuperdettagli[[#This Row],[09.2025]]</f>
        <v>319</v>
      </c>
      <c r="AC5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0" t="str">
        <f>LEFT(tabSuperdettagli[[#This Row],[Network]], 18 )</f>
        <v>AAAA.0001</v>
      </c>
      <c r="AE50" t="s">
        <v>187</v>
      </c>
      <c r="AF50" t="s">
        <v>188</v>
      </c>
      <c r="AG50" t="s">
        <v>235</v>
      </c>
      <c r="AH50">
        <v>48</v>
      </c>
      <c r="AI50" t="s">
        <v>305</v>
      </c>
      <c r="AJ50" t="s">
        <v>242</v>
      </c>
      <c r="AK50">
        <v>2023</v>
      </c>
      <c r="AL50" t="s">
        <v>190</v>
      </c>
      <c r="AM50" t="s">
        <v>191</v>
      </c>
      <c r="AN50" t="s">
        <v>192</v>
      </c>
      <c r="AO50" t="s">
        <v>193</v>
      </c>
      <c r="AP50" t="s">
        <v>192</v>
      </c>
      <c r="AQ50" t="s">
        <v>194</v>
      </c>
      <c r="AR50" t="s">
        <v>75</v>
      </c>
      <c r="AS50" t="s">
        <v>76</v>
      </c>
      <c r="AT50" t="s">
        <v>195</v>
      </c>
      <c r="AU50" t="s">
        <v>35</v>
      </c>
      <c r="AV50" t="s">
        <v>77</v>
      </c>
      <c r="AW50" t="s">
        <v>177</v>
      </c>
      <c r="AX50" t="s">
        <v>189</v>
      </c>
      <c r="AY50" t="s">
        <v>196</v>
      </c>
      <c r="AZ50" t="s">
        <v>197</v>
      </c>
      <c r="BA50" t="s">
        <v>198</v>
      </c>
      <c r="BB50" t="s">
        <v>199</v>
      </c>
      <c r="BC50">
        <v>0</v>
      </c>
      <c r="BD50">
        <v>0</v>
      </c>
      <c r="BE50">
        <v>1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1</v>
      </c>
      <c r="BP50" t="s">
        <v>45</v>
      </c>
      <c r="BQ50" t="s">
        <v>200</v>
      </c>
      <c r="BR50" t="s">
        <v>201</v>
      </c>
      <c r="BS50" t="s">
        <v>75</v>
      </c>
      <c r="BT50" t="s">
        <v>177</v>
      </c>
      <c r="BU50" t="s">
        <v>202</v>
      </c>
      <c r="BV50" t="s">
        <v>203</v>
      </c>
      <c r="BW50" t="s">
        <v>74</v>
      </c>
      <c r="BX50" t="s">
        <v>74</v>
      </c>
      <c r="BZ50" t="s">
        <v>79</v>
      </c>
      <c r="CB50" t="s">
        <v>204</v>
      </c>
    </row>
    <row r="51" spans="1:80" x14ac:dyDescent="0.25">
      <c r="A51" t="str">
        <f>IF(  UPPER(LEFT( tabSuperdettagli[[#This Row],[WBE Status]],1) ) = "S",  "sì",  "no"   )</f>
        <v>no</v>
      </c>
      <c r="B51">
        <v>2023</v>
      </c>
      <c r="C51">
        <f>VLOOKUP(tabSuperdettagli[[#This Row],[WBS_]],'pivot di appoggio'!A:B,2,FALSE)</f>
        <v>2020</v>
      </c>
      <c r="D51" t="str">
        <f>LEFT(tabSuperdettagli[[#This Row],[Network]], 10)</f>
        <v>AAAA.0001</v>
      </c>
      <c r="E51" t="str">
        <f>LEFT(tabSuperdettagli[[#This Row],[Network]], 1)</f>
        <v>A</v>
      </c>
      <c r="F51" t="str">
        <f>LOWER(TRIM( tabSuperdettagli[[#This Row],[Proj. Type ]] ))</f>
        <v/>
      </c>
      <c r="G5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1" t="e">
        <f>IF(  TRIM(#REF!)&gt; "", TRIM(#REF!), TRIM(tabSuperdettagli[[#This Row],[Resp DT]] ) )</f>
        <v>#REF!</v>
      </c>
      <c r="J51" t="str">
        <f>tabSuperdettagli[[#This Row],[07.2025]]</f>
        <v>10</v>
      </c>
      <c r="K51">
        <f>tabSuperdettagli[[#This Row],[Resp del Prodotto]]</f>
        <v>0</v>
      </c>
      <c r="L51">
        <f>tabSuperdettagli[[#This Row],[Area di bdg]]</f>
        <v>1</v>
      </c>
      <c r="W51" t="str">
        <f>tabSuperdettagli[[#This Row],[PROJ CODE]]</f>
        <v>CONV NGP PLATFORM ENG</v>
      </c>
      <c r="X51" t="str">
        <f>tabSuperdettagli[[#This Row],[Resp 2°liv]]&amp;""</f>
        <v>Gamberini G.</v>
      </c>
      <c r="Y5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1" t="str">
        <f>tabSuperdettagli[[#This Row],[WBS Element]]&amp;""</f>
        <v>WBS ddd</v>
      </c>
      <c r="AA51" t="str">
        <f>tabSuperdettagli[[#This Row],[09.2025]]</f>
        <v>319</v>
      </c>
      <c r="AC5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1" t="str">
        <f>LEFT(tabSuperdettagli[[#This Row],[Network]], 18 )</f>
        <v>AAAA.0001</v>
      </c>
      <c r="AE51" t="s">
        <v>187</v>
      </c>
      <c r="AF51" t="s">
        <v>188</v>
      </c>
      <c r="AG51" t="s">
        <v>235</v>
      </c>
      <c r="AH51">
        <v>49</v>
      </c>
      <c r="AI51" t="s">
        <v>305</v>
      </c>
      <c r="AJ51" t="s">
        <v>242</v>
      </c>
      <c r="AK51">
        <v>2023</v>
      </c>
      <c r="AL51" t="s">
        <v>190</v>
      </c>
      <c r="AM51" t="s">
        <v>191</v>
      </c>
      <c r="AN51" t="s">
        <v>192</v>
      </c>
      <c r="AO51" t="s">
        <v>193</v>
      </c>
      <c r="AP51" t="s">
        <v>192</v>
      </c>
      <c r="AQ51" t="s">
        <v>194</v>
      </c>
      <c r="AR51" t="s">
        <v>75</v>
      </c>
      <c r="AS51" t="s">
        <v>76</v>
      </c>
      <c r="AT51" t="s">
        <v>195</v>
      </c>
      <c r="AU51" t="s">
        <v>35</v>
      </c>
      <c r="AV51" t="s">
        <v>77</v>
      </c>
      <c r="AW51" t="s">
        <v>177</v>
      </c>
      <c r="AX51" t="s">
        <v>189</v>
      </c>
      <c r="AY51" t="s">
        <v>196</v>
      </c>
      <c r="AZ51" t="s">
        <v>197</v>
      </c>
      <c r="BA51" t="s">
        <v>198</v>
      </c>
      <c r="BB51" t="s">
        <v>199</v>
      </c>
      <c r="BC51">
        <v>0</v>
      </c>
      <c r="BD51">
        <v>0</v>
      </c>
      <c r="BE51">
        <v>1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1</v>
      </c>
      <c r="BP51" t="s">
        <v>45</v>
      </c>
      <c r="BQ51" t="s">
        <v>200</v>
      </c>
      <c r="BR51" t="s">
        <v>201</v>
      </c>
      <c r="BS51" t="s">
        <v>75</v>
      </c>
      <c r="BT51" t="s">
        <v>177</v>
      </c>
      <c r="BU51" t="s">
        <v>202</v>
      </c>
      <c r="BV51" t="s">
        <v>203</v>
      </c>
      <c r="BW51" t="s">
        <v>74</v>
      </c>
      <c r="BX51" t="s">
        <v>74</v>
      </c>
      <c r="BZ51" t="s">
        <v>79</v>
      </c>
      <c r="CB51" t="s">
        <v>204</v>
      </c>
    </row>
    <row r="52" spans="1:80" x14ac:dyDescent="0.25">
      <c r="A52" t="str">
        <f>IF(  UPPER(LEFT( tabSuperdettagli[[#This Row],[WBE Status]],1) ) = "S",  "sì",  "no"   )</f>
        <v>no</v>
      </c>
      <c r="B52">
        <v>2023</v>
      </c>
      <c r="C52">
        <f>VLOOKUP(tabSuperdettagli[[#This Row],[WBS_]],'pivot di appoggio'!A:B,2,FALSE)</f>
        <v>2020</v>
      </c>
      <c r="D52" t="str">
        <f>LEFT(tabSuperdettagli[[#This Row],[Network]], 10)</f>
        <v>AAAA.0001</v>
      </c>
      <c r="E52" t="str">
        <f>LEFT(tabSuperdettagli[[#This Row],[Network]], 1)</f>
        <v>A</v>
      </c>
      <c r="F52" t="str">
        <f>LOWER(TRIM( tabSuperdettagli[[#This Row],[Proj. Type ]] ))</f>
        <v/>
      </c>
      <c r="G5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2" t="e">
        <f>IF(  TRIM(#REF!)&gt; "", TRIM(#REF!), TRIM(tabSuperdettagli[[#This Row],[Resp DT]] ) )</f>
        <v>#REF!</v>
      </c>
      <c r="J52" t="str">
        <f>tabSuperdettagli[[#This Row],[07.2025]]</f>
        <v>10</v>
      </c>
      <c r="K52">
        <f>tabSuperdettagli[[#This Row],[Resp del Prodotto]]</f>
        <v>0</v>
      </c>
      <c r="L52">
        <f>tabSuperdettagli[[#This Row],[Area di bdg]]</f>
        <v>1</v>
      </c>
      <c r="W52" t="str">
        <f>tabSuperdettagli[[#This Row],[PROJ CODE]]</f>
        <v>CONV NGP PLATFORM ENG</v>
      </c>
      <c r="X52" t="str">
        <f>tabSuperdettagli[[#This Row],[Resp 2°liv]]&amp;""</f>
        <v>Gamberini G.</v>
      </c>
      <c r="Y5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2" t="str">
        <f>tabSuperdettagli[[#This Row],[WBS Element]]&amp;""</f>
        <v>WBS ddd</v>
      </c>
      <c r="AA52" t="str">
        <f>tabSuperdettagli[[#This Row],[09.2025]]</f>
        <v>319</v>
      </c>
      <c r="AC5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2" t="str">
        <f>LEFT(tabSuperdettagli[[#This Row],[Network]], 18 )</f>
        <v>AAAA.0001</v>
      </c>
      <c r="AE52" t="s">
        <v>187</v>
      </c>
      <c r="AF52" t="s">
        <v>188</v>
      </c>
      <c r="AG52" t="s">
        <v>235</v>
      </c>
      <c r="AH52">
        <v>50</v>
      </c>
      <c r="AI52" t="s">
        <v>305</v>
      </c>
      <c r="AJ52" t="s">
        <v>242</v>
      </c>
      <c r="AK52">
        <v>2023</v>
      </c>
      <c r="AL52" t="s">
        <v>190</v>
      </c>
      <c r="AM52" t="s">
        <v>191</v>
      </c>
      <c r="AN52" t="s">
        <v>192</v>
      </c>
      <c r="AO52" t="s">
        <v>193</v>
      </c>
      <c r="AP52" t="s">
        <v>192</v>
      </c>
      <c r="AQ52" t="s">
        <v>194</v>
      </c>
      <c r="AR52" t="s">
        <v>75</v>
      </c>
      <c r="AS52" t="s">
        <v>76</v>
      </c>
      <c r="AT52" t="s">
        <v>195</v>
      </c>
      <c r="AU52" t="s">
        <v>35</v>
      </c>
      <c r="AV52" t="s">
        <v>77</v>
      </c>
      <c r="AW52" t="s">
        <v>177</v>
      </c>
      <c r="AX52" t="s">
        <v>189</v>
      </c>
      <c r="AY52" t="s">
        <v>196</v>
      </c>
      <c r="AZ52" t="s">
        <v>197</v>
      </c>
      <c r="BA52" t="s">
        <v>198</v>
      </c>
      <c r="BB52" t="s">
        <v>199</v>
      </c>
      <c r="BC52">
        <v>0</v>
      </c>
      <c r="BD52">
        <v>0</v>
      </c>
      <c r="BE52">
        <v>1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1</v>
      </c>
      <c r="BP52" t="s">
        <v>45</v>
      </c>
      <c r="BQ52" t="s">
        <v>200</v>
      </c>
      <c r="BR52" t="s">
        <v>201</v>
      </c>
      <c r="BS52" t="s">
        <v>75</v>
      </c>
      <c r="BT52" t="s">
        <v>177</v>
      </c>
      <c r="BU52" t="s">
        <v>202</v>
      </c>
      <c r="BV52" t="s">
        <v>203</v>
      </c>
      <c r="BW52" t="s">
        <v>74</v>
      </c>
      <c r="BX52" t="s">
        <v>74</v>
      </c>
      <c r="BZ52" t="s">
        <v>79</v>
      </c>
      <c r="CB52" t="s">
        <v>204</v>
      </c>
    </row>
    <row r="53" spans="1:80" x14ac:dyDescent="0.25">
      <c r="A53" t="str">
        <f>IF(  UPPER(LEFT( tabSuperdettagli[[#This Row],[WBE Status]],1) ) = "S",  "sì",  "no"   )</f>
        <v>no</v>
      </c>
      <c r="B53">
        <v>2023</v>
      </c>
      <c r="C53">
        <f>VLOOKUP(tabSuperdettagli[[#This Row],[WBS_]],'pivot di appoggio'!A:B,2,FALSE)</f>
        <v>2020</v>
      </c>
      <c r="D53" t="str">
        <f>LEFT(tabSuperdettagli[[#This Row],[Network]], 10)</f>
        <v>AAAA.0001</v>
      </c>
      <c r="E53" t="str">
        <f>LEFT(tabSuperdettagli[[#This Row],[Network]], 1)</f>
        <v>A</v>
      </c>
      <c r="F53" t="str">
        <f>LOWER(TRIM( tabSuperdettagli[[#This Row],[Proj. Type ]] ))</f>
        <v/>
      </c>
      <c r="G5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3" t="e">
        <f>IF(  TRIM(#REF!)&gt; "", TRIM(#REF!), TRIM(tabSuperdettagli[[#This Row],[Resp DT]] ) )</f>
        <v>#REF!</v>
      </c>
      <c r="J53" t="str">
        <f>tabSuperdettagli[[#This Row],[07.2025]]</f>
        <v>10</v>
      </c>
      <c r="K53">
        <f>tabSuperdettagli[[#This Row],[Resp del Prodotto]]</f>
        <v>0</v>
      </c>
      <c r="L53">
        <f>tabSuperdettagli[[#This Row],[Area di bdg]]</f>
        <v>1</v>
      </c>
      <c r="W53" t="str">
        <f>tabSuperdettagli[[#This Row],[PROJ CODE]]</f>
        <v>CONV NGP PLATFORM ENG</v>
      </c>
      <c r="X53" t="str">
        <f>tabSuperdettagli[[#This Row],[Resp 2°liv]]&amp;""</f>
        <v>Gamberini G.</v>
      </c>
      <c r="Y5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3" t="str">
        <f>tabSuperdettagli[[#This Row],[WBS Element]]&amp;""</f>
        <v>WBS ddd</v>
      </c>
      <c r="AA53" t="str">
        <f>tabSuperdettagli[[#This Row],[09.2025]]</f>
        <v>319</v>
      </c>
      <c r="AC5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3" t="str">
        <f>LEFT(tabSuperdettagli[[#This Row],[Network]], 18 )</f>
        <v>AAAA.0001</v>
      </c>
      <c r="AE53" t="s">
        <v>187</v>
      </c>
      <c r="AF53" t="s">
        <v>188</v>
      </c>
      <c r="AG53" t="s">
        <v>235</v>
      </c>
      <c r="AH53">
        <v>51</v>
      </c>
      <c r="AI53" t="s">
        <v>305</v>
      </c>
      <c r="AJ53" t="s">
        <v>242</v>
      </c>
      <c r="AK53">
        <v>2023</v>
      </c>
      <c r="AL53" t="s">
        <v>190</v>
      </c>
      <c r="AM53" t="s">
        <v>191</v>
      </c>
      <c r="AN53" t="s">
        <v>192</v>
      </c>
      <c r="AO53" t="s">
        <v>193</v>
      </c>
      <c r="AP53" t="s">
        <v>192</v>
      </c>
      <c r="AQ53" t="s">
        <v>194</v>
      </c>
      <c r="AR53" t="s">
        <v>75</v>
      </c>
      <c r="AS53" t="s">
        <v>76</v>
      </c>
      <c r="AT53" t="s">
        <v>195</v>
      </c>
      <c r="AU53" t="s">
        <v>35</v>
      </c>
      <c r="AV53" t="s">
        <v>77</v>
      </c>
      <c r="AW53" t="s">
        <v>177</v>
      </c>
      <c r="AX53" t="s">
        <v>189</v>
      </c>
      <c r="AY53" t="s">
        <v>196</v>
      </c>
      <c r="AZ53" t="s">
        <v>197</v>
      </c>
      <c r="BA53" t="s">
        <v>198</v>
      </c>
      <c r="BB53" t="s">
        <v>199</v>
      </c>
      <c r="BC53">
        <v>0</v>
      </c>
      <c r="BD53">
        <v>0</v>
      </c>
      <c r="BE53">
        <v>1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1</v>
      </c>
      <c r="BP53" t="s">
        <v>45</v>
      </c>
      <c r="BQ53" t="s">
        <v>200</v>
      </c>
      <c r="BR53" t="s">
        <v>201</v>
      </c>
      <c r="BS53" t="s">
        <v>75</v>
      </c>
      <c r="BT53" t="s">
        <v>177</v>
      </c>
      <c r="BU53" t="s">
        <v>202</v>
      </c>
      <c r="BV53" t="s">
        <v>203</v>
      </c>
      <c r="BW53" t="s">
        <v>74</v>
      </c>
      <c r="BX53" t="s">
        <v>74</v>
      </c>
      <c r="BZ53" t="s">
        <v>79</v>
      </c>
      <c r="CB53" t="s">
        <v>204</v>
      </c>
    </row>
    <row r="54" spans="1:80" x14ac:dyDescent="0.25">
      <c r="A54" t="str">
        <f>IF(  UPPER(LEFT( tabSuperdettagli[[#This Row],[WBE Status]],1) ) = "S",  "sì",  "no"   )</f>
        <v>no</v>
      </c>
      <c r="B54">
        <v>2023</v>
      </c>
      <c r="C54">
        <f>VLOOKUP(tabSuperdettagli[[#This Row],[WBS_]],'pivot di appoggio'!A:B,2,FALSE)</f>
        <v>2020</v>
      </c>
      <c r="D54" t="str">
        <f>LEFT(tabSuperdettagli[[#This Row],[Network]], 10)</f>
        <v>AAAA.0001</v>
      </c>
      <c r="E54" t="str">
        <f>LEFT(tabSuperdettagli[[#This Row],[Network]], 1)</f>
        <v>A</v>
      </c>
      <c r="F54" t="str">
        <f>LOWER(TRIM( tabSuperdettagli[[#This Row],[Proj. Type ]] ))</f>
        <v/>
      </c>
      <c r="G5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4" t="e">
        <f>IF(  TRIM(#REF!)&gt; "", TRIM(#REF!), TRIM(tabSuperdettagli[[#This Row],[Resp DT]] ) )</f>
        <v>#REF!</v>
      </c>
      <c r="J54" t="str">
        <f>tabSuperdettagli[[#This Row],[07.2025]]</f>
        <v>10</v>
      </c>
      <c r="K54">
        <f>tabSuperdettagli[[#This Row],[Resp del Prodotto]]</f>
        <v>0</v>
      </c>
      <c r="L54">
        <f>tabSuperdettagli[[#This Row],[Area di bdg]]</f>
        <v>1</v>
      </c>
      <c r="W54" t="str">
        <f>tabSuperdettagli[[#This Row],[PROJ CODE]]</f>
        <v>CONV NGP PLATFORM ENG</v>
      </c>
      <c r="X54" t="str">
        <f>tabSuperdettagli[[#This Row],[Resp 2°liv]]&amp;""</f>
        <v>Gamberini G.</v>
      </c>
      <c r="Y5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4" t="str">
        <f>tabSuperdettagli[[#This Row],[WBS Element]]&amp;""</f>
        <v>WBS ddd</v>
      </c>
      <c r="AA54" t="str">
        <f>tabSuperdettagli[[#This Row],[09.2025]]</f>
        <v>319</v>
      </c>
      <c r="AC5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4" t="str">
        <f>LEFT(tabSuperdettagli[[#This Row],[Network]], 18 )</f>
        <v>AAAA.0001</v>
      </c>
      <c r="AE54" t="s">
        <v>187</v>
      </c>
      <c r="AF54" t="s">
        <v>188</v>
      </c>
      <c r="AG54" t="s">
        <v>235</v>
      </c>
      <c r="AH54">
        <v>52</v>
      </c>
      <c r="AI54" t="s">
        <v>305</v>
      </c>
      <c r="AJ54" t="s">
        <v>242</v>
      </c>
      <c r="AK54">
        <v>2023</v>
      </c>
      <c r="AL54" t="s">
        <v>190</v>
      </c>
      <c r="AM54" t="s">
        <v>191</v>
      </c>
      <c r="AN54" t="s">
        <v>192</v>
      </c>
      <c r="AO54" t="s">
        <v>193</v>
      </c>
      <c r="AP54" t="s">
        <v>192</v>
      </c>
      <c r="AQ54" t="s">
        <v>194</v>
      </c>
      <c r="AR54" t="s">
        <v>75</v>
      </c>
      <c r="AS54" t="s">
        <v>76</v>
      </c>
      <c r="AT54" t="s">
        <v>195</v>
      </c>
      <c r="AU54" t="s">
        <v>35</v>
      </c>
      <c r="AV54" t="s">
        <v>77</v>
      </c>
      <c r="AW54" t="s">
        <v>177</v>
      </c>
      <c r="AX54" t="s">
        <v>189</v>
      </c>
      <c r="AY54" t="s">
        <v>196</v>
      </c>
      <c r="AZ54" t="s">
        <v>197</v>
      </c>
      <c r="BA54" t="s">
        <v>198</v>
      </c>
      <c r="BB54" t="s">
        <v>199</v>
      </c>
      <c r="BC54">
        <v>0</v>
      </c>
      <c r="BD54">
        <v>0</v>
      </c>
      <c r="BE54">
        <v>1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1</v>
      </c>
      <c r="BP54" t="s">
        <v>45</v>
      </c>
      <c r="BQ54" t="s">
        <v>200</v>
      </c>
      <c r="BR54" t="s">
        <v>201</v>
      </c>
      <c r="BS54" t="s">
        <v>75</v>
      </c>
      <c r="BT54" t="s">
        <v>177</v>
      </c>
      <c r="BU54" t="s">
        <v>202</v>
      </c>
      <c r="BV54" t="s">
        <v>203</v>
      </c>
      <c r="BW54" t="s">
        <v>74</v>
      </c>
      <c r="BX54" t="s">
        <v>74</v>
      </c>
      <c r="BZ54" t="s">
        <v>79</v>
      </c>
      <c r="CB54" t="s">
        <v>204</v>
      </c>
    </row>
    <row r="55" spans="1:80" x14ac:dyDescent="0.25">
      <c r="A55" t="str">
        <f>IF(  UPPER(LEFT( tabSuperdettagli[[#This Row],[WBE Status]],1) ) = "S",  "sì",  "no"   )</f>
        <v>no</v>
      </c>
      <c r="B55">
        <v>2023</v>
      </c>
      <c r="C55">
        <f>VLOOKUP(tabSuperdettagli[[#This Row],[WBS_]],'pivot di appoggio'!A:B,2,FALSE)</f>
        <v>2020</v>
      </c>
      <c r="D55" t="str">
        <f>LEFT(tabSuperdettagli[[#This Row],[Network]], 10)</f>
        <v>AAAA.0001</v>
      </c>
      <c r="E55" t="str">
        <f>LEFT(tabSuperdettagli[[#This Row],[Network]], 1)</f>
        <v>A</v>
      </c>
      <c r="F55" t="str">
        <f>LOWER(TRIM( tabSuperdettagli[[#This Row],[Proj. Type ]] ))</f>
        <v/>
      </c>
      <c r="G5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5" t="e">
        <f>IF(  TRIM(#REF!)&gt; "", TRIM(#REF!), TRIM(tabSuperdettagli[[#This Row],[Resp DT]] ) )</f>
        <v>#REF!</v>
      </c>
      <c r="J55" t="str">
        <f>tabSuperdettagli[[#This Row],[07.2025]]</f>
        <v>10</v>
      </c>
      <c r="K55">
        <f>tabSuperdettagli[[#This Row],[Resp del Prodotto]]</f>
        <v>0</v>
      </c>
      <c r="L55">
        <f>tabSuperdettagli[[#This Row],[Area di bdg]]</f>
        <v>1</v>
      </c>
      <c r="W55" t="str">
        <f>tabSuperdettagli[[#This Row],[PROJ CODE]]</f>
        <v>CONV NGP PLATFORM ENG</v>
      </c>
      <c r="X55" t="str">
        <f>tabSuperdettagli[[#This Row],[Resp 2°liv]]&amp;""</f>
        <v>Gamberini G.</v>
      </c>
      <c r="Y5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5" t="str">
        <f>tabSuperdettagli[[#This Row],[WBS Element]]&amp;""</f>
        <v>WBS ddd</v>
      </c>
      <c r="AA55" t="str">
        <f>tabSuperdettagli[[#This Row],[09.2025]]</f>
        <v>319</v>
      </c>
      <c r="AC5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5" t="str">
        <f>LEFT(tabSuperdettagli[[#This Row],[Network]], 18 )</f>
        <v>AAAA.0001</v>
      </c>
      <c r="AE55" t="s">
        <v>187</v>
      </c>
      <c r="AF55" t="s">
        <v>188</v>
      </c>
      <c r="AG55" t="s">
        <v>235</v>
      </c>
      <c r="AH55">
        <v>53</v>
      </c>
      <c r="AI55" t="s">
        <v>305</v>
      </c>
      <c r="AJ55" t="s">
        <v>242</v>
      </c>
      <c r="AK55">
        <v>2023</v>
      </c>
      <c r="AL55" t="s">
        <v>190</v>
      </c>
      <c r="AM55" t="s">
        <v>191</v>
      </c>
      <c r="AN55" t="s">
        <v>192</v>
      </c>
      <c r="AO55" t="s">
        <v>193</v>
      </c>
      <c r="AP55" t="s">
        <v>192</v>
      </c>
      <c r="AQ55" t="s">
        <v>194</v>
      </c>
      <c r="AR55" t="s">
        <v>75</v>
      </c>
      <c r="AS55" t="s">
        <v>76</v>
      </c>
      <c r="AT55" t="s">
        <v>195</v>
      </c>
      <c r="AU55" t="s">
        <v>35</v>
      </c>
      <c r="AV55" t="s">
        <v>77</v>
      </c>
      <c r="AW55" t="s">
        <v>177</v>
      </c>
      <c r="AX55" t="s">
        <v>189</v>
      </c>
      <c r="AY55" t="s">
        <v>196</v>
      </c>
      <c r="AZ55" t="s">
        <v>197</v>
      </c>
      <c r="BA55" t="s">
        <v>198</v>
      </c>
      <c r="BB55" t="s">
        <v>199</v>
      </c>
      <c r="BC55">
        <v>0</v>
      </c>
      <c r="BD55">
        <v>0</v>
      </c>
      <c r="BE55">
        <v>1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1</v>
      </c>
      <c r="BP55" t="s">
        <v>45</v>
      </c>
      <c r="BQ55" t="s">
        <v>200</v>
      </c>
      <c r="BR55" t="s">
        <v>201</v>
      </c>
      <c r="BS55" t="s">
        <v>75</v>
      </c>
      <c r="BT55" t="s">
        <v>177</v>
      </c>
      <c r="BU55" t="s">
        <v>202</v>
      </c>
      <c r="BV55" t="s">
        <v>203</v>
      </c>
      <c r="BW55" t="s">
        <v>74</v>
      </c>
      <c r="BX55" t="s">
        <v>74</v>
      </c>
      <c r="BZ55" t="s">
        <v>79</v>
      </c>
      <c r="CB55" t="s">
        <v>204</v>
      </c>
    </row>
    <row r="56" spans="1:80" x14ac:dyDescent="0.25">
      <c r="A56" t="str">
        <f>IF(  UPPER(LEFT( tabSuperdettagli[[#This Row],[WBE Status]],1) ) = "S",  "sì",  "no"   )</f>
        <v>no</v>
      </c>
      <c r="B56">
        <v>2023</v>
      </c>
      <c r="C56">
        <f>VLOOKUP(tabSuperdettagli[[#This Row],[WBS_]],'pivot di appoggio'!A:B,2,FALSE)</f>
        <v>2020</v>
      </c>
      <c r="D56" t="str">
        <f>LEFT(tabSuperdettagli[[#This Row],[Network]], 10)</f>
        <v>AAAA.0001</v>
      </c>
      <c r="E56" t="str">
        <f>LEFT(tabSuperdettagli[[#This Row],[Network]], 1)</f>
        <v>A</v>
      </c>
      <c r="F56" t="str">
        <f>LOWER(TRIM( tabSuperdettagli[[#This Row],[Proj. Type ]] ))</f>
        <v/>
      </c>
      <c r="G5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6" t="e">
        <f>IF(  TRIM(#REF!)&gt; "", TRIM(#REF!), TRIM(tabSuperdettagli[[#This Row],[Resp DT]] ) )</f>
        <v>#REF!</v>
      </c>
      <c r="J56" t="str">
        <f>tabSuperdettagli[[#This Row],[07.2025]]</f>
        <v>10</v>
      </c>
      <c r="K56">
        <f>tabSuperdettagli[[#This Row],[Resp del Prodotto]]</f>
        <v>0</v>
      </c>
      <c r="L56">
        <f>tabSuperdettagli[[#This Row],[Area di bdg]]</f>
        <v>1</v>
      </c>
      <c r="W56" t="str">
        <f>tabSuperdettagli[[#This Row],[PROJ CODE]]</f>
        <v>CONV NGP PLATFORM ENG</v>
      </c>
      <c r="X56" t="str">
        <f>tabSuperdettagli[[#This Row],[Resp 2°liv]]&amp;""</f>
        <v>Gamberini G.</v>
      </c>
      <c r="Y5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6" t="str">
        <f>tabSuperdettagli[[#This Row],[WBS Element]]&amp;""</f>
        <v>WBS ddd</v>
      </c>
      <c r="AA56" t="str">
        <f>tabSuperdettagli[[#This Row],[09.2025]]</f>
        <v>319</v>
      </c>
      <c r="AC5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6" t="str">
        <f>LEFT(tabSuperdettagli[[#This Row],[Network]], 18 )</f>
        <v>AAAA.0001</v>
      </c>
      <c r="AE56" t="s">
        <v>187</v>
      </c>
      <c r="AF56" t="s">
        <v>188</v>
      </c>
      <c r="AG56" t="s">
        <v>235</v>
      </c>
      <c r="AH56">
        <v>54</v>
      </c>
      <c r="AI56" t="s">
        <v>305</v>
      </c>
      <c r="AJ56" t="s">
        <v>242</v>
      </c>
      <c r="AK56">
        <v>2023</v>
      </c>
      <c r="AL56" t="s">
        <v>190</v>
      </c>
      <c r="AM56" t="s">
        <v>191</v>
      </c>
      <c r="AN56" t="s">
        <v>192</v>
      </c>
      <c r="AO56" t="s">
        <v>193</v>
      </c>
      <c r="AP56" t="s">
        <v>192</v>
      </c>
      <c r="AQ56" t="s">
        <v>194</v>
      </c>
      <c r="AR56" t="s">
        <v>75</v>
      </c>
      <c r="AS56" t="s">
        <v>76</v>
      </c>
      <c r="AT56" t="s">
        <v>195</v>
      </c>
      <c r="AU56" t="s">
        <v>35</v>
      </c>
      <c r="AV56" t="s">
        <v>77</v>
      </c>
      <c r="AW56" t="s">
        <v>177</v>
      </c>
      <c r="AX56" t="s">
        <v>189</v>
      </c>
      <c r="AY56" t="s">
        <v>196</v>
      </c>
      <c r="AZ56" t="s">
        <v>197</v>
      </c>
      <c r="BA56" t="s">
        <v>198</v>
      </c>
      <c r="BB56" t="s">
        <v>199</v>
      </c>
      <c r="BC56">
        <v>0</v>
      </c>
      <c r="BD56">
        <v>0</v>
      </c>
      <c r="BE56">
        <v>1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1</v>
      </c>
      <c r="BP56" t="s">
        <v>45</v>
      </c>
      <c r="BQ56" t="s">
        <v>200</v>
      </c>
      <c r="BR56" t="s">
        <v>201</v>
      </c>
      <c r="BS56" t="s">
        <v>75</v>
      </c>
      <c r="BT56" t="s">
        <v>177</v>
      </c>
      <c r="BU56" t="s">
        <v>202</v>
      </c>
      <c r="BV56" t="s">
        <v>203</v>
      </c>
      <c r="BW56" t="s">
        <v>74</v>
      </c>
      <c r="BX56" t="s">
        <v>74</v>
      </c>
      <c r="BZ56" t="s">
        <v>79</v>
      </c>
      <c r="CB56" t="s">
        <v>204</v>
      </c>
    </row>
    <row r="57" spans="1:80" x14ac:dyDescent="0.25">
      <c r="A57" t="str">
        <f>IF(  UPPER(LEFT( tabSuperdettagli[[#This Row],[WBE Status]],1) ) = "S",  "sì",  "no"   )</f>
        <v>no</v>
      </c>
      <c r="B57">
        <v>2023</v>
      </c>
      <c r="C57">
        <f>VLOOKUP(tabSuperdettagli[[#This Row],[WBS_]],'pivot di appoggio'!A:B,2,FALSE)</f>
        <v>2020</v>
      </c>
      <c r="D57" t="str">
        <f>LEFT(tabSuperdettagli[[#This Row],[Network]], 10)</f>
        <v>AAAA.0001</v>
      </c>
      <c r="E57" t="str">
        <f>LEFT(tabSuperdettagli[[#This Row],[Network]], 1)</f>
        <v>A</v>
      </c>
      <c r="F57" t="str">
        <f>LOWER(TRIM( tabSuperdettagli[[#This Row],[Proj. Type ]] ))</f>
        <v/>
      </c>
      <c r="G5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7" t="e">
        <f>IF(  TRIM(#REF!)&gt; "", TRIM(#REF!), TRIM(tabSuperdettagli[[#This Row],[Resp DT]] ) )</f>
        <v>#REF!</v>
      </c>
      <c r="J57" t="str">
        <f>tabSuperdettagli[[#This Row],[07.2025]]</f>
        <v>10</v>
      </c>
      <c r="K57">
        <f>tabSuperdettagli[[#This Row],[Resp del Prodotto]]</f>
        <v>0</v>
      </c>
      <c r="L57">
        <f>tabSuperdettagli[[#This Row],[Area di bdg]]</f>
        <v>1</v>
      </c>
      <c r="W57" t="str">
        <f>tabSuperdettagli[[#This Row],[PROJ CODE]]</f>
        <v>CONV NGP PLATFORM ENG</v>
      </c>
      <c r="X57" t="str">
        <f>tabSuperdettagli[[#This Row],[Resp 2°liv]]&amp;""</f>
        <v>Gamberini G.</v>
      </c>
      <c r="Y5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7" t="str">
        <f>tabSuperdettagli[[#This Row],[WBS Element]]&amp;""</f>
        <v>WBS ddd</v>
      </c>
      <c r="AA57" t="str">
        <f>tabSuperdettagli[[#This Row],[09.2025]]</f>
        <v>319</v>
      </c>
      <c r="AC5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7" t="str">
        <f>LEFT(tabSuperdettagli[[#This Row],[Network]], 18 )</f>
        <v>AAAA.0001</v>
      </c>
      <c r="AE57" t="s">
        <v>187</v>
      </c>
      <c r="AF57" t="s">
        <v>188</v>
      </c>
      <c r="AG57" t="s">
        <v>235</v>
      </c>
      <c r="AH57">
        <v>55</v>
      </c>
      <c r="AI57" t="s">
        <v>305</v>
      </c>
      <c r="AJ57" t="s">
        <v>242</v>
      </c>
      <c r="AK57">
        <v>2023</v>
      </c>
      <c r="AL57" t="s">
        <v>190</v>
      </c>
      <c r="AM57" t="s">
        <v>191</v>
      </c>
      <c r="AN57" t="s">
        <v>192</v>
      </c>
      <c r="AO57" t="s">
        <v>193</v>
      </c>
      <c r="AP57" t="s">
        <v>192</v>
      </c>
      <c r="AQ57" t="s">
        <v>194</v>
      </c>
      <c r="AR57" t="s">
        <v>75</v>
      </c>
      <c r="AS57" t="s">
        <v>76</v>
      </c>
      <c r="AT57" t="s">
        <v>195</v>
      </c>
      <c r="AU57" t="s">
        <v>35</v>
      </c>
      <c r="AV57" t="s">
        <v>77</v>
      </c>
      <c r="AW57" t="s">
        <v>177</v>
      </c>
      <c r="AX57" t="s">
        <v>189</v>
      </c>
      <c r="AY57" t="s">
        <v>196</v>
      </c>
      <c r="AZ57" t="s">
        <v>197</v>
      </c>
      <c r="BA57" t="s">
        <v>198</v>
      </c>
      <c r="BB57" t="s">
        <v>199</v>
      </c>
      <c r="BC57">
        <v>0</v>
      </c>
      <c r="BD57">
        <v>0</v>
      </c>
      <c r="BE57">
        <v>1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1</v>
      </c>
      <c r="BP57" t="s">
        <v>45</v>
      </c>
      <c r="BQ57" t="s">
        <v>200</v>
      </c>
      <c r="BR57" t="s">
        <v>201</v>
      </c>
      <c r="BS57" t="s">
        <v>75</v>
      </c>
      <c r="BT57" t="s">
        <v>177</v>
      </c>
      <c r="BU57" t="s">
        <v>202</v>
      </c>
      <c r="BV57" t="s">
        <v>203</v>
      </c>
      <c r="BW57" t="s">
        <v>74</v>
      </c>
      <c r="BX57" t="s">
        <v>74</v>
      </c>
      <c r="BZ57" t="s">
        <v>79</v>
      </c>
      <c r="CB57" t="s">
        <v>204</v>
      </c>
    </row>
    <row r="58" spans="1:80" x14ac:dyDescent="0.25">
      <c r="A58" t="str">
        <f>IF(  UPPER(LEFT( tabSuperdettagli[[#This Row],[WBE Status]],1) ) = "S",  "sì",  "no"   )</f>
        <v>no</v>
      </c>
      <c r="B58">
        <v>2023</v>
      </c>
      <c r="C58">
        <f>VLOOKUP(tabSuperdettagli[[#This Row],[WBS_]],'pivot di appoggio'!A:B,2,FALSE)</f>
        <v>2020</v>
      </c>
      <c r="D58" t="str">
        <f>LEFT(tabSuperdettagli[[#This Row],[Network]], 10)</f>
        <v>AAAA.0001</v>
      </c>
      <c r="E58" t="str">
        <f>LEFT(tabSuperdettagli[[#This Row],[Network]], 1)</f>
        <v>A</v>
      </c>
      <c r="F58" t="str">
        <f>LOWER(TRIM( tabSuperdettagli[[#This Row],[Proj. Type ]] ))</f>
        <v/>
      </c>
      <c r="G5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8" t="e">
        <f>IF(  TRIM(#REF!)&gt; "", TRIM(#REF!), TRIM(tabSuperdettagli[[#This Row],[Resp DT]] ) )</f>
        <v>#REF!</v>
      </c>
      <c r="J58" t="str">
        <f>tabSuperdettagli[[#This Row],[07.2025]]</f>
        <v>10</v>
      </c>
      <c r="K58">
        <f>tabSuperdettagli[[#This Row],[Resp del Prodotto]]</f>
        <v>0</v>
      </c>
      <c r="L58">
        <f>tabSuperdettagli[[#This Row],[Area di bdg]]</f>
        <v>1</v>
      </c>
      <c r="W58" t="str">
        <f>tabSuperdettagli[[#This Row],[PROJ CODE]]</f>
        <v>CONV NGP PLATFORM ENG</v>
      </c>
      <c r="X58" t="str">
        <f>tabSuperdettagli[[#This Row],[Resp 2°liv]]&amp;""</f>
        <v>Gamberini G.</v>
      </c>
      <c r="Y5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8" t="str">
        <f>tabSuperdettagli[[#This Row],[WBS Element]]&amp;""</f>
        <v>WBS ddd</v>
      </c>
      <c r="AA58" t="str">
        <f>tabSuperdettagli[[#This Row],[09.2025]]</f>
        <v>319</v>
      </c>
      <c r="AC5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8" t="str">
        <f>LEFT(tabSuperdettagli[[#This Row],[Network]], 18 )</f>
        <v>AAAA.0001</v>
      </c>
      <c r="AE58" t="s">
        <v>187</v>
      </c>
      <c r="AF58" t="s">
        <v>188</v>
      </c>
      <c r="AG58" t="s">
        <v>235</v>
      </c>
      <c r="AH58">
        <v>56</v>
      </c>
      <c r="AI58" t="s">
        <v>305</v>
      </c>
      <c r="AJ58" t="s">
        <v>242</v>
      </c>
      <c r="AK58">
        <v>2023</v>
      </c>
      <c r="AL58" t="s">
        <v>190</v>
      </c>
      <c r="AM58" t="s">
        <v>191</v>
      </c>
      <c r="AN58" t="s">
        <v>192</v>
      </c>
      <c r="AO58" t="s">
        <v>193</v>
      </c>
      <c r="AP58" t="s">
        <v>192</v>
      </c>
      <c r="AQ58" t="s">
        <v>194</v>
      </c>
      <c r="AR58" t="s">
        <v>75</v>
      </c>
      <c r="AS58" t="s">
        <v>76</v>
      </c>
      <c r="AT58" t="s">
        <v>195</v>
      </c>
      <c r="AU58" t="s">
        <v>35</v>
      </c>
      <c r="AV58" t="s">
        <v>77</v>
      </c>
      <c r="AW58" t="s">
        <v>177</v>
      </c>
      <c r="AX58" t="s">
        <v>189</v>
      </c>
      <c r="AY58" t="s">
        <v>196</v>
      </c>
      <c r="AZ58" t="s">
        <v>197</v>
      </c>
      <c r="BA58" t="s">
        <v>198</v>
      </c>
      <c r="BB58" t="s">
        <v>199</v>
      </c>
      <c r="BC58">
        <v>0</v>
      </c>
      <c r="BD58">
        <v>0</v>
      </c>
      <c r="BE58">
        <v>1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1</v>
      </c>
      <c r="BP58" t="s">
        <v>45</v>
      </c>
      <c r="BQ58" t="s">
        <v>200</v>
      </c>
      <c r="BR58" t="s">
        <v>201</v>
      </c>
      <c r="BS58" t="s">
        <v>75</v>
      </c>
      <c r="BT58" t="s">
        <v>177</v>
      </c>
      <c r="BU58" t="s">
        <v>202</v>
      </c>
      <c r="BV58" t="s">
        <v>203</v>
      </c>
      <c r="BW58" t="s">
        <v>74</v>
      </c>
      <c r="BX58" t="s">
        <v>74</v>
      </c>
      <c r="BZ58" t="s">
        <v>79</v>
      </c>
      <c r="CB58" t="s">
        <v>204</v>
      </c>
    </row>
    <row r="59" spans="1:80" x14ac:dyDescent="0.25">
      <c r="A59" t="str">
        <f>IF(  UPPER(LEFT( tabSuperdettagli[[#This Row],[WBE Status]],1) ) = "S",  "sì",  "no"   )</f>
        <v>no</v>
      </c>
      <c r="B59">
        <v>2023</v>
      </c>
      <c r="C59">
        <f>VLOOKUP(tabSuperdettagli[[#This Row],[WBS_]],'pivot di appoggio'!A:B,2,FALSE)</f>
        <v>2020</v>
      </c>
      <c r="D59" t="str">
        <f>LEFT(tabSuperdettagli[[#This Row],[Network]], 10)</f>
        <v>AAAA.0001</v>
      </c>
      <c r="E59" t="str">
        <f>LEFT(tabSuperdettagli[[#This Row],[Network]], 1)</f>
        <v>A</v>
      </c>
      <c r="F59" t="str">
        <f>LOWER(TRIM( tabSuperdettagli[[#This Row],[Proj. Type ]] ))</f>
        <v/>
      </c>
      <c r="G5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9" t="e">
        <f>IF(  TRIM(#REF!)&gt; "", TRIM(#REF!), TRIM(tabSuperdettagli[[#This Row],[Resp DT]] ) )</f>
        <v>#REF!</v>
      </c>
      <c r="J59" t="str">
        <f>tabSuperdettagli[[#This Row],[07.2025]]</f>
        <v>10</v>
      </c>
      <c r="K59">
        <f>tabSuperdettagli[[#This Row],[Resp del Prodotto]]</f>
        <v>0</v>
      </c>
      <c r="L59">
        <f>tabSuperdettagli[[#This Row],[Area di bdg]]</f>
        <v>1</v>
      </c>
      <c r="W59" t="str">
        <f>tabSuperdettagli[[#This Row],[PROJ CODE]]</f>
        <v>CONV NGP PLATFORM ENG</v>
      </c>
      <c r="X59" t="str">
        <f>tabSuperdettagli[[#This Row],[Resp 2°liv]]&amp;""</f>
        <v>Gamberini G.</v>
      </c>
      <c r="Y5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9" t="str">
        <f>tabSuperdettagli[[#This Row],[WBS Element]]&amp;""</f>
        <v>WBS ddd</v>
      </c>
      <c r="AA59" t="str">
        <f>tabSuperdettagli[[#This Row],[09.2025]]</f>
        <v>319</v>
      </c>
      <c r="AC5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9" t="str">
        <f>LEFT(tabSuperdettagli[[#This Row],[Network]], 18 )</f>
        <v>AAAA.0001</v>
      </c>
      <c r="AE59" t="s">
        <v>187</v>
      </c>
      <c r="AF59" t="s">
        <v>188</v>
      </c>
      <c r="AG59" t="s">
        <v>235</v>
      </c>
      <c r="AH59">
        <v>57</v>
      </c>
      <c r="AI59" t="s">
        <v>305</v>
      </c>
      <c r="AJ59" t="s">
        <v>242</v>
      </c>
      <c r="AK59">
        <v>2023</v>
      </c>
      <c r="AL59" t="s">
        <v>190</v>
      </c>
      <c r="AM59" t="s">
        <v>191</v>
      </c>
      <c r="AN59" t="s">
        <v>192</v>
      </c>
      <c r="AO59" t="s">
        <v>193</v>
      </c>
      <c r="AP59" t="s">
        <v>192</v>
      </c>
      <c r="AQ59" t="s">
        <v>194</v>
      </c>
      <c r="AR59" t="s">
        <v>75</v>
      </c>
      <c r="AS59" t="s">
        <v>76</v>
      </c>
      <c r="AT59" t="s">
        <v>195</v>
      </c>
      <c r="AU59" t="s">
        <v>35</v>
      </c>
      <c r="AV59" t="s">
        <v>77</v>
      </c>
      <c r="AW59" t="s">
        <v>177</v>
      </c>
      <c r="AX59" t="s">
        <v>189</v>
      </c>
      <c r="AY59" t="s">
        <v>196</v>
      </c>
      <c r="AZ59" t="s">
        <v>197</v>
      </c>
      <c r="BA59" t="s">
        <v>198</v>
      </c>
      <c r="BB59" t="s">
        <v>199</v>
      </c>
      <c r="BC59">
        <v>0</v>
      </c>
      <c r="BD59">
        <v>0</v>
      </c>
      <c r="BE59">
        <v>1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1</v>
      </c>
      <c r="BP59" t="s">
        <v>45</v>
      </c>
      <c r="BQ59" t="s">
        <v>200</v>
      </c>
      <c r="BR59" t="s">
        <v>201</v>
      </c>
      <c r="BS59" t="s">
        <v>75</v>
      </c>
      <c r="BT59" t="s">
        <v>177</v>
      </c>
      <c r="BU59" t="s">
        <v>202</v>
      </c>
      <c r="BV59" t="s">
        <v>203</v>
      </c>
      <c r="BW59" t="s">
        <v>74</v>
      </c>
      <c r="BX59" t="s">
        <v>74</v>
      </c>
      <c r="BZ59" t="s">
        <v>79</v>
      </c>
      <c r="CB59" t="s">
        <v>204</v>
      </c>
    </row>
    <row r="60" spans="1:80" x14ac:dyDescent="0.25">
      <c r="A60" t="str">
        <f>IF(  UPPER(LEFT( tabSuperdettagli[[#This Row],[WBE Status]],1) ) = "S",  "sì",  "no"   )</f>
        <v>no</v>
      </c>
      <c r="B60">
        <v>2023</v>
      </c>
      <c r="C60">
        <f>VLOOKUP(tabSuperdettagli[[#This Row],[WBS_]],'pivot di appoggio'!A:B,2,FALSE)</f>
        <v>2020</v>
      </c>
      <c r="D60" t="str">
        <f>LEFT(tabSuperdettagli[[#This Row],[Network]], 10)</f>
        <v>AAAA.0001</v>
      </c>
      <c r="E60" t="str">
        <f>LEFT(tabSuperdettagli[[#This Row],[Network]], 1)</f>
        <v>A</v>
      </c>
      <c r="F60" t="str">
        <f>LOWER(TRIM( tabSuperdettagli[[#This Row],[Proj. Type ]] ))</f>
        <v/>
      </c>
      <c r="G6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0" t="e">
        <f>IF(  TRIM(#REF!)&gt; "", TRIM(#REF!), TRIM(tabSuperdettagli[[#This Row],[Resp DT]] ) )</f>
        <v>#REF!</v>
      </c>
      <c r="J60" t="str">
        <f>tabSuperdettagli[[#This Row],[07.2025]]</f>
        <v>10</v>
      </c>
      <c r="K60">
        <f>tabSuperdettagli[[#This Row],[Resp del Prodotto]]</f>
        <v>0</v>
      </c>
      <c r="L60">
        <f>tabSuperdettagli[[#This Row],[Area di bdg]]</f>
        <v>1</v>
      </c>
      <c r="W60" t="str">
        <f>tabSuperdettagli[[#This Row],[PROJ CODE]]</f>
        <v>CONV NGP PLATFORM ENG</v>
      </c>
      <c r="X60" t="str">
        <f>tabSuperdettagli[[#This Row],[Resp 2°liv]]&amp;""</f>
        <v>Gamberini G.</v>
      </c>
      <c r="Y6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0" t="str">
        <f>tabSuperdettagli[[#This Row],[WBS Element]]&amp;""</f>
        <v>WBS ddd</v>
      </c>
      <c r="AA60" t="str">
        <f>tabSuperdettagli[[#This Row],[09.2025]]</f>
        <v>319</v>
      </c>
      <c r="AC6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0" t="str">
        <f>LEFT(tabSuperdettagli[[#This Row],[Network]], 18 )</f>
        <v>AAAA.0001</v>
      </c>
      <c r="AE60" t="s">
        <v>187</v>
      </c>
      <c r="AF60" t="s">
        <v>188</v>
      </c>
      <c r="AG60" t="s">
        <v>235</v>
      </c>
      <c r="AH60">
        <v>58</v>
      </c>
      <c r="AI60" t="s">
        <v>305</v>
      </c>
      <c r="AJ60" t="s">
        <v>242</v>
      </c>
      <c r="AK60">
        <v>2023</v>
      </c>
      <c r="AL60" t="s">
        <v>190</v>
      </c>
      <c r="AM60" t="s">
        <v>191</v>
      </c>
      <c r="AN60" t="s">
        <v>192</v>
      </c>
      <c r="AO60" t="s">
        <v>193</v>
      </c>
      <c r="AP60" t="s">
        <v>192</v>
      </c>
      <c r="AQ60" t="s">
        <v>194</v>
      </c>
      <c r="AR60" t="s">
        <v>75</v>
      </c>
      <c r="AS60" t="s">
        <v>76</v>
      </c>
      <c r="AT60" t="s">
        <v>195</v>
      </c>
      <c r="AU60" t="s">
        <v>35</v>
      </c>
      <c r="AV60" t="s">
        <v>77</v>
      </c>
      <c r="AW60" t="s">
        <v>177</v>
      </c>
      <c r="AX60" t="s">
        <v>189</v>
      </c>
      <c r="AY60" t="s">
        <v>196</v>
      </c>
      <c r="AZ60" t="s">
        <v>197</v>
      </c>
      <c r="BA60" t="s">
        <v>198</v>
      </c>
      <c r="BB60" t="s">
        <v>199</v>
      </c>
      <c r="BC60">
        <v>0</v>
      </c>
      <c r="BD60">
        <v>0</v>
      </c>
      <c r="BE60">
        <v>1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1</v>
      </c>
      <c r="BP60" t="s">
        <v>45</v>
      </c>
      <c r="BQ60" t="s">
        <v>200</v>
      </c>
      <c r="BR60" t="s">
        <v>201</v>
      </c>
      <c r="BS60" t="s">
        <v>75</v>
      </c>
      <c r="BT60" t="s">
        <v>177</v>
      </c>
      <c r="BU60" t="s">
        <v>202</v>
      </c>
      <c r="BV60" t="s">
        <v>203</v>
      </c>
      <c r="BW60" t="s">
        <v>74</v>
      </c>
      <c r="BX60" t="s">
        <v>74</v>
      </c>
      <c r="BZ60" t="s">
        <v>79</v>
      </c>
      <c r="CB60" t="s">
        <v>204</v>
      </c>
    </row>
    <row r="61" spans="1:80" x14ac:dyDescent="0.25">
      <c r="A61" t="str">
        <f>IF(  UPPER(LEFT( tabSuperdettagli[[#This Row],[WBE Status]],1) ) = "S",  "sì",  "no"   )</f>
        <v>no</v>
      </c>
      <c r="B61">
        <v>2023</v>
      </c>
      <c r="C61">
        <f>VLOOKUP(tabSuperdettagli[[#This Row],[WBS_]],'pivot di appoggio'!A:B,2,FALSE)</f>
        <v>2020</v>
      </c>
      <c r="D61" t="str">
        <f>LEFT(tabSuperdettagli[[#This Row],[Network]], 10)</f>
        <v>AAAA.0001</v>
      </c>
      <c r="E61" t="str">
        <f>LEFT(tabSuperdettagli[[#This Row],[Network]], 1)</f>
        <v>A</v>
      </c>
      <c r="F61" t="str">
        <f>LOWER(TRIM( tabSuperdettagli[[#This Row],[Proj. Type ]] ))</f>
        <v/>
      </c>
      <c r="G6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1" t="e">
        <f>IF(  TRIM(#REF!)&gt; "", TRIM(#REF!), TRIM(tabSuperdettagli[[#This Row],[Resp DT]] ) )</f>
        <v>#REF!</v>
      </c>
      <c r="J61" t="str">
        <f>tabSuperdettagli[[#This Row],[07.2025]]</f>
        <v>10</v>
      </c>
      <c r="K61">
        <f>tabSuperdettagli[[#This Row],[Resp del Prodotto]]</f>
        <v>0</v>
      </c>
      <c r="L61">
        <f>tabSuperdettagli[[#This Row],[Area di bdg]]</f>
        <v>1</v>
      </c>
      <c r="W61" t="str">
        <f>tabSuperdettagli[[#This Row],[PROJ CODE]]</f>
        <v>CONV NGP PLATFORM ENG</v>
      </c>
      <c r="X61" t="str">
        <f>tabSuperdettagli[[#This Row],[Resp 2°liv]]&amp;""</f>
        <v>Gamberini G.</v>
      </c>
      <c r="Y6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1" t="str">
        <f>tabSuperdettagli[[#This Row],[WBS Element]]&amp;""</f>
        <v>WBS ddd</v>
      </c>
      <c r="AA61" t="str">
        <f>tabSuperdettagli[[#This Row],[09.2025]]</f>
        <v>319</v>
      </c>
      <c r="AC6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1" t="str">
        <f>LEFT(tabSuperdettagli[[#This Row],[Network]], 18 )</f>
        <v>AAAA.0001</v>
      </c>
      <c r="AE61" t="s">
        <v>187</v>
      </c>
      <c r="AF61" t="s">
        <v>188</v>
      </c>
      <c r="AG61" t="s">
        <v>235</v>
      </c>
      <c r="AH61">
        <v>59</v>
      </c>
      <c r="AI61" t="s">
        <v>305</v>
      </c>
      <c r="AJ61" t="s">
        <v>242</v>
      </c>
      <c r="AK61">
        <v>2023</v>
      </c>
      <c r="AL61" t="s">
        <v>190</v>
      </c>
      <c r="AM61" t="s">
        <v>191</v>
      </c>
      <c r="AN61" t="s">
        <v>192</v>
      </c>
      <c r="AO61" t="s">
        <v>193</v>
      </c>
      <c r="AP61" t="s">
        <v>192</v>
      </c>
      <c r="AQ61" t="s">
        <v>194</v>
      </c>
      <c r="AR61" t="s">
        <v>75</v>
      </c>
      <c r="AS61" t="s">
        <v>76</v>
      </c>
      <c r="AT61" t="s">
        <v>195</v>
      </c>
      <c r="AU61" t="s">
        <v>35</v>
      </c>
      <c r="AV61" t="s">
        <v>77</v>
      </c>
      <c r="AW61" t="s">
        <v>177</v>
      </c>
      <c r="AX61" t="s">
        <v>189</v>
      </c>
      <c r="AY61" t="s">
        <v>196</v>
      </c>
      <c r="AZ61" t="s">
        <v>197</v>
      </c>
      <c r="BA61" t="s">
        <v>198</v>
      </c>
      <c r="BB61" t="s">
        <v>199</v>
      </c>
      <c r="BC61">
        <v>0</v>
      </c>
      <c r="BD61">
        <v>0</v>
      </c>
      <c r="BE61">
        <v>1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1</v>
      </c>
      <c r="BP61" t="s">
        <v>45</v>
      </c>
      <c r="BQ61" t="s">
        <v>200</v>
      </c>
      <c r="BR61" t="s">
        <v>201</v>
      </c>
      <c r="BS61" t="s">
        <v>75</v>
      </c>
      <c r="BT61" t="s">
        <v>177</v>
      </c>
      <c r="BU61" t="s">
        <v>202</v>
      </c>
      <c r="BV61" t="s">
        <v>203</v>
      </c>
      <c r="BW61" t="s">
        <v>74</v>
      </c>
      <c r="BX61" t="s">
        <v>74</v>
      </c>
      <c r="BZ61" t="s">
        <v>79</v>
      </c>
      <c r="CB61" t="s">
        <v>204</v>
      </c>
    </row>
    <row r="62" spans="1:80" x14ac:dyDescent="0.25">
      <c r="A62" t="str">
        <f>IF(  UPPER(LEFT( tabSuperdettagli[[#This Row],[WBE Status]],1) ) = "S",  "sì",  "no"   )</f>
        <v>no</v>
      </c>
      <c r="B62">
        <v>2023</v>
      </c>
      <c r="C62">
        <f>VLOOKUP(tabSuperdettagli[[#This Row],[WBS_]],'pivot di appoggio'!A:B,2,FALSE)</f>
        <v>2020</v>
      </c>
      <c r="D62" t="str">
        <f>LEFT(tabSuperdettagli[[#This Row],[Network]], 10)</f>
        <v>AAAA.0001</v>
      </c>
      <c r="E62" t="str">
        <f>LEFT(tabSuperdettagli[[#This Row],[Network]], 1)</f>
        <v>A</v>
      </c>
      <c r="F62" t="str">
        <f>LOWER(TRIM( tabSuperdettagli[[#This Row],[Proj. Type ]] ))</f>
        <v/>
      </c>
      <c r="G6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2" t="e">
        <f>IF(  TRIM(#REF!)&gt; "", TRIM(#REF!), TRIM(tabSuperdettagli[[#This Row],[Resp DT]] ) )</f>
        <v>#REF!</v>
      </c>
      <c r="J62" t="str">
        <f>tabSuperdettagli[[#This Row],[07.2025]]</f>
        <v>10</v>
      </c>
      <c r="K62">
        <f>tabSuperdettagli[[#This Row],[Resp del Prodotto]]</f>
        <v>0</v>
      </c>
      <c r="L62">
        <f>tabSuperdettagli[[#This Row],[Area di bdg]]</f>
        <v>1</v>
      </c>
      <c r="W62" t="str">
        <f>tabSuperdettagli[[#This Row],[PROJ CODE]]</f>
        <v>CONV NGP PLATFORM ENG</v>
      </c>
      <c r="X62" t="str">
        <f>tabSuperdettagli[[#This Row],[Resp 2°liv]]&amp;""</f>
        <v>Gamberini G.</v>
      </c>
      <c r="Y6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2" t="str">
        <f>tabSuperdettagli[[#This Row],[WBS Element]]&amp;""</f>
        <v>WBS ddd</v>
      </c>
      <c r="AA62" t="str">
        <f>tabSuperdettagli[[#This Row],[09.2025]]</f>
        <v>319</v>
      </c>
      <c r="AC6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2" t="str">
        <f>LEFT(tabSuperdettagli[[#This Row],[Network]], 18 )</f>
        <v>AAAA.0001</v>
      </c>
      <c r="AE62" t="s">
        <v>187</v>
      </c>
      <c r="AF62" t="s">
        <v>188</v>
      </c>
      <c r="AG62" t="s">
        <v>235</v>
      </c>
      <c r="AH62">
        <v>60</v>
      </c>
      <c r="AI62" t="s">
        <v>305</v>
      </c>
      <c r="AJ62" t="s">
        <v>242</v>
      </c>
      <c r="AK62">
        <v>2023</v>
      </c>
      <c r="AL62" t="s">
        <v>190</v>
      </c>
      <c r="AM62" t="s">
        <v>191</v>
      </c>
      <c r="AN62" t="s">
        <v>192</v>
      </c>
      <c r="AO62" t="s">
        <v>193</v>
      </c>
      <c r="AP62" t="s">
        <v>192</v>
      </c>
      <c r="AQ62" t="s">
        <v>194</v>
      </c>
      <c r="AR62" t="s">
        <v>75</v>
      </c>
      <c r="AS62" t="s">
        <v>76</v>
      </c>
      <c r="AT62" t="s">
        <v>195</v>
      </c>
      <c r="AU62" t="s">
        <v>35</v>
      </c>
      <c r="AV62" t="s">
        <v>77</v>
      </c>
      <c r="AW62" t="s">
        <v>177</v>
      </c>
      <c r="AX62" t="s">
        <v>189</v>
      </c>
      <c r="AY62" t="s">
        <v>196</v>
      </c>
      <c r="AZ62" t="s">
        <v>197</v>
      </c>
      <c r="BA62" t="s">
        <v>198</v>
      </c>
      <c r="BB62" t="s">
        <v>199</v>
      </c>
      <c r="BC62">
        <v>0</v>
      </c>
      <c r="BD62">
        <v>0</v>
      </c>
      <c r="BE62">
        <v>1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1</v>
      </c>
      <c r="BP62" t="s">
        <v>45</v>
      </c>
      <c r="BQ62" t="s">
        <v>200</v>
      </c>
      <c r="BR62" t="s">
        <v>201</v>
      </c>
      <c r="BS62" t="s">
        <v>75</v>
      </c>
      <c r="BT62" t="s">
        <v>177</v>
      </c>
      <c r="BU62" t="s">
        <v>202</v>
      </c>
      <c r="BV62" t="s">
        <v>203</v>
      </c>
      <c r="BW62" t="s">
        <v>74</v>
      </c>
      <c r="BX62" t="s">
        <v>74</v>
      </c>
      <c r="BZ62" t="s">
        <v>79</v>
      </c>
      <c r="CB62" t="s">
        <v>204</v>
      </c>
    </row>
    <row r="63" spans="1:80" x14ac:dyDescent="0.25">
      <c r="A63" t="str">
        <f>IF(  UPPER(LEFT( tabSuperdettagli[[#This Row],[WBE Status]],1) ) = "S",  "sì",  "no"   )</f>
        <v>no</v>
      </c>
      <c r="B63">
        <v>2024</v>
      </c>
      <c r="C63">
        <f>VLOOKUP(tabSuperdettagli[[#This Row],[WBS_]],'pivot di appoggio'!A:B,2,FALSE)</f>
        <v>2020</v>
      </c>
      <c r="D63" t="str">
        <f>LEFT(tabSuperdettagli[[#This Row],[Network]], 10)</f>
        <v>AAAA.0001</v>
      </c>
      <c r="E63" t="str">
        <f>LEFT(tabSuperdettagli[[#This Row],[Network]], 1)</f>
        <v>A</v>
      </c>
      <c r="F63" t="str">
        <f>LOWER(TRIM( tabSuperdettagli[[#This Row],[Proj. Type ]] ))</f>
        <v/>
      </c>
      <c r="G6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3" t="e">
        <f>IF(  TRIM(#REF!)&gt; "", TRIM(#REF!), TRIM(tabSuperdettagli[[#This Row],[Resp DT]] ) )</f>
        <v>#REF!</v>
      </c>
      <c r="J63" t="str">
        <f>tabSuperdettagli[[#This Row],[07.2025]]</f>
        <v>10</v>
      </c>
      <c r="K63">
        <f>tabSuperdettagli[[#This Row],[Resp del Prodotto]]</f>
        <v>0</v>
      </c>
      <c r="L63">
        <f>tabSuperdettagli[[#This Row],[Area di bdg]]</f>
        <v>1</v>
      </c>
      <c r="W63" t="str">
        <f>tabSuperdettagli[[#This Row],[PROJ CODE]]</f>
        <v>CONV NGP PLATFORM ENG</v>
      </c>
      <c r="X63" t="str">
        <f>tabSuperdettagli[[#This Row],[Resp 2°liv]]&amp;""</f>
        <v>Gamberini G.</v>
      </c>
      <c r="Y6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3" t="str">
        <f>tabSuperdettagli[[#This Row],[WBS Element]]&amp;""</f>
        <v>WBS ddd</v>
      </c>
      <c r="AA63" t="str">
        <f>tabSuperdettagli[[#This Row],[09.2025]]</f>
        <v>319</v>
      </c>
      <c r="AC6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3" t="str">
        <f>LEFT(tabSuperdettagli[[#This Row],[Network]], 18 )</f>
        <v>AAAA.0001</v>
      </c>
      <c r="AE63" t="s">
        <v>187</v>
      </c>
      <c r="AF63" t="s">
        <v>188</v>
      </c>
      <c r="AG63" t="s">
        <v>235</v>
      </c>
      <c r="AH63">
        <v>61</v>
      </c>
      <c r="AI63" t="s">
        <v>305</v>
      </c>
      <c r="AJ63" t="s">
        <v>242</v>
      </c>
      <c r="AK63">
        <v>2023</v>
      </c>
      <c r="AL63" t="s">
        <v>190</v>
      </c>
      <c r="AM63" t="s">
        <v>191</v>
      </c>
      <c r="AN63" t="s">
        <v>192</v>
      </c>
      <c r="AO63" t="s">
        <v>193</v>
      </c>
      <c r="AP63" t="s">
        <v>192</v>
      </c>
      <c r="AQ63" t="s">
        <v>194</v>
      </c>
      <c r="AR63" t="s">
        <v>75</v>
      </c>
      <c r="AS63" t="s">
        <v>76</v>
      </c>
      <c r="AT63" t="s">
        <v>195</v>
      </c>
      <c r="AU63" t="s">
        <v>35</v>
      </c>
      <c r="AV63" t="s">
        <v>77</v>
      </c>
      <c r="AW63" t="s">
        <v>177</v>
      </c>
      <c r="AX63" t="s">
        <v>189</v>
      </c>
      <c r="AY63" t="s">
        <v>196</v>
      </c>
      <c r="AZ63" t="s">
        <v>197</v>
      </c>
      <c r="BA63" t="s">
        <v>198</v>
      </c>
      <c r="BB63" t="s">
        <v>199</v>
      </c>
      <c r="BC63">
        <v>0</v>
      </c>
      <c r="BD63">
        <v>0</v>
      </c>
      <c r="BE63">
        <v>1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1</v>
      </c>
      <c r="BP63" t="s">
        <v>45</v>
      </c>
      <c r="BQ63" t="s">
        <v>200</v>
      </c>
      <c r="BR63" t="s">
        <v>201</v>
      </c>
      <c r="BS63" t="s">
        <v>75</v>
      </c>
      <c r="BT63" t="s">
        <v>177</v>
      </c>
      <c r="BU63" t="s">
        <v>202</v>
      </c>
      <c r="BV63" t="s">
        <v>203</v>
      </c>
      <c r="BW63" t="s">
        <v>74</v>
      </c>
      <c r="BX63" t="s">
        <v>74</v>
      </c>
      <c r="BZ63" t="s">
        <v>79</v>
      </c>
      <c r="CB63" t="s">
        <v>204</v>
      </c>
    </row>
    <row r="64" spans="1:80" x14ac:dyDescent="0.25">
      <c r="A64" t="str">
        <f>IF(  UPPER(LEFT( tabSuperdettagli[[#This Row],[WBE Status]],1) ) = "S",  "sì",  "no"   )</f>
        <v>no</v>
      </c>
      <c r="B64">
        <v>2024</v>
      </c>
      <c r="C64">
        <f>VLOOKUP(tabSuperdettagli[[#This Row],[WBS_]],'pivot di appoggio'!A:B,2,FALSE)</f>
        <v>2020</v>
      </c>
      <c r="D64" t="str">
        <f>LEFT(tabSuperdettagli[[#This Row],[Network]], 10)</f>
        <v>AAAA.0001</v>
      </c>
      <c r="E64" t="str">
        <f>LEFT(tabSuperdettagli[[#This Row],[Network]], 1)</f>
        <v>A</v>
      </c>
      <c r="F64" t="str">
        <f>LOWER(TRIM( tabSuperdettagli[[#This Row],[Proj. Type ]] ))</f>
        <v/>
      </c>
      <c r="G6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4" t="e">
        <f>IF(  TRIM(#REF!)&gt; "", TRIM(#REF!), TRIM(tabSuperdettagli[[#This Row],[Resp DT]] ) )</f>
        <v>#REF!</v>
      </c>
      <c r="J64" t="str">
        <f>tabSuperdettagli[[#This Row],[07.2025]]</f>
        <v>10</v>
      </c>
      <c r="K64">
        <f>tabSuperdettagli[[#This Row],[Resp del Prodotto]]</f>
        <v>0</v>
      </c>
      <c r="L64">
        <f>tabSuperdettagli[[#This Row],[Area di bdg]]</f>
        <v>1</v>
      </c>
      <c r="W64" t="str">
        <f>tabSuperdettagli[[#This Row],[PROJ CODE]]</f>
        <v>CONV NGP PLATFORM ENG</v>
      </c>
      <c r="X64" t="str">
        <f>tabSuperdettagli[[#This Row],[Resp 2°liv]]&amp;""</f>
        <v>Gamberini G.</v>
      </c>
      <c r="Y6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4" t="str">
        <f>tabSuperdettagli[[#This Row],[WBS Element]]&amp;""</f>
        <v>WBS ddd</v>
      </c>
      <c r="AA64" t="str">
        <f>tabSuperdettagli[[#This Row],[09.2025]]</f>
        <v>319</v>
      </c>
      <c r="AC6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4" t="str">
        <f>LEFT(tabSuperdettagli[[#This Row],[Network]], 18 )</f>
        <v>AAAA.0001</v>
      </c>
      <c r="AE64" t="s">
        <v>187</v>
      </c>
      <c r="AF64" t="s">
        <v>188</v>
      </c>
      <c r="AG64" t="s">
        <v>235</v>
      </c>
      <c r="AH64">
        <v>62</v>
      </c>
      <c r="AI64" t="s">
        <v>305</v>
      </c>
      <c r="AJ64" t="s">
        <v>242</v>
      </c>
      <c r="AK64">
        <v>2023</v>
      </c>
      <c r="AL64" t="s">
        <v>190</v>
      </c>
      <c r="AM64" t="s">
        <v>191</v>
      </c>
      <c r="AN64" t="s">
        <v>192</v>
      </c>
      <c r="AO64" t="s">
        <v>193</v>
      </c>
      <c r="AP64" t="s">
        <v>192</v>
      </c>
      <c r="AQ64" t="s">
        <v>194</v>
      </c>
      <c r="AR64" t="s">
        <v>75</v>
      </c>
      <c r="AS64" t="s">
        <v>76</v>
      </c>
      <c r="AT64" t="s">
        <v>195</v>
      </c>
      <c r="AU64" t="s">
        <v>35</v>
      </c>
      <c r="AV64" t="s">
        <v>77</v>
      </c>
      <c r="AW64" t="s">
        <v>177</v>
      </c>
      <c r="AX64" t="s">
        <v>189</v>
      </c>
      <c r="AY64" t="s">
        <v>196</v>
      </c>
      <c r="AZ64" t="s">
        <v>197</v>
      </c>
      <c r="BA64" t="s">
        <v>198</v>
      </c>
      <c r="BB64" t="s">
        <v>199</v>
      </c>
      <c r="BC64">
        <v>0</v>
      </c>
      <c r="BD64">
        <v>0</v>
      </c>
      <c r="BE64">
        <v>1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1</v>
      </c>
      <c r="BP64" t="s">
        <v>45</v>
      </c>
      <c r="BQ64" t="s">
        <v>200</v>
      </c>
      <c r="BR64" t="s">
        <v>201</v>
      </c>
      <c r="BS64" t="s">
        <v>75</v>
      </c>
      <c r="BT64" t="s">
        <v>177</v>
      </c>
      <c r="BU64" t="s">
        <v>202</v>
      </c>
      <c r="BV64" t="s">
        <v>203</v>
      </c>
      <c r="BW64" t="s">
        <v>74</v>
      </c>
      <c r="BX64" t="s">
        <v>74</v>
      </c>
      <c r="BZ64" t="s">
        <v>79</v>
      </c>
      <c r="CB64" t="s">
        <v>204</v>
      </c>
    </row>
    <row r="65" spans="1:80" x14ac:dyDescent="0.25">
      <c r="A65" t="str">
        <f>IF(  UPPER(LEFT( tabSuperdettagli[[#This Row],[WBE Status]],1) ) = "S",  "sì",  "no"   )</f>
        <v>no</v>
      </c>
      <c r="B65">
        <v>2024</v>
      </c>
      <c r="C65">
        <f>VLOOKUP(tabSuperdettagli[[#This Row],[WBS_]],'pivot di appoggio'!A:B,2,FALSE)</f>
        <v>2020</v>
      </c>
      <c r="D65" t="str">
        <f>LEFT(tabSuperdettagli[[#This Row],[Network]], 10)</f>
        <v>AAAA.0001</v>
      </c>
      <c r="E65" t="str">
        <f>LEFT(tabSuperdettagli[[#This Row],[Network]], 1)</f>
        <v>A</v>
      </c>
      <c r="F65" t="str">
        <f>LOWER(TRIM( tabSuperdettagli[[#This Row],[Proj. Type ]] ))</f>
        <v/>
      </c>
      <c r="G6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5" t="e">
        <f>IF(  TRIM(#REF!)&gt; "", TRIM(#REF!), TRIM(tabSuperdettagli[[#This Row],[Resp DT]] ) )</f>
        <v>#REF!</v>
      </c>
      <c r="J65" t="str">
        <f>tabSuperdettagli[[#This Row],[07.2025]]</f>
        <v>10</v>
      </c>
      <c r="K65">
        <f>tabSuperdettagli[[#This Row],[Resp del Prodotto]]</f>
        <v>0</v>
      </c>
      <c r="L65">
        <f>tabSuperdettagli[[#This Row],[Area di bdg]]</f>
        <v>1</v>
      </c>
      <c r="W65" t="str">
        <f>tabSuperdettagli[[#This Row],[PROJ CODE]]</f>
        <v>CONV NGP PLATFORM ENG</v>
      </c>
      <c r="X65" t="str">
        <f>tabSuperdettagli[[#This Row],[Resp 2°liv]]&amp;""</f>
        <v>Gamberini G.</v>
      </c>
      <c r="Y6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5" t="str">
        <f>tabSuperdettagli[[#This Row],[WBS Element]]&amp;""</f>
        <v>WBS ddd</v>
      </c>
      <c r="AA65" t="str">
        <f>tabSuperdettagli[[#This Row],[09.2025]]</f>
        <v>319</v>
      </c>
      <c r="AC6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5" t="str">
        <f>LEFT(tabSuperdettagli[[#This Row],[Network]], 18 )</f>
        <v>AAAA.0001</v>
      </c>
      <c r="AE65" t="s">
        <v>187</v>
      </c>
      <c r="AF65" t="s">
        <v>188</v>
      </c>
      <c r="AG65" t="s">
        <v>235</v>
      </c>
      <c r="AH65">
        <v>63</v>
      </c>
      <c r="AI65" t="s">
        <v>305</v>
      </c>
      <c r="AJ65" t="s">
        <v>242</v>
      </c>
      <c r="AK65">
        <v>2023</v>
      </c>
      <c r="AL65" t="s">
        <v>190</v>
      </c>
      <c r="AM65" t="s">
        <v>191</v>
      </c>
      <c r="AN65" t="s">
        <v>192</v>
      </c>
      <c r="AO65" t="s">
        <v>193</v>
      </c>
      <c r="AP65" t="s">
        <v>192</v>
      </c>
      <c r="AQ65" t="s">
        <v>194</v>
      </c>
      <c r="AR65" t="s">
        <v>75</v>
      </c>
      <c r="AS65" t="s">
        <v>76</v>
      </c>
      <c r="AT65" t="s">
        <v>195</v>
      </c>
      <c r="AU65" t="s">
        <v>35</v>
      </c>
      <c r="AV65" t="s">
        <v>77</v>
      </c>
      <c r="AW65" t="s">
        <v>177</v>
      </c>
      <c r="AX65" t="s">
        <v>189</v>
      </c>
      <c r="AY65" t="s">
        <v>196</v>
      </c>
      <c r="AZ65" t="s">
        <v>197</v>
      </c>
      <c r="BA65" t="s">
        <v>198</v>
      </c>
      <c r="BB65" t="s">
        <v>199</v>
      </c>
      <c r="BC65">
        <v>0</v>
      </c>
      <c r="BD65">
        <v>0</v>
      </c>
      <c r="BE65">
        <v>1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1</v>
      </c>
      <c r="BP65" t="s">
        <v>45</v>
      </c>
      <c r="BQ65" t="s">
        <v>200</v>
      </c>
      <c r="BR65" t="s">
        <v>201</v>
      </c>
      <c r="BS65" t="s">
        <v>75</v>
      </c>
      <c r="BT65" t="s">
        <v>177</v>
      </c>
      <c r="BU65" t="s">
        <v>202</v>
      </c>
      <c r="BV65" t="s">
        <v>203</v>
      </c>
      <c r="BW65" t="s">
        <v>74</v>
      </c>
      <c r="BX65" t="s">
        <v>74</v>
      </c>
      <c r="BZ65" t="s">
        <v>79</v>
      </c>
      <c r="CB65" t="s">
        <v>204</v>
      </c>
    </row>
    <row r="66" spans="1:80" x14ac:dyDescent="0.25">
      <c r="A66" t="str">
        <f>IF(  UPPER(LEFT( tabSuperdettagli[[#This Row],[WBE Status]],1) ) = "S",  "sì",  "no"   )</f>
        <v>no</v>
      </c>
      <c r="B66">
        <v>2024</v>
      </c>
      <c r="C66">
        <f>VLOOKUP(tabSuperdettagli[[#This Row],[WBS_]],'pivot di appoggio'!A:B,2,FALSE)</f>
        <v>2020</v>
      </c>
      <c r="D66" t="str">
        <f>LEFT(tabSuperdettagli[[#This Row],[Network]], 10)</f>
        <v>AAAA.0001</v>
      </c>
      <c r="E66" t="str">
        <f>LEFT(tabSuperdettagli[[#This Row],[Network]], 1)</f>
        <v>A</v>
      </c>
      <c r="F66" t="str">
        <f>LOWER(TRIM( tabSuperdettagli[[#This Row],[Proj. Type ]] ))</f>
        <v/>
      </c>
      <c r="G6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6" t="e">
        <f>IF(  TRIM(#REF!)&gt; "", TRIM(#REF!), TRIM(tabSuperdettagli[[#This Row],[Resp DT]] ) )</f>
        <v>#REF!</v>
      </c>
      <c r="J66" t="str">
        <f>tabSuperdettagli[[#This Row],[07.2025]]</f>
        <v>10</v>
      </c>
      <c r="K66">
        <f>tabSuperdettagli[[#This Row],[Resp del Prodotto]]</f>
        <v>0</v>
      </c>
      <c r="L66">
        <f>tabSuperdettagli[[#This Row],[Area di bdg]]</f>
        <v>1</v>
      </c>
      <c r="W66" t="str">
        <f>tabSuperdettagli[[#This Row],[PROJ CODE]]</f>
        <v>CONV NGP PLATFORM ENG</v>
      </c>
      <c r="X66" t="str">
        <f>tabSuperdettagli[[#This Row],[Resp 2°liv]]&amp;""</f>
        <v>Gamberini G.</v>
      </c>
      <c r="Y6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6" t="str">
        <f>tabSuperdettagli[[#This Row],[WBS Element]]&amp;""</f>
        <v>WBS ddd</v>
      </c>
      <c r="AA66" t="str">
        <f>tabSuperdettagli[[#This Row],[09.2025]]</f>
        <v>319</v>
      </c>
      <c r="AC6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6" t="str">
        <f>LEFT(tabSuperdettagli[[#This Row],[Network]], 18 )</f>
        <v>AAAA.0001</v>
      </c>
      <c r="AE66" t="s">
        <v>187</v>
      </c>
      <c r="AF66" t="s">
        <v>188</v>
      </c>
      <c r="AG66" t="s">
        <v>235</v>
      </c>
      <c r="AH66">
        <v>64</v>
      </c>
      <c r="AI66" t="s">
        <v>305</v>
      </c>
      <c r="AJ66" t="s">
        <v>242</v>
      </c>
      <c r="AK66">
        <v>2023</v>
      </c>
      <c r="AL66" t="s">
        <v>190</v>
      </c>
      <c r="AM66" t="s">
        <v>191</v>
      </c>
      <c r="AN66" t="s">
        <v>192</v>
      </c>
      <c r="AO66" t="s">
        <v>193</v>
      </c>
      <c r="AP66" t="s">
        <v>192</v>
      </c>
      <c r="AQ66" t="s">
        <v>194</v>
      </c>
      <c r="AR66" t="s">
        <v>75</v>
      </c>
      <c r="AS66" t="s">
        <v>76</v>
      </c>
      <c r="AT66" t="s">
        <v>195</v>
      </c>
      <c r="AU66" t="s">
        <v>35</v>
      </c>
      <c r="AV66" t="s">
        <v>77</v>
      </c>
      <c r="AW66" t="s">
        <v>177</v>
      </c>
      <c r="AX66" t="s">
        <v>189</v>
      </c>
      <c r="AY66" t="s">
        <v>196</v>
      </c>
      <c r="AZ66" t="s">
        <v>197</v>
      </c>
      <c r="BA66" t="s">
        <v>198</v>
      </c>
      <c r="BB66" t="s">
        <v>199</v>
      </c>
      <c r="BC66">
        <v>0</v>
      </c>
      <c r="BD66">
        <v>0</v>
      </c>
      <c r="BE66">
        <v>1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1</v>
      </c>
      <c r="BP66" t="s">
        <v>45</v>
      </c>
      <c r="BQ66" t="s">
        <v>200</v>
      </c>
      <c r="BR66" t="s">
        <v>201</v>
      </c>
      <c r="BS66" t="s">
        <v>75</v>
      </c>
      <c r="BT66" t="s">
        <v>177</v>
      </c>
      <c r="BU66" t="s">
        <v>202</v>
      </c>
      <c r="BV66" t="s">
        <v>203</v>
      </c>
      <c r="BW66" t="s">
        <v>74</v>
      </c>
      <c r="BX66" t="s">
        <v>74</v>
      </c>
      <c r="BZ66" t="s">
        <v>79</v>
      </c>
      <c r="CB66" t="s">
        <v>204</v>
      </c>
    </row>
    <row r="67" spans="1:80" x14ac:dyDescent="0.25">
      <c r="A67" t="str">
        <f>IF(  UPPER(LEFT( tabSuperdettagli[[#This Row],[WBE Status]],1) ) = "S",  "sì",  "no"   )</f>
        <v>no</v>
      </c>
      <c r="B67">
        <v>2024</v>
      </c>
      <c r="C67">
        <f>VLOOKUP(tabSuperdettagli[[#This Row],[WBS_]],'pivot di appoggio'!A:B,2,FALSE)</f>
        <v>2020</v>
      </c>
      <c r="D67" t="str">
        <f>LEFT(tabSuperdettagli[[#This Row],[Network]], 10)</f>
        <v>AAAA.0001</v>
      </c>
      <c r="E67" t="str">
        <f>LEFT(tabSuperdettagli[[#This Row],[Network]], 1)</f>
        <v>A</v>
      </c>
      <c r="F67" t="str">
        <f>LOWER(TRIM( tabSuperdettagli[[#This Row],[Proj. Type ]] ))</f>
        <v/>
      </c>
      <c r="G6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7" t="e">
        <f>IF(  TRIM(#REF!)&gt; "", TRIM(#REF!), TRIM(tabSuperdettagli[[#This Row],[Resp DT]] ) )</f>
        <v>#REF!</v>
      </c>
      <c r="J67" t="str">
        <f>tabSuperdettagli[[#This Row],[07.2025]]</f>
        <v>10</v>
      </c>
      <c r="K67">
        <f>tabSuperdettagli[[#This Row],[Resp del Prodotto]]</f>
        <v>0</v>
      </c>
      <c r="L67">
        <f>tabSuperdettagli[[#This Row],[Area di bdg]]</f>
        <v>1</v>
      </c>
      <c r="W67" t="str">
        <f>tabSuperdettagli[[#This Row],[PROJ CODE]]</f>
        <v>CONV NGP PLATFORM ENG</v>
      </c>
      <c r="X67" t="str">
        <f>tabSuperdettagli[[#This Row],[Resp 2°liv]]&amp;""</f>
        <v>Gamberini G.</v>
      </c>
      <c r="Y6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7" t="str">
        <f>tabSuperdettagli[[#This Row],[WBS Element]]&amp;""</f>
        <v>WBS ddd</v>
      </c>
      <c r="AA67" t="str">
        <f>tabSuperdettagli[[#This Row],[09.2025]]</f>
        <v>319</v>
      </c>
      <c r="AC6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7" t="str">
        <f>LEFT(tabSuperdettagli[[#This Row],[Network]], 18 )</f>
        <v>AAAA.0001</v>
      </c>
      <c r="AE67" t="s">
        <v>187</v>
      </c>
      <c r="AF67" t="s">
        <v>188</v>
      </c>
      <c r="AG67" t="s">
        <v>235</v>
      </c>
      <c r="AH67">
        <v>65</v>
      </c>
      <c r="AI67" t="s">
        <v>305</v>
      </c>
      <c r="AJ67" t="s">
        <v>242</v>
      </c>
      <c r="AK67">
        <v>2023</v>
      </c>
      <c r="AL67" t="s">
        <v>190</v>
      </c>
      <c r="AM67" t="s">
        <v>191</v>
      </c>
      <c r="AN67" t="s">
        <v>192</v>
      </c>
      <c r="AO67" t="s">
        <v>193</v>
      </c>
      <c r="AP67" t="s">
        <v>192</v>
      </c>
      <c r="AQ67" t="s">
        <v>194</v>
      </c>
      <c r="AR67" t="s">
        <v>75</v>
      </c>
      <c r="AS67" t="s">
        <v>76</v>
      </c>
      <c r="AT67" t="s">
        <v>195</v>
      </c>
      <c r="AU67" t="s">
        <v>35</v>
      </c>
      <c r="AV67" t="s">
        <v>77</v>
      </c>
      <c r="AW67" t="s">
        <v>177</v>
      </c>
      <c r="AX67" t="s">
        <v>189</v>
      </c>
      <c r="AY67" t="s">
        <v>196</v>
      </c>
      <c r="AZ67" t="s">
        <v>197</v>
      </c>
      <c r="BA67" t="s">
        <v>198</v>
      </c>
      <c r="BB67" t="s">
        <v>199</v>
      </c>
      <c r="BC67">
        <v>0</v>
      </c>
      <c r="BD67">
        <v>0</v>
      </c>
      <c r="BE67">
        <v>1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1</v>
      </c>
      <c r="BP67" t="s">
        <v>45</v>
      </c>
      <c r="BQ67" t="s">
        <v>200</v>
      </c>
      <c r="BR67" t="s">
        <v>201</v>
      </c>
      <c r="BS67" t="s">
        <v>75</v>
      </c>
      <c r="BT67" t="s">
        <v>177</v>
      </c>
      <c r="BU67" t="s">
        <v>202</v>
      </c>
      <c r="BV67" t="s">
        <v>203</v>
      </c>
      <c r="BW67" t="s">
        <v>74</v>
      </c>
      <c r="BX67" t="s">
        <v>74</v>
      </c>
      <c r="BZ67" t="s">
        <v>79</v>
      </c>
      <c r="CB67" t="s">
        <v>204</v>
      </c>
    </row>
    <row r="68" spans="1:80" x14ac:dyDescent="0.25">
      <c r="A68" t="str">
        <f>IF(  UPPER(LEFT( tabSuperdettagli[[#This Row],[WBE Status]],1) ) = "S",  "sì",  "no"   )</f>
        <v>no</v>
      </c>
      <c r="B68">
        <v>2024</v>
      </c>
      <c r="C68">
        <f>VLOOKUP(tabSuperdettagli[[#This Row],[WBS_]],'pivot di appoggio'!A:B,2,FALSE)</f>
        <v>2020</v>
      </c>
      <c r="D68" t="str">
        <f>LEFT(tabSuperdettagli[[#This Row],[Network]], 10)</f>
        <v>AAAA.0001</v>
      </c>
      <c r="E68" t="str">
        <f>LEFT(tabSuperdettagli[[#This Row],[Network]], 1)</f>
        <v>A</v>
      </c>
      <c r="F68" t="str">
        <f>LOWER(TRIM( tabSuperdettagli[[#This Row],[Proj. Type ]] ))</f>
        <v/>
      </c>
      <c r="G6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8" t="e">
        <f>IF(  TRIM(#REF!)&gt; "", TRIM(#REF!), TRIM(tabSuperdettagli[[#This Row],[Resp DT]] ) )</f>
        <v>#REF!</v>
      </c>
      <c r="J68" t="str">
        <f>tabSuperdettagli[[#This Row],[07.2025]]</f>
        <v>10</v>
      </c>
      <c r="K68">
        <f>tabSuperdettagli[[#This Row],[Resp del Prodotto]]</f>
        <v>0</v>
      </c>
      <c r="L68">
        <f>tabSuperdettagli[[#This Row],[Area di bdg]]</f>
        <v>1</v>
      </c>
      <c r="W68" t="str">
        <f>tabSuperdettagli[[#This Row],[PROJ CODE]]</f>
        <v>CONV NGP PLATFORM ENG</v>
      </c>
      <c r="X68" t="str">
        <f>tabSuperdettagli[[#This Row],[Resp 2°liv]]&amp;""</f>
        <v>Gamberini G.</v>
      </c>
      <c r="Y6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8" t="str">
        <f>tabSuperdettagli[[#This Row],[WBS Element]]&amp;""</f>
        <v>WBS ddd</v>
      </c>
      <c r="AA68" t="str">
        <f>tabSuperdettagli[[#This Row],[09.2025]]</f>
        <v>319</v>
      </c>
      <c r="AC6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8" t="str">
        <f>LEFT(tabSuperdettagli[[#This Row],[Network]], 18 )</f>
        <v>AAAA.0001</v>
      </c>
      <c r="AE68" t="s">
        <v>187</v>
      </c>
      <c r="AF68" t="s">
        <v>188</v>
      </c>
      <c r="AG68" t="s">
        <v>235</v>
      </c>
      <c r="AH68">
        <v>66</v>
      </c>
      <c r="AI68" t="s">
        <v>305</v>
      </c>
      <c r="AJ68" t="s">
        <v>242</v>
      </c>
      <c r="AK68">
        <v>2023</v>
      </c>
      <c r="AL68" t="s">
        <v>190</v>
      </c>
      <c r="AM68" t="s">
        <v>191</v>
      </c>
      <c r="AN68" t="s">
        <v>192</v>
      </c>
      <c r="AO68" t="s">
        <v>193</v>
      </c>
      <c r="AP68" t="s">
        <v>192</v>
      </c>
      <c r="AQ68" t="s">
        <v>194</v>
      </c>
      <c r="AR68" t="s">
        <v>75</v>
      </c>
      <c r="AS68" t="s">
        <v>76</v>
      </c>
      <c r="AT68" t="s">
        <v>195</v>
      </c>
      <c r="AU68" t="s">
        <v>35</v>
      </c>
      <c r="AV68" t="s">
        <v>77</v>
      </c>
      <c r="AW68" t="s">
        <v>177</v>
      </c>
      <c r="AX68" t="s">
        <v>189</v>
      </c>
      <c r="AY68" t="s">
        <v>196</v>
      </c>
      <c r="AZ68" t="s">
        <v>197</v>
      </c>
      <c r="BA68" t="s">
        <v>198</v>
      </c>
      <c r="BB68" t="s">
        <v>199</v>
      </c>
      <c r="BC68">
        <v>0</v>
      </c>
      <c r="BD68">
        <v>0</v>
      </c>
      <c r="BE68">
        <v>1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1</v>
      </c>
      <c r="BP68" t="s">
        <v>45</v>
      </c>
      <c r="BQ68" t="s">
        <v>200</v>
      </c>
      <c r="BR68" t="s">
        <v>201</v>
      </c>
      <c r="BS68" t="s">
        <v>75</v>
      </c>
      <c r="BT68" t="s">
        <v>177</v>
      </c>
      <c r="BU68" t="s">
        <v>202</v>
      </c>
      <c r="BV68" t="s">
        <v>203</v>
      </c>
      <c r="BW68" t="s">
        <v>74</v>
      </c>
      <c r="BX68" t="s">
        <v>74</v>
      </c>
      <c r="BZ68" t="s">
        <v>79</v>
      </c>
      <c r="CB68" t="s">
        <v>204</v>
      </c>
    </row>
    <row r="69" spans="1:80" x14ac:dyDescent="0.25">
      <c r="A69" t="str">
        <f>IF(  UPPER(LEFT( tabSuperdettagli[[#This Row],[WBE Status]],1) ) = "S",  "sì",  "no"   )</f>
        <v>no</v>
      </c>
      <c r="B69">
        <v>2024</v>
      </c>
      <c r="C69">
        <f>VLOOKUP(tabSuperdettagli[[#This Row],[WBS_]],'pivot di appoggio'!A:B,2,FALSE)</f>
        <v>2020</v>
      </c>
      <c r="D69" t="str">
        <f>LEFT(tabSuperdettagli[[#This Row],[Network]], 10)</f>
        <v>AAAA.0001</v>
      </c>
      <c r="E69" t="str">
        <f>LEFT(tabSuperdettagli[[#This Row],[Network]], 1)</f>
        <v>A</v>
      </c>
      <c r="F69" t="str">
        <f>LOWER(TRIM( tabSuperdettagli[[#This Row],[Proj. Type ]] ))</f>
        <v/>
      </c>
      <c r="G6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9" t="e">
        <f>IF(  TRIM(#REF!)&gt; "", TRIM(#REF!), TRIM(tabSuperdettagli[[#This Row],[Resp DT]] ) )</f>
        <v>#REF!</v>
      </c>
      <c r="J69" t="str">
        <f>tabSuperdettagli[[#This Row],[07.2025]]</f>
        <v>10</v>
      </c>
      <c r="K69">
        <f>tabSuperdettagli[[#This Row],[Resp del Prodotto]]</f>
        <v>0</v>
      </c>
      <c r="L69">
        <f>tabSuperdettagli[[#This Row],[Area di bdg]]</f>
        <v>1</v>
      </c>
      <c r="W69" t="str">
        <f>tabSuperdettagli[[#This Row],[PROJ CODE]]</f>
        <v>CONV NGP PLATFORM ENG</v>
      </c>
      <c r="X69" t="str">
        <f>tabSuperdettagli[[#This Row],[Resp 2°liv]]&amp;""</f>
        <v>Gamberini G.</v>
      </c>
      <c r="Y6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9" t="str">
        <f>tabSuperdettagli[[#This Row],[WBS Element]]&amp;""</f>
        <v>WBS ddd</v>
      </c>
      <c r="AA69" t="str">
        <f>tabSuperdettagli[[#This Row],[09.2025]]</f>
        <v>319</v>
      </c>
      <c r="AC6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9" t="str">
        <f>LEFT(tabSuperdettagli[[#This Row],[Network]], 18 )</f>
        <v>AAAA.0001</v>
      </c>
      <c r="AE69" t="s">
        <v>187</v>
      </c>
      <c r="AF69" t="s">
        <v>188</v>
      </c>
      <c r="AG69" t="s">
        <v>235</v>
      </c>
      <c r="AH69">
        <v>67</v>
      </c>
      <c r="AI69" t="s">
        <v>305</v>
      </c>
      <c r="AJ69" t="s">
        <v>242</v>
      </c>
      <c r="AK69">
        <v>2023</v>
      </c>
      <c r="AL69" t="s">
        <v>190</v>
      </c>
      <c r="AM69" t="s">
        <v>191</v>
      </c>
      <c r="AN69" t="s">
        <v>192</v>
      </c>
      <c r="AO69" t="s">
        <v>193</v>
      </c>
      <c r="AP69" t="s">
        <v>192</v>
      </c>
      <c r="AQ69" t="s">
        <v>194</v>
      </c>
      <c r="AR69" t="s">
        <v>75</v>
      </c>
      <c r="AS69" t="s">
        <v>76</v>
      </c>
      <c r="AT69" t="s">
        <v>195</v>
      </c>
      <c r="AU69" t="s">
        <v>35</v>
      </c>
      <c r="AV69" t="s">
        <v>77</v>
      </c>
      <c r="AW69" t="s">
        <v>177</v>
      </c>
      <c r="AX69" t="s">
        <v>189</v>
      </c>
      <c r="AY69" t="s">
        <v>196</v>
      </c>
      <c r="AZ69" t="s">
        <v>197</v>
      </c>
      <c r="BA69" t="s">
        <v>198</v>
      </c>
      <c r="BB69" t="s">
        <v>199</v>
      </c>
      <c r="BC69">
        <v>0</v>
      </c>
      <c r="BD69">
        <v>0</v>
      </c>
      <c r="BE69">
        <v>1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1</v>
      </c>
      <c r="BP69" t="s">
        <v>45</v>
      </c>
      <c r="BQ69" t="s">
        <v>200</v>
      </c>
      <c r="BR69" t="s">
        <v>201</v>
      </c>
      <c r="BS69" t="s">
        <v>75</v>
      </c>
      <c r="BT69" t="s">
        <v>177</v>
      </c>
      <c r="BU69" t="s">
        <v>202</v>
      </c>
      <c r="BV69" t="s">
        <v>203</v>
      </c>
      <c r="BW69" t="s">
        <v>74</v>
      </c>
      <c r="BX69" t="s">
        <v>74</v>
      </c>
      <c r="BZ69" t="s">
        <v>79</v>
      </c>
      <c r="CB69" t="s">
        <v>204</v>
      </c>
    </row>
    <row r="70" spans="1:80" x14ac:dyDescent="0.25">
      <c r="A70" t="str">
        <f>IF(  UPPER(LEFT( tabSuperdettagli[[#This Row],[WBE Status]],1) ) = "S",  "sì",  "no"   )</f>
        <v>no</v>
      </c>
      <c r="B70">
        <v>2024</v>
      </c>
      <c r="C70">
        <f>VLOOKUP(tabSuperdettagli[[#This Row],[WBS_]],'pivot di appoggio'!A:B,2,FALSE)</f>
        <v>2020</v>
      </c>
      <c r="D70" t="str">
        <f>LEFT(tabSuperdettagli[[#This Row],[Network]], 10)</f>
        <v>AAAA.0001</v>
      </c>
      <c r="E70" t="str">
        <f>LEFT(tabSuperdettagli[[#This Row],[Network]], 1)</f>
        <v>A</v>
      </c>
      <c r="F70" t="str">
        <f>LOWER(TRIM( tabSuperdettagli[[#This Row],[Proj. Type ]] ))</f>
        <v/>
      </c>
      <c r="G7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0" t="e">
        <f>IF(  TRIM(#REF!)&gt; "", TRIM(#REF!), TRIM(tabSuperdettagli[[#This Row],[Resp DT]] ) )</f>
        <v>#REF!</v>
      </c>
      <c r="J70" t="str">
        <f>tabSuperdettagli[[#This Row],[07.2025]]</f>
        <v>10</v>
      </c>
      <c r="K70">
        <f>tabSuperdettagli[[#This Row],[Resp del Prodotto]]</f>
        <v>0</v>
      </c>
      <c r="L70">
        <f>tabSuperdettagli[[#This Row],[Area di bdg]]</f>
        <v>1</v>
      </c>
      <c r="W70" t="str">
        <f>tabSuperdettagli[[#This Row],[PROJ CODE]]</f>
        <v>CONV NGP PLATFORM ENG</v>
      </c>
      <c r="X70" t="str">
        <f>tabSuperdettagli[[#This Row],[Resp 2°liv]]&amp;""</f>
        <v>Gamberini G.</v>
      </c>
      <c r="Y7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0" t="str">
        <f>tabSuperdettagli[[#This Row],[WBS Element]]&amp;""</f>
        <v>WBS ddd</v>
      </c>
      <c r="AA70" t="str">
        <f>tabSuperdettagli[[#This Row],[09.2025]]</f>
        <v>319</v>
      </c>
      <c r="AC7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0" t="str">
        <f>LEFT(tabSuperdettagli[[#This Row],[Network]], 18 )</f>
        <v>AAAA.0001</v>
      </c>
      <c r="AE70" t="s">
        <v>187</v>
      </c>
      <c r="AF70" t="s">
        <v>188</v>
      </c>
      <c r="AG70" t="s">
        <v>235</v>
      </c>
      <c r="AH70">
        <v>68</v>
      </c>
      <c r="AI70" t="s">
        <v>305</v>
      </c>
      <c r="AJ70" t="s">
        <v>242</v>
      </c>
      <c r="AK70">
        <v>2023</v>
      </c>
      <c r="AL70" t="s">
        <v>190</v>
      </c>
      <c r="AM70" t="s">
        <v>191</v>
      </c>
      <c r="AN70" t="s">
        <v>192</v>
      </c>
      <c r="AO70" t="s">
        <v>193</v>
      </c>
      <c r="AP70" t="s">
        <v>192</v>
      </c>
      <c r="AQ70" t="s">
        <v>194</v>
      </c>
      <c r="AR70" t="s">
        <v>75</v>
      </c>
      <c r="AS70" t="s">
        <v>76</v>
      </c>
      <c r="AT70" t="s">
        <v>195</v>
      </c>
      <c r="AU70" t="s">
        <v>35</v>
      </c>
      <c r="AV70" t="s">
        <v>77</v>
      </c>
      <c r="AW70" t="s">
        <v>177</v>
      </c>
      <c r="AX70" t="s">
        <v>189</v>
      </c>
      <c r="AY70" t="s">
        <v>196</v>
      </c>
      <c r="AZ70" t="s">
        <v>197</v>
      </c>
      <c r="BA70" t="s">
        <v>198</v>
      </c>
      <c r="BB70" t="s">
        <v>199</v>
      </c>
      <c r="BC70">
        <v>0</v>
      </c>
      <c r="BD70">
        <v>0</v>
      </c>
      <c r="BE70">
        <v>1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1</v>
      </c>
      <c r="BP70" t="s">
        <v>45</v>
      </c>
      <c r="BQ70" t="s">
        <v>200</v>
      </c>
      <c r="BR70" t="s">
        <v>201</v>
      </c>
      <c r="BS70" t="s">
        <v>75</v>
      </c>
      <c r="BT70" t="s">
        <v>177</v>
      </c>
      <c r="BU70" t="s">
        <v>202</v>
      </c>
      <c r="BV70" t="s">
        <v>203</v>
      </c>
      <c r="BW70" t="s">
        <v>74</v>
      </c>
      <c r="BX70" t="s">
        <v>74</v>
      </c>
      <c r="BZ70" t="s">
        <v>79</v>
      </c>
      <c r="CB70" t="s">
        <v>204</v>
      </c>
    </row>
    <row r="71" spans="1:80" x14ac:dyDescent="0.25">
      <c r="A71" t="str">
        <f>IF(  UPPER(LEFT( tabSuperdettagli[[#This Row],[WBE Status]],1) ) = "S",  "sì",  "no"   )</f>
        <v>no</v>
      </c>
      <c r="B71">
        <v>2024</v>
      </c>
      <c r="C71">
        <f>VLOOKUP(tabSuperdettagli[[#This Row],[WBS_]],'pivot di appoggio'!A:B,2,FALSE)</f>
        <v>2020</v>
      </c>
      <c r="D71" t="str">
        <f>LEFT(tabSuperdettagli[[#This Row],[Network]], 10)</f>
        <v>AAAA.0001</v>
      </c>
      <c r="E71" t="str">
        <f>LEFT(tabSuperdettagli[[#This Row],[Network]], 1)</f>
        <v>A</v>
      </c>
      <c r="F71" t="str">
        <f>LOWER(TRIM( tabSuperdettagli[[#This Row],[Proj. Type ]] ))</f>
        <v/>
      </c>
      <c r="G7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1" t="e">
        <f>IF(  TRIM(#REF!)&gt; "", TRIM(#REF!), TRIM(tabSuperdettagli[[#This Row],[Resp DT]] ) )</f>
        <v>#REF!</v>
      </c>
      <c r="J71" t="str">
        <f>tabSuperdettagli[[#This Row],[07.2025]]</f>
        <v>10</v>
      </c>
      <c r="K71">
        <f>tabSuperdettagli[[#This Row],[Resp del Prodotto]]</f>
        <v>0</v>
      </c>
      <c r="L71">
        <f>tabSuperdettagli[[#This Row],[Area di bdg]]</f>
        <v>1</v>
      </c>
      <c r="W71" t="str">
        <f>tabSuperdettagli[[#This Row],[PROJ CODE]]</f>
        <v>CONV NGP PLATFORM ENG</v>
      </c>
      <c r="X71" t="str">
        <f>tabSuperdettagli[[#This Row],[Resp 2°liv]]&amp;""</f>
        <v>Gamberini G.</v>
      </c>
      <c r="Y7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1" t="str">
        <f>tabSuperdettagli[[#This Row],[WBS Element]]&amp;""</f>
        <v>WBS ddd</v>
      </c>
      <c r="AA71" t="str">
        <f>tabSuperdettagli[[#This Row],[09.2025]]</f>
        <v>319</v>
      </c>
      <c r="AC7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1" t="str">
        <f>LEFT(tabSuperdettagli[[#This Row],[Network]], 18 )</f>
        <v>AAAA.0001</v>
      </c>
      <c r="AE71" t="s">
        <v>187</v>
      </c>
      <c r="AF71" t="s">
        <v>188</v>
      </c>
      <c r="AG71" t="s">
        <v>235</v>
      </c>
      <c r="AH71">
        <v>69</v>
      </c>
      <c r="AI71" t="s">
        <v>305</v>
      </c>
      <c r="AJ71" t="s">
        <v>242</v>
      </c>
      <c r="AK71">
        <v>2023</v>
      </c>
      <c r="AL71" t="s">
        <v>190</v>
      </c>
      <c r="AM71" t="s">
        <v>191</v>
      </c>
      <c r="AN71" t="s">
        <v>192</v>
      </c>
      <c r="AO71" t="s">
        <v>193</v>
      </c>
      <c r="AP71" t="s">
        <v>192</v>
      </c>
      <c r="AQ71" t="s">
        <v>194</v>
      </c>
      <c r="AR71" t="s">
        <v>75</v>
      </c>
      <c r="AS71" t="s">
        <v>76</v>
      </c>
      <c r="AT71" t="s">
        <v>195</v>
      </c>
      <c r="AU71" t="s">
        <v>35</v>
      </c>
      <c r="AV71" t="s">
        <v>77</v>
      </c>
      <c r="AW71" t="s">
        <v>177</v>
      </c>
      <c r="AX71" t="s">
        <v>189</v>
      </c>
      <c r="AY71" t="s">
        <v>196</v>
      </c>
      <c r="AZ71" t="s">
        <v>197</v>
      </c>
      <c r="BA71" t="s">
        <v>198</v>
      </c>
      <c r="BB71" t="s">
        <v>199</v>
      </c>
      <c r="BC71">
        <v>0</v>
      </c>
      <c r="BD71">
        <v>0</v>
      </c>
      <c r="BE71">
        <v>1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1</v>
      </c>
      <c r="BP71" t="s">
        <v>45</v>
      </c>
      <c r="BQ71" t="s">
        <v>200</v>
      </c>
      <c r="BR71" t="s">
        <v>201</v>
      </c>
      <c r="BS71" t="s">
        <v>75</v>
      </c>
      <c r="BT71" t="s">
        <v>177</v>
      </c>
      <c r="BU71" t="s">
        <v>202</v>
      </c>
      <c r="BV71" t="s">
        <v>203</v>
      </c>
      <c r="BW71" t="s">
        <v>74</v>
      </c>
      <c r="BX71" t="s">
        <v>74</v>
      </c>
      <c r="BZ71" t="s">
        <v>79</v>
      </c>
      <c r="CB71" t="s">
        <v>204</v>
      </c>
    </row>
    <row r="72" spans="1:80" x14ac:dyDescent="0.25">
      <c r="A72" t="str">
        <f>IF(  UPPER(LEFT( tabSuperdettagli[[#This Row],[WBE Status]],1) ) = "S",  "sì",  "no"   )</f>
        <v>no</v>
      </c>
      <c r="B72">
        <v>2024</v>
      </c>
      <c r="C72">
        <f>VLOOKUP(tabSuperdettagli[[#This Row],[WBS_]],'pivot di appoggio'!A:B,2,FALSE)</f>
        <v>2020</v>
      </c>
      <c r="D72" t="str">
        <f>LEFT(tabSuperdettagli[[#This Row],[Network]], 10)</f>
        <v>AAAA.0001</v>
      </c>
      <c r="E72" t="str">
        <f>LEFT(tabSuperdettagli[[#This Row],[Network]], 1)</f>
        <v>A</v>
      </c>
      <c r="F72" t="str">
        <f>LOWER(TRIM( tabSuperdettagli[[#This Row],[Proj. Type ]] ))</f>
        <v/>
      </c>
      <c r="G7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2" t="e">
        <f>IF(  TRIM(#REF!)&gt; "", TRIM(#REF!), TRIM(tabSuperdettagli[[#This Row],[Resp DT]] ) )</f>
        <v>#REF!</v>
      </c>
      <c r="J72" t="str">
        <f>tabSuperdettagli[[#This Row],[07.2025]]</f>
        <v>10</v>
      </c>
      <c r="K72">
        <f>tabSuperdettagli[[#This Row],[Resp del Prodotto]]</f>
        <v>0</v>
      </c>
      <c r="L72">
        <f>tabSuperdettagli[[#This Row],[Area di bdg]]</f>
        <v>1</v>
      </c>
      <c r="W72" t="str">
        <f>tabSuperdettagli[[#This Row],[PROJ CODE]]</f>
        <v>CONV NGP PLATFORM ENG</v>
      </c>
      <c r="X72" t="str">
        <f>tabSuperdettagli[[#This Row],[Resp 2°liv]]&amp;""</f>
        <v>Gamberini G.</v>
      </c>
      <c r="Y7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2" t="str">
        <f>tabSuperdettagli[[#This Row],[WBS Element]]&amp;""</f>
        <v>WBS ddd</v>
      </c>
      <c r="AA72" t="str">
        <f>tabSuperdettagli[[#This Row],[09.2025]]</f>
        <v>319</v>
      </c>
      <c r="AC7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2" t="str">
        <f>LEFT(tabSuperdettagli[[#This Row],[Network]], 18 )</f>
        <v>AAAA.0001</v>
      </c>
      <c r="AE72" t="s">
        <v>187</v>
      </c>
      <c r="AF72" t="s">
        <v>188</v>
      </c>
      <c r="AG72" t="s">
        <v>235</v>
      </c>
      <c r="AH72">
        <v>70</v>
      </c>
      <c r="AI72" t="s">
        <v>305</v>
      </c>
      <c r="AJ72" t="s">
        <v>242</v>
      </c>
      <c r="AK72">
        <v>2023</v>
      </c>
      <c r="AL72" t="s">
        <v>190</v>
      </c>
      <c r="AM72" t="s">
        <v>191</v>
      </c>
      <c r="AN72" t="s">
        <v>192</v>
      </c>
      <c r="AO72" t="s">
        <v>193</v>
      </c>
      <c r="AP72" t="s">
        <v>192</v>
      </c>
      <c r="AQ72" t="s">
        <v>194</v>
      </c>
      <c r="AR72" t="s">
        <v>75</v>
      </c>
      <c r="AS72" t="s">
        <v>76</v>
      </c>
      <c r="AT72" t="s">
        <v>195</v>
      </c>
      <c r="AU72" t="s">
        <v>35</v>
      </c>
      <c r="AV72" t="s">
        <v>77</v>
      </c>
      <c r="AW72" t="s">
        <v>177</v>
      </c>
      <c r="AX72" t="s">
        <v>189</v>
      </c>
      <c r="AY72" t="s">
        <v>196</v>
      </c>
      <c r="AZ72" t="s">
        <v>197</v>
      </c>
      <c r="BA72" t="s">
        <v>198</v>
      </c>
      <c r="BB72" t="s">
        <v>199</v>
      </c>
      <c r="BC72">
        <v>0</v>
      </c>
      <c r="BD72">
        <v>0</v>
      </c>
      <c r="BE72">
        <v>1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1</v>
      </c>
      <c r="BP72" t="s">
        <v>45</v>
      </c>
      <c r="BQ72" t="s">
        <v>200</v>
      </c>
      <c r="BR72" t="s">
        <v>201</v>
      </c>
      <c r="BS72" t="s">
        <v>75</v>
      </c>
      <c r="BT72" t="s">
        <v>177</v>
      </c>
      <c r="BU72" t="s">
        <v>202</v>
      </c>
      <c r="BV72" t="s">
        <v>203</v>
      </c>
      <c r="BW72" t="s">
        <v>74</v>
      </c>
      <c r="BX72" t="s">
        <v>74</v>
      </c>
      <c r="BZ72" t="s">
        <v>79</v>
      </c>
      <c r="CB72" t="s">
        <v>204</v>
      </c>
    </row>
    <row r="73" spans="1:80" x14ac:dyDescent="0.25">
      <c r="A73" t="str">
        <f>IF(  UPPER(LEFT( tabSuperdettagli[[#This Row],[WBE Status]],1) ) = "S",  "sì",  "no"   )</f>
        <v>no</v>
      </c>
      <c r="B73">
        <v>2024</v>
      </c>
      <c r="C73">
        <f>VLOOKUP(tabSuperdettagli[[#This Row],[WBS_]],'pivot di appoggio'!A:B,2,FALSE)</f>
        <v>2020</v>
      </c>
      <c r="D73" t="str">
        <f>LEFT(tabSuperdettagli[[#This Row],[Network]], 10)</f>
        <v>AAAA.0001</v>
      </c>
      <c r="E73" t="str">
        <f>LEFT(tabSuperdettagli[[#This Row],[Network]], 1)</f>
        <v>A</v>
      </c>
      <c r="F73" t="str">
        <f>LOWER(TRIM( tabSuperdettagli[[#This Row],[Proj. Type ]] ))</f>
        <v/>
      </c>
      <c r="G7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3" t="e">
        <f>IF(  TRIM(#REF!)&gt; "", TRIM(#REF!), TRIM(tabSuperdettagli[[#This Row],[Resp DT]] ) )</f>
        <v>#REF!</v>
      </c>
      <c r="J73" t="str">
        <f>tabSuperdettagli[[#This Row],[07.2025]]</f>
        <v>10</v>
      </c>
      <c r="K73">
        <f>tabSuperdettagli[[#This Row],[Resp del Prodotto]]</f>
        <v>0</v>
      </c>
      <c r="L73">
        <f>tabSuperdettagli[[#This Row],[Area di bdg]]</f>
        <v>1</v>
      </c>
      <c r="W73" t="str">
        <f>tabSuperdettagli[[#This Row],[PROJ CODE]]</f>
        <v>CONV NGP PLATFORM ENG</v>
      </c>
      <c r="X73" t="str">
        <f>tabSuperdettagli[[#This Row],[Resp 2°liv]]&amp;""</f>
        <v>Gamberini G.</v>
      </c>
      <c r="Y7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3" t="str">
        <f>tabSuperdettagli[[#This Row],[WBS Element]]&amp;""</f>
        <v>WBS ddd</v>
      </c>
      <c r="AA73" t="str">
        <f>tabSuperdettagli[[#This Row],[09.2025]]</f>
        <v>319</v>
      </c>
      <c r="AC7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3" t="str">
        <f>LEFT(tabSuperdettagli[[#This Row],[Network]], 18 )</f>
        <v>AAAA.0001</v>
      </c>
      <c r="AE73" t="s">
        <v>187</v>
      </c>
      <c r="AF73" t="s">
        <v>188</v>
      </c>
      <c r="AG73" t="s">
        <v>235</v>
      </c>
      <c r="AH73">
        <v>71</v>
      </c>
      <c r="AI73" t="s">
        <v>305</v>
      </c>
      <c r="AJ73" t="s">
        <v>242</v>
      </c>
      <c r="AK73">
        <v>2023</v>
      </c>
      <c r="AL73" t="s">
        <v>190</v>
      </c>
      <c r="AM73" t="s">
        <v>191</v>
      </c>
      <c r="AN73" t="s">
        <v>192</v>
      </c>
      <c r="AO73" t="s">
        <v>193</v>
      </c>
      <c r="AP73" t="s">
        <v>192</v>
      </c>
      <c r="AQ73" t="s">
        <v>194</v>
      </c>
      <c r="AR73" t="s">
        <v>75</v>
      </c>
      <c r="AS73" t="s">
        <v>76</v>
      </c>
      <c r="AT73" t="s">
        <v>195</v>
      </c>
      <c r="AU73" t="s">
        <v>35</v>
      </c>
      <c r="AV73" t="s">
        <v>77</v>
      </c>
      <c r="AW73" t="s">
        <v>177</v>
      </c>
      <c r="AX73" t="s">
        <v>189</v>
      </c>
      <c r="AY73" t="s">
        <v>196</v>
      </c>
      <c r="AZ73" t="s">
        <v>197</v>
      </c>
      <c r="BA73" t="s">
        <v>198</v>
      </c>
      <c r="BB73" t="s">
        <v>199</v>
      </c>
      <c r="BC73">
        <v>0</v>
      </c>
      <c r="BD73">
        <v>0</v>
      </c>
      <c r="BE73">
        <v>1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1</v>
      </c>
      <c r="BP73" t="s">
        <v>45</v>
      </c>
      <c r="BQ73" t="s">
        <v>200</v>
      </c>
      <c r="BR73" t="s">
        <v>201</v>
      </c>
      <c r="BS73" t="s">
        <v>75</v>
      </c>
      <c r="BT73" t="s">
        <v>177</v>
      </c>
      <c r="BU73" t="s">
        <v>202</v>
      </c>
      <c r="BV73" t="s">
        <v>203</v>
      </c>
      <c r="BW73" t="s">
        <v>74</v>
      </c>
      <c r="BX73" t="s">
        <v>74</v>
      </c>
      <c r="BZ73" t="s">
        <v>79</v>
      </c>
      <c r="CB73" t="s">
        <v>204</v>
      </c>
    </row>
    <row r="74" spans="1:80" x14ac:dyDescent="0.25">
      <c r="A74" t="str">
        <f>IF(  UPPER(LEFT( tabSuperdettagli[[#This Row],[WBE Status]],1) ) = "S",  "sì",  "no"   )</f>
        <v>no</v>
      </c>
      <c r="B74">
        <v>2024</v>
      </c>
      <c r="C74">
        <f>VLOOKUP(tabSuperdettagli[[#This Row],[WBS_]],'pivot di appoggio'!A:B,2,FALSE)</f>
        <v>2020</v>
      </c>
      <c r="D74" t="str">
        <f>LEFT(tabSuperdettagli[[#This Row],[Network]], 10)</f>
        <v>AAAA.0001</v>
      </c>
      <c r="E74" t="str">
        <f>LEFT(tabSuperdettagli[[#This Row],[Network]], 1)</f>
        <v>A</v>
      </c>
      <c r="F74" t="str">
        <f>LOWER(TRIM( tabSuperdettagli[[#This Row],[Proj. Type ]] ))</f>
        <v/>
      </c>
      <c r="G7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4" t="e">
        <f>IF(  TRIM(#REF!)&gt; "", TRIM(#REF!), TRIM(tabSuperdettagli[[#This Row],[Resp DT]] ) )</f>
        <v>#REF!</v>
      </c>
      <c r="J74" t="str">
        <f>tabSuperdettagli[[#This Row],[07.2025]]</f>
        <v>10</v>
      </c>
      <c r="K74">
        <f>tabSuperdettagli[[#This Row],[Resp del Prodotto]]</f>
        <v>0</v>
      </c>
      <c r="L74">
        <f>tabSuperdettagli[[#This Row],[Area di bdg]]</f>
        <v>1</v>
      </c>
      <c r="W74" t="str">
        <f>tabSuperdettagli[[#This Row],[PROJ CODE]]</f>
        <v>CONV NGP PLATFORM ENG</v>
      </c>
      <c r="X74" t="str">
        <f>tabSuperdettagli[[#This Row],[Resp 2°liv]]&amp;""</f>
        <v>Gamberini G.</v>
      </c>
      <c r="Y7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4" t="str">
        <f>tabSuperdettagli[[#This Row],[WBS Element]]&amp;""</f>
        <v>WBS ddd</v>
      </c>
      <c r="AA74" t="str">
        <f>tabSuperdettagli[[#This Row],[09.2025]]</f>
        <v>319</v>
      </c>
      <c r="AC7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4" t="str">
        <f>LEFT(tabSuperdettagli[[#This Row],[Network]], 18 )</f>
        <v>AAAA.0001</v>
      </c>
      <c r="AE74" t="s">
        <v>187</v>
      </c>
      <c r="AF74" t="s">
        <v>188</v>
      </c>
      <c r="AG74" t="s">
        <v>235</v>
      </c>
      <c r="AH74">
        <v>72</v>
      </c>
      <c r="AI74" t="s">
        <v>305</v>
      </c>
      <c r="AJ74" t="s">
        <v>242</v>
      </c>
      <c r="AK74">
        <v>2023</v>
      </c>
      <c r="AL74" t="s">
        <v>190</v>
      </c>
      <c r="AM74" t="s">
        <v>191</v>
      </c>
      <c r="AN74" t="s">
        <v>192</v>
      </c>
      <c r="AO74" t="s">
        <v>193</v>
      </c>
      <c r="AP74" t="s">
        <v>192</v>
      </c>
      <c r="AQ74" t="s">
        <v>194</v>
      </c>
      <c r="AR74" t="s">
        <v>75</v>
      </c>
      <c r="AS74" t="s">
        <v>76</v>
      </c>
      <c r="AT74" t="s">
        <v>195</v>
      </c>
      <c r="AU74" t="s">
        <v>35</v>
      </c>
      <c r="AV74" t="s">
        <v>77</v>
      </c>
      <c r="AW74" t="s">
        <v>177</v>
      </c>
      <c r="AX74" t="s">
        <v>189</v>
      </c>
      <c r="AY74" t="s">
        <v>196</v>
      </c>
      <c r="AZ74" t="s">
        <v>197</v>
      </c>
      <c r="BA74" t="s">
        <v>198</v>
      </c>
      <c r="BB74" t="s">
        <v>199</v>
      </c>
      <c r="BC74">
        <v>0</v>
      </c>
      <c r="BD74">
        <v>0</v>
      </c>
      <c r="BE74">
        <v>1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1</v>
      </c>
      <c r="BP74" t="s">
        <v>45</v>
      </c>
      <c r="BQ74" t="s">
        <v>200</v>
      </c>
      <c r="BR74" t="s">
        <v>201</v>
      </c>
      <c r="BS74" t="s">
        <v>75</v>
      </c>
      <c r="BT74" t="s">
        <v>177</v>
      </c>
      <c r="BU74" t="s">
        <v>202</v>
      </c>
      <c r="BV74" t="s">
        <v>203</v>
      </c>
      <c r="BW74" t="s">
        <v>74</v>
      </c>
      <c r="BX74" t="s">
        <v>74</v>
      </c>
      <c r="BZ74" t="s">
        <v>79</v>
      </c>
      <c r="CB74" t="s">
        <v>204</v>
      </c>
    </row>
    <row r="75" spans="1:80" x14ac:dyDescent="0.25">
      <c r="A75" t="str">
        <f>IF(  UPPER(LEFT( tabSuperdettagli[[#This Row],[WBE Status]],1) ) = "S",  "sì",  "no"   )</f>
        <v>no</v>
      </c>
      <c r="B75">
        <v>2024</v>
      </c>
      <c r="C75">
        <f>VLOOKUP(tabSuperdettagli[[#This Row],[WBS_]],'pivot di appoggio'!A:B,2,FALSE)</f>
        <v>2020</v>
      </c>
      <c r="D75" t="str">
        <f>LEFT(tabSuperdettagli[[#This Row],[Network]], 10)</f>
        <v>AAAA.0001</v>
      </c>
      <c r="E75" t="str">
        <f>LEFT(tabSuperdettagli[[#This Row],[Network]], 1)</f>
        <v>A</v>
      </c>
      <c r="F75" t="str">
        <f>LOWER(TRIM( tabSuperdettagli[[#This Row],[Proj. Type ]] ))</f>
        <v/>
      </c>
      <c r="G7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5" t="e">
        <f>IF(  TRIM(#REF!)&gt; "", TRIM(#REF!), TRIM(tabSuperdettagli[[#This Row],[Resp DT]] ) )</f>
        <v>#REF!</v>
      </c>
      <c r="J75" t="str">
        <f>tabSuperdettagli[[#This Row],[07.2025]]</f>
        <v>10</v>
      </c>
      <c r="K75">
        <f>tabSuperdettagli[[#This Row],[Resp del Prodotto]]</f>
        <v>0</v>
      </c>
      <c r="L75">
        <f>tabSuperdettagli[[#This Row],[Area di bdg]]</f>
        <v>1</v>
      </c>
      <c r="W75" t="str">
        <f>tabSuperdettagli[[#This Row],[PROJ CODE]]</f>
        <v>CONV NGP PLATFORM ENG</v>
      </c>
      <c r="X75" t="str">
        <f>tabSuperdettagli[[#This Row],[Resp 2°liv]]&amp;""</f>
        <v>Gamberini G.</v>
      </c>
      <c r="Y7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5" t="str">
        <f>tabSuperdettagli[[#This Row],[WBS Element]]&amp;""</f>
        <v>WBS ddd</v>
      </c>
      <c r="AA75" t="str">
        <f>tabSuperdettagli[[#This Row],[09.2025]]</f>
        <v>319</v>
      </c>
      <c r="AC7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5" t="str">
        <f>LEFT(tabSuperdettagli[[#This Row],[Network]], 18 )</f>
        <v>AAAA.0001</v>
      </c>
      <c r="AE75" t="s">
        <v>187</v>
      </c>
      <c r="AF75" t="s">
        <v>188</v>
      </c>
      <c r="AG75" t="s">
        <v>235</v>
      </c>
      <c r="AH75">
        <v>73</v>
      </c>
      <c r="AI75" t="s">
        <v>305</v>
      </c>
      <c r="AJ75" t="s">
        <v>242</v>
      </c>
      <c r="AK75">
        <v>2023</v>
      </c>
      <c r="AL75" t="s">
        <v>190</v>
      </c>
      <c r="AM75" t="s">
        <v>191</v>
      </c>
      <c r="AN75" t="s">
        <v>192</v>
      </c>
      <c r="AO75" t="s">
        <v>193</v>
      </c>
      <c r="AP75" t="s">
        <v>192</v>
      </c>
      <c r="AQ75" t="s">
        <v>194</v>
      </c>
      <c r="AR75" t="s">
        <v>75</v>
      </c>
      <c r="AS75" t="s">
        <v>76</v>
      </c>
      <c r="AT75" t="s">
        <v>195</v>
      </c>
      <c r="AU75" t="s">
        <v>35</v>
      </c>
      <c r="AV75" t="s">
        <v>77</v>
      </c>
      <c r="AW75" t="s">
        <v>177</v>
      </c>
      <c r="AX75" t="s">
        <v>189</v>
      </c>
      <c r="AY75" t="s">
        <v>196</v>
      </c>
      <c r="AZ75" t="s">
        <v>197</v>
      </c>
      <c r="BA75" t="s">
        <v>198</v>
      </c>
      <c r="BB75" t="s">
        <v>199</v>
      </c>
      <c r="BC75">
        <v>0</v>
      </c>
      <c r="BD75">
        <v>0</v>
      </c>
      <c r="BE75">
        <v>1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1</v>
      </c>
      <c r="BP75" t="s">
        <v>45</v>
      </c>
      <c r="BQ75" t="s">
        <v>200</v>
      </c>
      <c r="BR75" t="s">
        <v>201</v>
      </c>
      <c r="BS75" t="s">
        <v>75</v>
      </c>
      <c r="BT75" t="s">
        <v>177</v>
      </c>
      <c r="BU75" t="s">
        <v>202</v>
      </c>
      <c r="BV75" t="s">
        <v>203</v>
      </c>
      <c r="BW75" t="s">
        <v>74</v>
      </c>
      <c r="BX75" t="s">
        <v>74</v>
      </c>
      <c r="BZ75" t="s">
        <v>79</v>
      </c>
      <c r="CB75" t="s">
        <v>204</v>
      </c>
    </row>
    <row r="76" spans="1:80" x14ac:dyDescent="0.25">
      <c r="A76" t="str">
        <f>IF(  UPPER(LEFT( tabSuperdettagli[[#This Row],[WBE Status]],1) ) = "S",  "sì",  "no"   )</f>
        <v>no</v>
      </c>
      <c r="B76">
        <v>2024</v>
      </c>
      <c r="C76">
        <f>VLOOKUP(tabSuperdettagli[[#This Row],[WBS_]],'pivot di appoggio'!A:B,2,FALSE)</f>
        <v>2020</v>
      </c>
      <c r="D76" t="str">
        <f>LEFT(tabSuperdettagli[[#This Row],[Network]], 10)</f>
        <v>AAAA.0001</v>
      </c>
      <c r="E76" t="str">
        <f>LEFT(tabSuperdettagli[[#This Row],[Network]], 1)</f>
        <v>A</v>
      </c>
      <c r="F76" t="str">
        <f>LOWER(TRIM( tabSuperdettagli[[#This Row],[Proj. Type ]] ))</f>
        <v/>
      </c>
      <c r="G7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6" t="e">
        <f>IF(  TRIM(#REF!)&gt; "", TRIM(#REF!), TRIM(tabSuperdettagli[[#This Row],[Resp DT]] ) )</f>
        <v>#REF!</v>
      </c>
      <c r="J76" t="str">
        <f>tabSuperdettagli[[#This Row],[07.2025]]</f>
        <v>10</v>
      </c>
      <c r="K76">
        <f>tabSuperdettagli[[#This Row],[Resp del Prodotto]]</f>
        <v>0</v>
      </c>
      <c r="L76">
        <f>tabSuperdettagli[[#This Row],[Area di bdg]]</f>
        <v>1</v>
      </c>
      <c r="W76" t="str">
        <f>tabSuperdettagli[[#This Row],[PROJ CODE]]</f>
        <v>CONV NGP PLATFORM ENG</v>
      </c>
      <c r="X76" t="str">
        <f>tabSuperdettagli[[#This Row],[Resp 2°liv]]&amp;""</f>
        <v>Gamberini G.</v>
      </c>
      <c r="Y7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6" t="str">
        <f>tabSuperdettagli[[#This Row],[WBS Element]]&amp;""</f>
        <v>WBS ddd</v>
      </c>
      <c r="AA76" t="str">
        <f>tabSuperdettagli[[#This Row],[09.2025]]</f>
        <v>319</v>
      </c>
      <c r="AC7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6" t="str">
        <f>LEFT(tabSuperdettagli[[#This Row],[Network]], 18 )</f>
        <v>AAAA.0001</v>
      </c>
      <c r="AE76" t="s">
        <v>187</v>
      </c>
      <c r="AF76" t="s">
        <v>188</v>
      </c>
      <c r="AG76" t="s">
        <v>235</v>
      </c>
      <c r="AH76">
        <v>74</v>
      </c>
      <c r="AI76" t="s">
        <v>305</v>
      </c>
      <c r="AJ76" t="s">
        <v>242</v>
      </c>
      <c r="AK76">
        <v>2023</v>
      </c>
      <c r="AL76" t="s">
        <v>190</v>
      </c>
      <c r="AM76" t="s">
        <v>191</v>
      </c>
      <c r="AN76" t="s">
        <v>192</v>
      </c>
      <c r="AO76" t="s">
        <v>193</v>
      </c>
      <c r="AP76" t="s">
        <v>192</v>
      </c>
      <c r="AQ76" t="s">
        <v>194</v>
      </c>
      <c r="AR76" t="s">
        <v>75</v>
      </c>
      <c r="AS76" t="s">
        <v>76</v>
      </c>
      <c r="AT76" t="s">
        <v>195</v>
      </c>
      <c r="AU76" t="s">
        <v>35</v>
      </c>
      <c r="AV76" t="s">
        <v>77</v>
      </c>
      <c r="AW76" t="s">
        <v>177</v>
      </c>
      <c r="AX76" t="s">
        <v>189</v>
      </c>
      <c r="AY76" t="s">
        <v>196</v>
      </c>
      <c r="AZ76" t="s">
        <v>197</v>
      </c>
      <c r="BA76" t="s">
        <v>198</v>
      </c>
      <c r="BB76" t="s">
        <v>199</v>
      </c>
      <c r="BC76">
        <v>0</v>
      </c>
      <c r="BD76">
        <v>0</v>
      </c>
      <c r="BE76">
        <v>1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1</v>
      </c>
      <c r="BP76" t="s">
        <v>45</v>
      </c>
      <c r="BQ76" t="s">
        <v>200</v>
      </c>
      <c r="BR76" t="s">
        <v>201</v>
      </c>
      <c r="BS76" t="s">
        <v>75</v>
      </c>
      <c r="BT76" t="s">
        <v>177</v>
      </c>
      <c r="BU76" t="s">
        <v>202</v>
      </c>
      <c r="BV76" t="s">
        <v>203</v>
      </c>
      <c r="BW76" t="s">
        <v>74</v>
      </c>
      <c r="BX76" t="s">
        <v>74</v>
      </c>
      <c r="BZ76" t="s">
        <v>79</v>
      </c>
      <c r="CB76" t="s">
        <v>204</v>
      </c>
    </row>
    <row r="77" spans="1:80" x14ac:dyDescent="0.25">
      <c r="A77" t="str">
        <f>IF(  UPPER(LEFT( tabSuperdettagli[[#This Row],[WBE Status]],1) ) = "S",  "sì",  "no"   )</f>
        <v>no</v>
      </c>
      <c r="B77">
        <v>2024</v>
      </c>
      <c r="C77">
        <f>VLOOKUP(tabSuperdettagli[[#This Row],[WBS_]],'pivot di appoggio'!A:B,2,FALSE)</f>
        <v>2020</v>
      </c>
      <c r="D77" t="str">
        <f>LEFT(tabSuperdettagli[[#This Row],[Network]], 10)</f>
        <v>AAAA.0001</v>
      </c>
      <c r="E77" t="str">
        <f>LEFT(tabSuperdettagli[[#This Row],[Network]], 1)</f>
        <v>A</v>
      </c>
      <c r="F77" t="str">
        <f>LOWER(TRIM( tabSuperdettagli[[#This Row],[Proj. Type ]] ))</f>
        <v/>
      </c>
      <c r="G7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7" t="e">
        <f>IF(  TRIM(#REF!)&gt; "", TRIM(#REF!), TRIM(tabSuperdettagli[[#This Row],[Resp DT]] ) )</f>
        <v>#REF!</v>
      </c>
      <c r="J77" t="str">
        <f>tabSuperdettagli[[#This Row],[07.2025]]</f>
        <v>10</v>
      </c>
      <c r="K77">
        <f>tabSuperdettagli[[#This Row],[Resp del Prodotto]]</f>
        <v>0</v>
      </c>
      <c r="L77">
        <f>tabSuperdettagli[[#This Row],[Area di bdg]]</f>
        <v>1</v>
      </c>
      <c r="W77" t="str">
        <f>tabSuperdettagli[[#This Row],[PROJ CODE]]</f>
        <v>CONV NGP PLATFORM ENG</v>
      </c>
      <c r="X77" t="str">
        <f>tabSuperdettagli[[#This Row],[Resp 2°liv]]&amp;""</f>
        <v>Gamberini G.</v>
      </c>
      <c r="Y7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7" t="str">
        <f>tabSuperdettagli[[#This Row],[WBS Element]]&amp;""</f>
        <v>WBS ddd</v>
      </c>
      <c r="AA77" t="str">
        <f>tabSuperdettagli[[#This Row],[09.2025]]</f>
        <v>319</v>
      </c>
      <c r="AC7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7" t="str">
        <f>LEFT(tabSuperdettagli[[#This Row],[Network]], 18 )</f>
        <v>AAAA.0001</v>
      </c>
      <c r="AE77" t="s">
        <v>187</v>
      </c>
      <c r="AF77" t="s">
        <v>188</v>
      </c>
      <c r="AG77" t="s">
        <v>235</v>
      </c>
      <c r="AH77">
        <v>75</v>
      </c>
      <c r="AI77" t="s">
        <v>305</v>
      </c>
      <c r="AJ77" t="s">
        <v>242</v>
      </c>
      <c r="AK77">
        <v>2023</v>
      </c>
      <c r="AL77" t="s">
        <v>190</v>
      </c>
      <c r="AM77" t="s">
        <v>191</v>
      </c>
      <c r="AN77" t="s">
        <v>192</v>
      </c>
      <c r="AO77" t="s">
        <v>193</v>
      </c>
      <c r="AP77" t="s">
        <v>192</v>
      </c>
      <c r="AQ77" t="s">
        <v>194</v>
      </c>
      <c r="AR77" t="s">
        <v>75</v>
      </c>
      <c r="AS77" t="s">
        <v>76</v>
      </c>
      <c r="AT77" t="s">
        <v>195</v>
      </c>
      <c r="AU77" t="s">
        <v>35</v>
      </c>
      <c r="AV77" t="s">
        <v>77</v>
      </c>
      <c r="AW77" t="s">
        <v>177</v>
      </c>
      <c r="AX77" t="s">
        <v>189</v>
      </c>
      <c r="AY77" t="s">
        <v>196</v>
      </c>
      <c r="AZ77" t="s">
        <v>197</v>
      </c>
      <c r="BA77" t="s">
        <v>198</v>
      </c>
      <c r="BB77" t="s">
        <v>199</v>
      </c>
      <c r="BC77">
        <v>0</v>
      </c>
      <c r="BD77">
        <v>0</v>
      </c>
      <c r="BE77">
        <v>1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1</v>
      </c>
      <c r="BP77" t="s">
        <v>45</v>
      </c>
      <c r="BQ77" t="s">
        <v>200</v>
      </c>
      <c r="BR77" t="s">
        <v>201</v>
      </c>
      <c r="BS77" t="s">
        <v>75</v>
      </c>
      <c r="BT77" t="s">
        <v>177</v>
      </c>
      <c r="BU77" t="s">
        <v>202</v>
      </c>
      <c r="BV77" t="s">
        <v>203</v>
      </c>
      <c r="BW77" t="s">
        <v>74</v>
      </c>
      <c r="BX77" t="s">
        <v>74</v>
      </c>
      <c r="BZ77" t="s">
        <v>79</v>
      </c>
      <c r="CB77" t="s">
        <v>204</v>
      </c>
    </row>
    <row r="78" spans="1:80" x14ac:dyDescent="0.25">
      <c r="A78" t="str">
        <f>IF(  UPPER(LEFT( tabSuperdettagli[[#This Row],[WBE Status]],1) ) = "S",  "sì",  "no"   )</f>
        <v>no</v>
      </c>
      <c r="B78">
        <v>2024</v>
      </c>
      <c r="C78">
        <f>VLOOKUP(tabSuperdettagli[[#This Row],[WBS_]],'pivot di appoggio'!A:B,2,FALSE)</f>
        <v>2020</v>
      </c>
      <c r="D78" t="str">
        <f>LEFT(tabSuperdettagli[[#This Row],[Network]], 10)</f>
        <v>AAAA.0001</v>
      </c>
      <c r="E78" t="str">
        <f>LEFT(tabSuperdettagli[[#This Row],[Network]], 1)</f>
        <v>A</v>
      </c>
      <c r="F78" t="str">
        <f>LOWER(TRIM( tabSuperdettagli[[#This Row],[Proj. Type ]] ))</f>
        <v/>
      </c>
      <c r="G7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8" t="e">
        <f>IF(  TRIM(#REF!)&gt; "", TRIM(#REF!), TRIM(tabSuperdettagli[[#This Row],[Resp DT]] ) )</f>
        <v>#REF!</v>
      </c>
      <c r="J78" t="str">
        <f>tabSuperdettagli[[#This Row],[07.2025]]</f>
        <v>10</v>
      </c>
      <c r="K78">
        <f>tabSuperdettagli[[#This Row],[Resp del Prodotto]]</f>
        <v>0</v>
      </c>
      <c r="L78">
        <f>tabSuperdettagli[[#This Row],[Area di bdg]]</f>
        <v>1</v>
      </c>
      <c r="W78" t="str">
        <f>tabSuperdettagli[[#This Row],[PROJ CODE]]</f>
        <v>CONV NGP PLATFORM ENG</v>
      </c>
      <c r="X78" t="str">
        <f>tabSuperdettagli[[#This Row],[Resp 2°liv]]&amp;""</f>
        <v>Gamberini G.</v>
      </c>
      <c r="Y7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8" t="str">
        <f>tabSuperdettagli[[#This Row],[WBS Element]]&amp;""</f>
        <v>WBS ddd</v>
      </c>
      <c r="AA78" t="str">
        <f>tabSuperdettagli[[#This Row],[09.2025]]</f>
        <v>319</v>
      </c>
      <c r="AC7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8" t="str">
        <f>LEFT(tabSuperdettagli[[#This Row],[Network]], 18 )</f>
        <v>AAAA.0001</v>
      </c>
      <c r="AE78" t="s">
        <v>187</v>
      </c>
      <c r="AF78" t="s">
        <v>188</v>
      </c>
      <c r="AG78" t="s">
        <v>235</v>
      </c>
      <c r="AH78">
        <v>76</v>
      </c>
      <c r="AI78" t="s">
        <v>305</v>
      </c>
      <c r="AJ78" t="s">
        <v>242</v>
      </c>
      <c r="AK78">
        <v>2023</v>
      </c>
      <c r="AL78" t="s">
        <v>190</v>
      </c>
      <c r="AM78" t="s">
        <v>191</v>
      </c>
      <c r="AN78" t="s">
        <v>192</v>
      </c>
      <c r="AO78" t="s">
        <v>193</v>
      </c>
      <c r="AP78" t="s">
        <v>192</v>
      </c>
      <c r="AQ78" t="s">
        <v>194</v>
      </c>
      <c r="AR78" t="s">
        <v>75</v>
      </c>
      <c r="AS78" t="s">
        <v>76</v>
      </c>
      <c r="AT78" t="s">
        <v>195</v>
      </c>
      <c r="AU78" t="s">
        <v>35</v>
      </c>
      <c r="AV78" t="s">
        <v>77</v>
      </c>
      <c r="AW78" t="s">
        <v>177</v>
      </c>
      <c r="AX78" t="s">
        <v>189</v>
      </c>
      <c r="AY78" t="s">
        <v>196</v>
      </c>
      <c r="AZ78" t="s">
        <v>197</v>
      </c>
      <c r="BA78" t="s">
        <v>198</v>
      </c>
      <c r="BB78" t="s">
        <v>199</v>
      </c>
      <c r="BC78">
        <v>0</v>
      </c>
      <c r="BD78">
        <v>0</v>
      </c>
      <c r="BE78">
        <v>1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1</v>
      </c>
      <c r="BP78" t="s">
        <v>45</v>
      </c>
      <c r="BQ78" t="s">
        <v>200</v>
      </c>
      <c r="BR78" t="s">
        <v>201</v>
      </c>
      <c r="BS78" t="s">
        <v>75</v>
      </c>
      <c r="BT78" t="s">
        <v>177</v>
      </c>
      <c r="BU78" t="s">
        <v>202</v>
      </c>
      <c r="BV78" t="s">
        <v>203</v>
      </c>
      <c r="BW78" t="s">
        <v>74</v>
      </c>
      <c r="BX78" t="s">
        <v>74</v>
      </c>
      <c r="BZ78" t="s">
        <v>79</v>
      </c>
      <c r="CB78" t="s">
        <v>204</v>
      </c>
    </row>
    <row r="79" spans="1:80" x14ac:dyDescent="0.25">
      <c r="A79" t="str">
        <f>IF(  UPPER(LEFT( tabSuperdettagli[[#This Row],[WBE Status]],1) ) = "S",  "sì",  "no"   )</f>
        <v>no</v>
      </c>
      <c r="B79">
        <v>2024</v>
      </c>
      <c r="C79">
        <f>VLOOKUP(tabSuperdettagli[[#This Row],[WBS_]],'pivot di appoggio'!A:B,2,FALSE)</f>
        <v>2020</v>
      </c>
      <c r="D79" t="str">
        <f>LEFT(tabSuperdettagli[[#This Row],[Network]], 10)</f>
        <v>AAAA.0001</v>
      </c>
      <c r="E79" t="str">
        <f>LEFT(tabSuperdettagli[[#This Row],[Network]], 1)</f>
        <v>A</v>
      </c>
      <c r="F79" t="str">
        <f>LOWER(TRIM( tabSuperdettagli[[#This Row],[Proj. Type ]] ))</f>
        <v/>
      </c>
      <c r="G7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9" t="e">
        <f>IF(  TRIM(#REF!)&gt; "", TRIM(#REF!), TRIM(tabSuperdettagli[[#This Row],[Resp DT]] ) )</f>
        <v>#REF!</v>
      </c>
      <c r="J79" t="str">
        <f>tabSuperdettagli[[#This Row],[07.2025]]</f>
        <v>10</v>
      </c>
      <c r="K79">
        <f>tabSuperdettagli[[#This Row],[Resp del Prodotto]]</f>
        <v>0</v>
      </c>
      <c r="L79">
        <f>tabSuperdettagli[[#This Row],[Area di bdg]]</f>
        <v>1</v>
      </c>
      <c r="W79" t="str">
        <f>tabSuperdettagli[[#This Row],[PROJ CODE]]</f>
        <v>CONV NGP PLATFORM ENG</v>
      </c>
      <c r="X79" t="str">
        <f>tabSuperdettagli[[#This Row],[Resp 2°liv]]&amp;""</f>
        <v>Gamberini G.</v>
      </c>
      <c r="Y7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9" t="str">
        <f>tabSuperdettagli[[#This Row],[WBS Element]]&amp;""</f>
        <v>WBS ddd</v>
      </c>
      <c r="AA79" t="str">
        <f>tabSuperdettagli[[#This Row],[09.2025]]</f>
        <v>319</v>
      </c>
      <c r="AC7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9" t="str">
        <f>LEFT(tabSuperdettagli[[#This Row],[Network]], 18 )</f>
        <v>AAAA.0001</v>
      </c>
      <c r="AE79" t="s">
        <v>187</v>
      </c>
      <c r="AF79" t="s">
        <v>188</v>
      </c>
      <c r="AG79" t="s">
        <v>235</v>
      </c>
      <c r="AH79">
        <v>77</v>
      </c>
      <c r="AI79" t="s">
        <v>305</v>
      </c>
      <c r="AJ79" t="s">
        <v>242</v>
      </c>
      <c r="AK79">
        <v>2023</v>
      </c>
      <c r="AL79" t="s">
        <v>190</v>
      </c>
      <c r="AM79" t="s">
        <v>191</v>
      </c>
      <c r="AN79" t="s">
        <v>192</v>
      </c>
      <c r="AO79" t="s">
        <v>193</v>
      </c>
      <c r="AP79" t="s">
        <v>192</v>
      </c>
      <c r="AQ79" t="s">
        <v>194</v>
      </c>
      <c r="AR79" t="s">
        <v>75</v>
      </c>
      <c r="AS79" t="s">
        <v>76</v>
      </c>
      <c r="AT79" t="s">
        <v>195</v>
      </c>
      <c r="AU79" t="s">
        <v>35</v>
      </c>
      <c r="AV79" t="s">
        <v>77</v>
      </c>
      <c r="AW79" t="s">
        <v>177</v>
      </c>
      <c r="AX79" t="s">
        <v>189</v>
      </c>
      <c r="AY79" t="s">
        <v>196</v>
      </c>
      <c r="AZ79" t="s">
        <v>197</v>
      </c>
      <c r="BA79" t="s">
        <v>198</v>
      </c>
      <c r="BB79" t="s">
        <v>199</v>
      </c>
      <c r="BC79">
        <v>0</v>
      </c>
      <c r="BD79">
        <v>0</v>
      </c>
      <c r="BE79">
        <v>1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1</v>
      </c>
      <c r="BP79" t="s">
        <v>45</v>
      </c>
      <c r="BQ79" t="s">
        <v>200</v>
      </c>
      <c r="BR79" t="s">
        <v>201</v>
      </c>
      <c r="BS79" t="s">
        <v>75</v>
      </c>
      <c r="BT79" t="s">
        <v>177</v>
      </c>
      <c r="BU79" t="s">
        <v>202</v>
      </c>
      <c r="BV79" t="s">
        <v>203</v>
      </c>
      <c r="BW79" t="s">
        <v>74</v>
      </c>
      <c r="BX79" t="s">
        <v>74</v>
      </c>
      <c r="BZ79" t="s">
        <v>79</v>
      </c>
      <c r="CB79" t="s">
        <v>204</v>
      </c>
    </row>
    <row r="80" spans="1:80" x14ac:dyDescent="0.25">
      <c r="A80" t="str">
        <f>IF(  UPPER(LEFT( tabSuperdettagli[[#This Row],[WBE Status]],1) ) = "S",  "sì",  "no"   )</f>
        <v>no</v>
      </c>
      <c r="B80">
        <v>2024</v>
      </c>
      <c r="C80">
        <f>VLOOKUP(tabSuperdettagli[[#This Row],[WBS_]],'pivot di appoggio'!A:B,2,FALSE)</f>
        <v>2020</v>
      </c>
      <c r="D80" t="str">
        <f>LEFT(tabSuperdettagli[[#This Row],[Network]], 10)</f>
        <v>AAAA.0001</v>
      </c>
      <c r="E80" t="str">
        <f>LEFT(tabSuperdettagli[[#This Row],[Network]], 1)</f>
        <v>A</v>
      </c>
      <c r="F80" t="str">
        <f>LOWER(TRIM( tabSuperdettagli[[#This Row],[Proj. Type ]] ))</f>
        <v/>
      </c>
      <c r="G8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0" t="e">
        <f>IF(  TRIM(#REF!)&gt; "", TRIM(#REF!), TRIM(tabSuperdettagli[[#This Row],[Resp DT]] ) )</f>
        <v>#REF!</v>
      </c>
      <c r="J80" t="str">
        <f>tabSuperdettagli[[#This Row],[07.2025]]</f>
        <v>10</v>
      </c>
      <c r="K80">
        <f>tabSuperdettagli[[#This Row],[Resp del Prodotto]]</f>
        <v>0</v>
      </c>
      <c r="L80">
        <f>tabSuperdettagli[[#This Row],[Area di bdg]]</f>
        <v>1</v>
      </c>
      <c r="W80" t="str">
        <f>tabSuperdettagli[[#This Row],[PROJ CODE]]</f>
        <v>CONV NGP PLATFORM ENG</v>
      </c>
      <c r="X80" t="str">
        <f>tabSuperdettagli[[#This Row],[Resp 2°liv]]&amp;""</f>
        <v>Gamberini G.</v>
      </c>
      <c r="Y8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0" t="str">
        <f>tabSuperdettagli[[#This Row],[WBS Element]]&amp;""</f>
        <v>WBS ddd</v>
      </c>
      <c r="AA80" t="str">
        <f>tabSuperdettagli[[#This Row],[09.2025]]</f>
        <v>319</v>
      </c>
      <c r="AC8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0" t="str">
        <f>LEFT(tabSuperdettagli[[#This Row],[Network]], 18 )</f>
        <v>AAAA.0001</v>
      </c>
      <c r="AE80" t="s">
        <v>187</v>
      </c>
      <c r="AF80" t="s">
        <v>188</v>
      </c>
      <c r="AG80" t="s">
        <v>235</v>
      </c>
      <c r="AH80">
        <v>78</v>
      </c>
      <c r="AI80" t="s">
        <v>305</v>
      </c>
      <c r="AJ80" t="s">
        <v>242</v>
      </c>
      <c r="AK80">
        <v>2023</v>
      </c>
      <c r="AL80" t="s">
        <v>190</v>
      </c>
      <c r="AM80" t="s">
        <v>191</v>
      </c>
      <c r="AN80" t="s">
        <v>192</v>
      </c>
      <c r="AO80" t="s">
        <v>193</v>
      </c>
      <c r="AP80" t="s">
        <v>192</v>
      </c>
      <c r="AQ80" t="s">
        <v>194</v>
      </c>
      <c r="AR80" t="s">
        <v>75</v>
      </c>
      <c r="AS80" t="s">
        <v>76</v>
      </c>
      <c r="AT80" t="s">
        <v>195</v>
      </c>
      <c r="AU80" t="s">
        <v>35</v>
      </c>
      <c r="AV80" t="s">
        <v>77</v>
      </c>
      <c r="AW80" t="s">
        <v>177</v>
      </c>
      <c r="AX80" t="s">
        <v>189</v>
      </c>
      <c r="AY80" t="s">
        <v>196</v>
      </c>
      <c r="AZ80" t="s">
        <v>197</v>
      </c>
      <c r="BA80" t="s">
        <v>198</v>
      </c>
      <c r="BB80" t="s">
        <v>199</v>
      </c>
      <c r="BC80">
        <v>0</v>
      </c>
      <c r="BD80">
        <v>0</v>
      </c>
      <c r="BE80">
        <v>1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1</v>
      </c>
      <c r="BP80" t="s">
        <v>45</v>
      </c>
      <c r="BQ80" t="s">
        <v>200</v>
      </c>
      <c r="BR80" t="s">
        <v>201</v>
      </c>
      <c r="BS80" t="s">
        <v>75</v>
      </c>
      <c r="BT80" t="s">
        <v>177</v>
      </c>
      <c r="BU80" t="s">
        <v>202</v>
      </c>
      <c r="BV80" t="s">
        <v>203</v>
      </c>
      <c r="BW80" t="s">
        <v>74</v>
      </c>
      <c r="BX80" t="s">
        <v>74</v>
      </c>
      <c r="BZ80" t="s">
        <v>79</v>
      </c>
      <c r="CB80" t="s">
        <v>204</v>
      </c>
    </row>
    <row r="81" spans="1:80" x14ac:dyDescent="0.25">
      <c r="A81" t="str">
        <f>IF(  UPPER(LEFT( tabSuperdettagli[[#This Row],[WBE Status]],1) ) = "S",  "sì",  "no"   )</f>
        <v>no</v>
      </c>
      <c r="B81">
        <v>2024</v>
      </c>
      <c r="C81">
        <f>VLOOKUP(tabSuperdettagli[[#This Row],[WBS_]],'pivot di appoggio'!A:B,2,FALSE)</f>
        <v>2020</v>
      </c>
      <c r="D81" t="str">
        <f>LEFT(tabSuperdettagli[[#This Row],[Network]], 10)</f>
        <v>AAAA.0001</v>
      </c>
      <c r="E81" t="str">
        <f>LEFT(tabSuperdettagli[[#This Row],[Network]], 1)</f>
        <v>A</v>
      </c>
      <c r="F81" t="str">
        <f>LOWER(TRIM( tabSuperdettagli[[#This Row],[Proj. Type ]] ))</f>
        <v/>
      </c>
      <c r="G8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1" t="e">
        <f>IF(  TRIM(#REF!)&gt; "", TRIM(#REF!), TRIM(tabSuperdettagli[[#This Row],[Resp DT]] ) )</f>
        <v>#REF!</v>
      </c>
      <c r="J81" t="str">
        <f>tabSuperdettagli[[#This Row],[07.2025]]</f>
        <v>10</v>
      </c>
      <c r="K81">
        <f>tabSuperdettagli[[#This Row],[Resp del Prodotto]]</f>
        <v>0</v>
      </c>
      <c r="L81">
        <f>tabSuperdettagli[[#This Row],[Area di bdg]]</f>
        <v>1</v>
      </c>
      <c r="W81" t="str">
        <f>tabSuperdettagli[[#This Row],[PROJ CODE]]</f>
        <v>CONV NGP PLATFORM ENG</v>
      </c>
      <c r="X81" t="str">
        <f>tabSuperdettagli[[#This Row],[Resp 2°liv]]&amp;""</f>
        <v>Gamberini G.</v>
      </c>
      <c r="Y8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1" t="str">
        <f>tabSuperdettagli[[#This Row],[WBS Element]]&amp;""</f>
        <v>WBS ddd</v>
      </c>
      <c r="AA81" t="str">
        <f>tabSuperdettagli[[#This Row],[09.2025]]</f>
        <v>319</v>
      </c>
      <c r="AC8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1" t="str">
        <f>LEFT(tabSuperdettagli[[#This Row],[Network]], 18 )</f>
        <v>AAAA.0001</v>
      </c>
      <c r="AE81" t="s">
        <v>187</v>
      </c>
      <c r="AF81" t="s">
        <v>188</v>
      </c>
      <c r="AG81" t="s">
        <v>235</v>
      </c>
      <c r="AH81">
        <v>79</v>
      </c>
      <c r="AI81" t="s">
        <v>305</v>
      </c>
      <c r="AJ81" t="s">
        <v>242</v>
      </c>
      <c r="AK81">
        <v>2023</v>
      </c>
      <c r="AL81" t="s">
        <v>190</v>
      </c>
      <c r="AM81" t="s">
        <v>191</v>
      </c>
      <c r="AN81" t="s">
        <v>192</v>
      </c>
      <c r="AO81" t="s">
        <v>193</v>
      </c>
      <c r="AP81" t="s">
        <v>192</v>
      </c>
      <c r="AQ81" t="s">
        <v>194</v>
      </c>
      <c r="AR81" t="s">
        <v>75</v>
      </c>
      <c r="AS81" t="s">
        <v>76</v>
      </c>
      <c r="AT81" t="s">
        <v>195</v>
      </c>
      <c r="AU81" t="s">
        <v>35</v>
      </c>
      <c r="AV81" t="s">
        <v>77</v>
      </c>
      <c r="AW81" t="s">
        <v>177</v>
      </c>
      <c r="AX81" t="s">
        <v>189</v>
      </c>
      <c r="AY81" t="s">
        <v>196</v>
      </c>
      <c r="AZ81" t="s">
        <v>197</v>
      </c>
      <c r="BA81" t="s">
        <v>198</v>
      </c>
      <c r="BB81" t="s">
        <v>199</v>
      </c>
      <c r="BC81">
        <v>0</v>
      </c>
      <c r="BD81">
        <v>0</v>
      </c>
      <c r="BE81">
        <v>1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1</v>
      </c>
      <c r="BP81" t="s">
        <v>45</v>
      </c>
      <c r="BQ81" t="s">
        <v>200</v>
      </c>
      <c r="BR81" t="s">
        <v>201</v>
      </c>
      <c r="BS81" t="s">
        <v>75</v>
      </c>
      <c r="BT81" t="s">
        <v>177</v>
      </c>
      <c r="BU81" t="s">
        <v>202</v>
      </c>
      <c r="BV81" t="s">
        <v>203</v>
      </c>
      <c r="BW81" t="s">
        <v>74</v>
      </c>
      <c r="BX81" t="s">
        <v>74</v>
      </c>
      <c r="BZ81" t="s">
        <v>79</v>
      </c>
      <c r="CB81" t="s">
        <v>204</v>
      </c>
    </row>
    <row r="82" spans="1:80" x14ac:dyDescent="0.25">
      <c r="A82" t="str">
        <f>IF(  UPPER(LEFT( tabSuperdettagli[[#This Row],[WBE Status]],1) ) = "S",  "sì",  "no"   )</f>
        <v>no</v>
      </c>
      <c r="B82">
        <v>2024</v>
      </c>
      <c r="C82">
        <f>VLOOKUP(tabSuperdettagli[[#This Row],[WBS_]],'pivot di appoggio'!A:B,2,FALSE)</f>
        <v>2020</v>
      </c>
      <c r="D82" t="str">
        <f>LEFT(tabSuperdettagli[[#This Row],[Network]], 10)</f>
        <v>AAAA.0001</v>
      </c>
      <c r="E82" t="str">
        <f>LEFT(tabSuperdettagli[[#This Row],[Network]], 1)</f>
        <v>A</v>
      </c>
      <c r="F82" t="str">
        <f>LOWER(TRIM( tabSuperdettagli[[#This Row],[Proj. Type ]] ))</f>
        <v/>
      </c>
      <c r="G8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2" t="e">
        <f>IF(  TRIM(#REF!)&gt; "", TRIM(#REF!), TRIM(tabSuperdettagli[[#This Row],[Resp DT]] ) )</f>
        <v>#REF!</v>
      </c>
      <c r="J82" t="str">
        <f>tabSuperdettagli[[#This Row],[07.2025]]</f>
        <v>10</v>
      </c>
      <c r="K82">
        <f>tabSuperdettagli[[#This Row],[Resp del Prodotto]]</f>
        <v>0</v>
      </c>
      <c r="L82">
        <f>tabSuperdettagli[[#This Row],[Area di bdg]]</f>
        <v>1</v>
      </c>
      <c r="W82" t="str">
        <f>tabSuperdettagli[[#This Row],[PROJ CODE]]</f>
        <v>CONV NGP PLATFORM ENG</v>
      </c>
      <c r="X82" t="str">
        <f>tabSuperdettagli[[#This Row],[Resp 2°liv]]&amp;""</f>
        <v>Gamberini G.</v>
      </c>
      <c r="Y8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2" t="str">
        <f>tabSuperdettagli[[#This Row],[WBS Element]]&amp;""</f>
        <v>WBS ddd</v>
      </c>
      <c r="AA82" t="str">
        <f>tabSuperdettagli[[#This Row],[09.2025]]</f>
        <v>319</v>
      </c>
      <c r="AC8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2" t="str">
        <f>LEFT(tabSuperdettagli[[#This Row],[Network]], 18 )</f>
        <v>AAAA.0001</v>
      </c>
      <c r="AE82" t="s">
        <v>187</v>
      </c>
      <c r="AF82" t="s">
        <v>188</v>
      </c>
      <c r="AG82" t="s">
        <v>235</v>
      </c>
      <c r="AH82">
        <v>80</v>
      </c>
      <c r="AI82" t="s">
        <v>305</v>
      </c>
      <c r="AJ82" t="s">
        <v>242</v>
      </c>
      <c r="AK82">
        <v>2023</v>
      </c>
      <c r="AL82" t="s">
        <v>190</v>
      </c>
      <c r="AM82" t="s">
        <v>191</v>
      </c>
      <c r="AN82" t="s">
        <v>192</v>
      </c>
      <c r="AO82" t="s">
        <v>193</v>
      </c>
      <c r="AP82" t="s">
        <v>192</v>
      </c>
      <c r="AQ82" t="s">
        <v>194</v>
      </c>
      <c r="AR82" t="s">
        <v>75</v>
      </c>
      <c r="AS82" t="s">
        <v>76</v>
      </c>
      <c r="AT82" t="s">
        <v>195</v>
      </c>
      <c r="AU82" t="s">
        <v>35</v>
      </c>
      <c r="AV82" t="s">
        <v>77</v>
      </c>
      <c r="AW82" t="s">
        <v>177</v>
      </c>
      <c r="AX82" t="s">
        <v>189</v>
      </c>
      <c r="AY82" t="s">
        <v>196</v>
      </c>
      <c r="AZ82" t="s">
        <v>197</v>
      </c>
      <c r="BA82" t="s">
        <v>198</v>
      </c>
      <c r="BB82" t="s">
        <v>199</v>
      </c>
      <c r="BC82">
        <v>0</v>
      </c>
      <c r="BD82">
        <v>0</v>
      </c>
      <c r="BE82">
        <v>1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1</v>
      </c>
      <c r="BP82" t="s">
        <v>45</v>
      </c>
      <c r="BQ82" t="s">
        <v>200</v>
      </c>
      <c r="BR82" t="s">
        <v>201</v>
      </c>
      <c r="BS82" t="s">
        <v>75</v>
      </c>
      <c r="BT82" t="s">
        <v>177</v>
      </c>
      <c r="BU82" t="s">
        <v>202</v>
      </c>
      <c r="BV82" t="s">
        <v>203</v>
      </c>
      <c r="BW82" t="s">
        <v>74</v>
      </c>
      <c r="BX82" t="s">
        <v>74</v>
      </c>
      <c r="BZ82" t="s">
        <v>79</v>
      </c>
      <c r="CB82" t="s">
        <v>204</v>
      </c>
    </row>
    <row r="83" spans="1:80" x14ac:dyDescent="0.25">
      <c r="A83" t="str">
        <f>IF(  UPPER(LEFT( tabSuperdettagli[[#This Row],[WBE Status]],1) ) = "S",  "sì",  "no"   )</f>
        <v>no</v>
      </c>
      <c r="B83">
        <v>2025</v>
      </c>
      <c r="C83">
        <f>VLOOKUP(tabSuperdettagli[[#This Row],[WBS_]],'pivot di appoggio'!A:B,2,FALSE)</f>
        <v>2020</v>
      </c>
      <c r="D83" t="str">
        <f>LEFT(tabSuperdettagli[[#This Row],[Network]], 10)</f>
        <v>AAAA.0001</v>
      </c>
      <c r="E83" t="str">
        <f>LEFT(tabSuperdettagli[[#This Row],[Network]], 1)</f>
        <v>A</v>
      </c>
      <c r="F83" t="str">
        <f>LOWER(TRIM( tabSuperdettagli[[#This Row],[Proj. Type ]] ))</f>
        <v/>
      </c>
      <c r="G8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3" t="e">
        <f>IF(  TRIM(#REF!)&gt; "", TRIM(#REF!), TRIM(tabSuperdettagli[[#This Row],[Resp DT]] ) )</f>
        <v>#REF!</v>
      </c>
      <c r="J83" t="str">
        <f>tabSuperdettagli[[#This Row],[07.2025]]</f>
        <v>10</v>
      </c>
      <c r="K83">
        <f>tabSuperdettagli[[#This Row],[Resp del Prodotto]]</f>
        <v>0</v>
      </c>
      <c r="L83">
        <f>tabSuperdettagli[[#This Row],[Area di bdg]]</f>
        <v>1</v>
      </c>
      <c r="W83" t="str">
        <f>tabSuperdettagli[[#This Row],[PROJ CODE]]</f>
        <v>CONV NGP PLATFORM ENG</v>
      </c>
      <c r="X83" t="str">
        <f>tabSuperdettagli[[#This Row],[Resp 2°liv]]&amp;""</f>
        <v>Gamberini G.</v>
      </c>
      <c r="Y8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3" t="str">
        <f>tabSuperdettagli[[#This Row],[WBS Element]]&amp;""</f>
        <v>WBS ddd</v>
      </c>
      <c r="AA83" t="str">
        <f>tabSuperdettagli[[#This Row],[09.2025]]</f>
        <v>319</v>
      </c>
      <c r="AC8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3" t="str">
        <f>LEFT(tabSuperdettagli[[#This Row],[Network]], 18 )</f>
        <v>AAAA.0001</v>
      </c>
      <c r="AE83" t="s">
        <v>187</v>
      </c>
      <c r="AF83" t="s">
        <v>188</v>
      </c>
      <c r="AG83" t="s">
        <v>304</v>
      </c>
      <c r="AH83">
        <v>1</v>
      </c>
      <c r="AI83" t="s">
        <v>305</v>
      </c>
      <c r="AJ83" t="s">
        <v>242</v>
      </c>
      <c r="AK83">
        <v>2023</v>
      </c>
      <c r="AL83" t="s">
        <v>190</v>
      </c>
      <c r="AM83" t="s">
        <v>191</v>
      </c>
      <c r="AN83" t="s">
        <v>192</v>
      </c>
      <c r="AO83" t="s">
        <v>193</v>
      </c>
      <c r="AP83" t="s">
        <v>192</v>
      </c>
      <c r="AQ83" t="s">
        <v>194</v>
      </c>
      <c r="AR83" t="s">
        <v>75</v>
      </c>
      <c r="AS83" t="s">
        <v>76</v>
      </c>
      <c r="AT83" t="s">
        <v>195</v>
      </c>
      <c r="AU83" t="s">
        <v>35</v>
      </c>
      <c r="AV83" t="s">
        <v>77</v>
      </c>
      <c r="AW83" t="s">
        <v>177</v>
      </c>
      <c r="AX83" t="s">
        <v>189</v>
      </c>
      <c r="AY83" t="s">
        <v>196</v>
      </c>
      <c r="AZ83" t="s">
        <v>197</v>
      </c>
      <c r="BA83" t="s">
        <v>198</v>
      </c>
      <c r="BB83" t="s">
        <v>199</v>
      </c>
      <c r="BC83">
        <v>0</v>
      </c>
      <c r="BD83">
        <v>0</v>
      </c>
      <c r="BE83">
        <v>1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1</v>
      </c>
      <c r="BP83" t="s">
        <v>45</v>
      </c>
      <c r="BQ83" t="s">
        <v>200</v>
      </c>
      <c r="BR83" t="s">
        <v>201</v>
      </c>
      <c r="BS83" t="s">
        <v>75</v>
      </c>
      <c r="BT83" t="s">
        <v>177</v>
      </c>
      <c r="BU83" t="s">
        <v>202</v>
      </c>
      <c r="BV83" t="s">
        <v>203</v>
      </c>
      <c r="BW83" t="s">
        <v>74</v>
      </c>
      <c r="BX83" t="s">
        <v>74</v>
      </c>
      <c r="BZ83" t="s">
        <v>79</v>
      </c>
      <c r="CB83" t="s">
        <v>204</v>
      </c>
    </row>
    <row r="84" spans="1:80" x14ac:dyDescent="0.25">
      <c r="A84" t="str">
        <f>IF(  UPPER(LEFT( tabSuperdettagli[[#This Row],[WBE Status]],1) ) = "S",  "sì",  "no"   )</f>
        <v>no</v>
      </c>
      <c r="B84">
        <v>2025</v>
      </c>
      <c r="C84">
        <f>VLOOKUP(tabSuperdettagli[[#This Row],[WBS_]],'pivot di appoggio'!A:B,2,FALSE)</f>
        <v>2020</v>
      </c>
      <c r="D84" t="str">
        <f>LEFT(tabSuperdettagli[[#This Row],[Network]], 10)</f>
        <v>AAAA.0001</v>
      </c>
      <c r="E84" t="str">
        <f>LEFT(tabSuperdettagli[[#This Row],[Network]], 1)</f>
        <v>A</v>
      </c>
      <c r="F84" t="str">
        <f>LOWER(TRIM( tabSuperdettagli[[#This Row],[Proj. Type ]] ))</f>
        <v/>
      </c>
      <c r="G8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4" t="e">
        <f>IF(  TRIM(#REF!)&gt; "", TRIM(#REF!), TRIM(tabSuperdettagli[[#This Row],[Resp DT]] ) )</f>
        <v>#REF!</v>
      </c>
      <c r="J84" t="str">
        <f>tabSuperdettagli[[#This Row],[07.2025]]</f>
        <v>10</v>
      </c>
      <c r="K84">
        <f>tabSuperdettagli[[#This Row],[Resp del Prodotto]]</f>
        <v>0</v>
      </c>
      <c r="L84">
        <f>tabSuperdettagli[[#This Row],[Area di bdg]]</f>
        <v>1</v>
      </c>
      <c r="W84" t="str">
        <f>tabSuperdettagli[[#This Row],[PROJ CODE]]</f>
        <v>CONV NGP PLATFORM ENG</v>
      </c>
      <c r="X84" t="str">
        <f>tabSuperdettagli[[#This Row],[Resp 2°liv]]&amp;""</f>
        <v>Gamberini G.</v>
      </c>
      <c r="Y8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4" t="str">
        <f>tabSuperdettagli[[#This Row],[WBS Element]]&amp;""</f>
        <v>WBS ddd</v>
      </c>
      <c r="AA84" t="str">
        <f>tabSuperdettagli[[#This Row],[09.2025]]</f>
        <v>319</v>
      </c>
      <c r="AC8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4" t="str">
        <f>LEFT(tabSuperdettagli[[#This Row],[Network]], 18 )</f>
        <v>AAAA.0001</v>
      </c>
      <c r="AE84" t="s">
        <v>187</v>
      </c>
      <c r="AF84" t="s">
        <v>188</v>
      </c>
      <c r="AG84" t="s">
        <v>304</v>
      </c>
      <c r="AH84">
        <v>2</v>
      </c>
      <c r="AI84" t="s">
        <v>305</v>
      </c>
      <c r="AJ84" t="s">
        <v>242</v>
      </c>
      <c r="AK84">
        <v>2023</v>
      </c>
      <c r="AL84" t="s">
        <v>190</v>
      </c>
      <c r="AM84" t="s">
        <v>191</v>
      </c>
      <c r="AN84" t="s">
        <v>192</v>
      </c>
      <c r="AO84" t="s">
        <v>193</v>
      </c>
      <c r="AP84" t="s">
        <v>192</v>
      </c>
      <c r="AQ84" t="s">
        <v>194</v>
      </c>
      <c r="AR84" t="s">
        <v>75</v>
      </c>
      <c r="AS84" t="s">
        <v>76</v>
      </c>
      <c r="AT84" t="s">
        <v>195</v>
      </c>
      <c r="AU84" t="s">
        <v>35</v>
      </c>
      <c r="AV84" t="s">
        <v>77</v>
      </c>
      <c r="AW84" t="s">
        <v>177</v>
      </c>
      <c r="AX84" t="s">
        <v>189</v>
      </c>
      <c r="AY84" t="s">
        <v>196</v>
      </c>
      <c r="AZ84" t="s">
        <v>197</v>
      </c>
      <c r="BA84" t="s">
        <v>198</v>
      </c>
      <c r="BB84" t="s">
        <v>199</v>
      </c>
      <c r="BC84">
        <v>0</v>
      </c>
      <c r="BD84">
        <v>0</v>
      </c>
      <c r="BE84">
        <v>1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1</v>
      </c>
      <c r="BP84" t="s">
        <v>45</v>
      </c>
      <c r="BQ84" t="s">
        <v>200</v>
      </c>
      <c r="BR84" t="s">
        <v>201</v>
      </c>
      <c r="BS84" t="s">
        <v>75</v>
      </c>
      <c r="BT84" t="s">
        <v>177</v>
      </c>
      <c r="BU84" t="s">
        <v>202</v>
      </c>
      <c r="BV84" t="s">
        <v>203</v>
      </c>
      <c r="BW84" t="s">
        <v>74</v>
      </c>
      <c r="BX84" t="s">
        <v>74</v>
      </c>
      <c r="BZ84" t="s">
        <v>79</v>
      </c>
      <c r="CB84" t="s">
        <v>204</v>
      </c>
    </row>
    <row r="85" spans="1:80" x14ac:dyDescent="0.25">
      <c r="A85" t="str">
        <f>IF(  UPPER(LEFT( tabSuperdettagli[[#This Row],[WBE Status]],1) ) = "S",  "sì",  "no"   )</f>
        <v>no</v>
      </c>
      <c r="B85">
        <v>2025</v>
      </c>
      <c r="C85">
        <f>VLOOKUP(tabSuperdettagli[[#This Row],[WBS_]],'pivot di appoggio'!A:B,2,FALSE)</f>
        <v>2020</v>
      </c>
      <c r="D85" t="str">
        <f>LEFT(tabSuperdettagli[[#This Row],[Network]], 10)</f>
        <v>AAAA.0001</v>
      </c>
      <c r="E85" t="str">
        <f>LEFT(tabSuperdettagli[[#This Row],[Network]], 1)</f>
        <v>A</v>
      </c>
      <c r="F85" t="str">
        <f>LOWER(TRIM( tabSuperdettagli[[#This Row],[Proj. Type ]] ))</f>
        <v/>
      </c>
      <c r="G8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5" t="e">
        <f>IF(  TRIM(#REF!)&gt; "", TRIM(#REF!), TRIM(tabSuperdettagli[[#This Row],[Resp DT]] ) )</f>
        <v>#REF!</v>
      </c>
      <c r="J85" t="str">
        <f>tabSuperdettagli[[#This Row],[07.2025]]</f>
        <v>10</v>
      </c>
      <c r="K85">
        <f>tabSuperdettagli[[#This Row],[Resp del Prodotto]]</f>
        <v>0</v>
      </c>
      <c r="L85">
        <f>tabSuperdettagli[[#This Row],[Area di bdg]]</f>
        <v>1</v>
      </c>
      <c r="W85" t="str">
        <f>tabSuperdettagli[[#This Row],[PROJ CODE]]</f>
        <v>CONV NGP PLATFORM ENG</v>
      </c>
      <c r="X85" t="str">
        <f>tabSuperdettagli[[#This Row],[Resp 2°liv]]&amp;""</f>
        <v>Gamberini G.</v>
      </c>
      <c r="Y8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5" t="str">
        <f>tabSuperdettagli[[#This Row],[WBS Element]]&amp;""</f>
        <v>WBS ddd</v>
      </c>
      <c r="AA85" t="str">
        <f>tabSuperdettagli[[#This Row],[09.2025]]</f>
        <v>319</v>
      </c>
      <c r="AC8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5" t="str">
        <f>LEFT(tabSuperdettagli[[#This Row],[Network]], 18 )</f>
        <v>AAAA.0001</v>
      </c>
      <c r="AE85" t="s">
        <v>187</v>
      </c>
      <c r="AF85" t="s">
        <v>188</v>
      </c>
      <c r="AG85" t="s">
        <v>304</v>
      </c>
      <c r="AH85">
        <v>3</v>
      </c>
      <c r="AI85" t="s">
        <v>305</v>
      </c>
      <c r="AJ85" t="s">
        <v>242</v>
      </c>
      <c r="AK85">
        <v>2023</v>
      </c>
      <c r="AL85" t="s">
        <v>190</v>
      </c>
      <c r="AM85" t="s">
        <v>191</v>
      </c>
      <c r="AN85" t="s">
        <v>192</v>
      </c>
      <c r="AO85" t="s">
        <v>193</v>
      </c>
      <c r="AP85" t="s">
        <v>192</v>
      </c>
      <c r="AQ85" t="s">
        <v>194</v>
      </c>
      <c r="AR85" t="s">
        <v>75</v>
      </c>
      <c r="AS85" t="s">
        <v>76</v>
      </c>
      <c r="AT85" t="s">
        <v>195</v>
      </c>
      <c r="AU85" t="s">
        <v>35</v>
      </c>
      <c r="AV85" t="s">
        <v>77</v>
      </c>
      <c r="AW85" t="s">
        <v>177</v>
      </c>
      <c r="AX85" t="s">
        <v>189</v>
      </c>
      <c r="AY85" t="s">
        <v>196</v>
      </c>
      <c r="AZ85" t="s">
        <v>197</v>
      </c>
      <c r="BA85" t="s">
        <v>198</v>
      </c>
      <c r="BB85" t="s">
        <v>199</v>
      </c>
      <c r="BC85">
        <v>0</v>
      </c>
      <c r="BD85">
        <v>0</v>
      </c>
      <c r="BE85">
        <v>1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1</v>
      </c>
      <c r="BP85" t="s">
        <v>45</v>
      </c>
      <c r="BQ85" t="s">
        <v>200</v>
      </c>
      <c r="BR85" t="s">
        <v>201</v>
      </c>
      <c r="BS85" t="s">
        <v>75</v>
      </c>
      <c r="BT85" t="s">
        <v>177</v>
      </c>
      <c r="BU85" t="s">
        <v>202</v>
      </c>
      <c r="BV85" t="s">
        <v>203</v>
      </c>
      <c r="BW85" t="s">
        <v>74</v>
      </c>
      <c r="BX85" t="s">
        <v>74</v>
      </c>
      <c r="BZ85" t="s">
        <v>79</v>
      </c>
      <c r="CB85" t="s">
        <v>204</v>
      </c>
    </row>
    <row r="86" spans="1:80" x14ac:dyDescent="0.25">
      <c r="A86" t="str">
        <f>IF(  UPPER(LEFT( tabSuperdettagli[[#This Row],[WBE Status]],1) ) = "S",  "sì",  "no"   )</f>
        <v>no</v>
      </c>
      <c r="B86">
        <v>2025</v>
      </c>
      <c r="C86">
        <f>VLOOKUP(tabSuperdettagli[[#This Row],[WBS_]],'pivot di appoggio'!A:B,2,FALSE)</f>
        <v>2020</v>
      </c>
      <c r="D86" t="str">
        <f>LEFT(tabSuperdettagli[[#This Row],[Network]], 10)</f>
        <v>AAAA.0001</v>
      </c>
      <c r="E86" t="str">
        <f>LEFT(tabSuperdettagli[[#This Row],[Network]], 1)</f>
        <v>A</v>
      </c>
      <c r="F86" t="str">
        <f>LOWER(TRIM( tabSuperdettagli[[#This Row],[Proj. Type ]] ))</f>
        <v/>
      </c>
      <c r="G8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6" t="e">
        <f>IF(  TRIM(#REF!)&gt; "", TRIM(#REF!), TRIM(tabSuperdettagli[[#This Row],[Resp DT]] ) )</f>
        <v>#REF!</v>
      </c>
      <c r="J86" t="str">
        <f>tabSuperdettagli[[#This Row],[07.2025]]</f>
        <v>10</v>
      </c>
      <c r="K86">
        <f>tabSuperdettagli[[#This Row],[Resp del Prodotto]]</f>
        <v>0</v>
      </c>
      <c r="L86">
        <f>tabSuperdettagli[[#This Row],[Area di bdg]]</f>
        <v>1</v>
      </c>
      <c r="W86" t="str">
        <f>tabSuperdettagli[[#This Row],[PROJ CODE]]</f>
        <v>CONV NGP PLATFORM ENG</v>
      </c>
      <c r="X86" t="str">
        <f>tabSuperdettagli[[#This Row],[Resp 2°liv]]&amp;""</f>
        <v>Gamberini G.</v>
      </c>
      <c r="Y8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6" t="str">
        <f>tabSuperdettagli[[#This Row],[WBS Element]]&amp;""</f>
        <v>WBS ddd</v>
      </c>
      <c r="AA86" t="str">
        <f>tabSuperdettagli[[#This Row],[09.2025]]</f>
        <v>319</v>
      </c>
      <c r="AC8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6" t="str">
        <f>LEFT(tabSuperdettagli[[#This Row],[Network]], 18 )</f>
        <v>AAAA.0001</v>
      </c>
      <c r="AE86" t="s">
        <v>187</v>
      </c>
      <c r="AF86" t="s">
        <v>188</v>
      </c>
      <c r="AG86" t="s">
        <v>304</v>
      </c>
      <c r="AH86">
        <v>4</v>
      </c>
      <c r="AI86" t="s">
        <v>305</v>
      </c>
      <c r="AJ86" t="s">
        <v>242</v>
      </c>
      <c r="AK86">
        <v>2023</v>
      </c>
      <c r="AL86" t="s">
        <v>190</v>
      </c>
      <c r="AM86" t="s">
        <v>191</v>
      </c>
      <c r="AN86" t="s">
        <v>192</v>
      </c>
      <c r="AO86" t="s">
        <v>193</v>
      </c>
      <c r="AP86" t="s">
        <v>192</v>
      </c>
      <c r="AQ86" t="s">
        <v>194</v>
      </c>
      <c r="AR86" t="s">
        <v>75</v>
      </c>
      <c r="AS86" t="s">
        <v>76</v>
      </c>
      <c r="AT86" t="s">
        <v>195</v>
      </c>
      <c r="AU86" t="s">
        <v>35</v>
      </c>
      <c r="AV86" t="s">
        <v>77</v>
      </c>
      <c r="AW86" t="s">
        <v>177</v>
      </c>
      <c r="AX86" t="s">
        <v>189</v>
      </c>
      <c r="AY86" t="s">
        <v>196</v>
      </c>
      <c r="AZ86" t="s">
        <v>197</v>
      </c>
      <c r="BA86" t="s">
        <v>198</v>
      </c>
      <c r="BB86" t="s">
        <v>199</v>
      </c>
      <c r="BC86">
        <v>0</v>
      </c>
      <c r="BD86">
        <v>0</v>
      </c>
      <c r="BE86">
        <v>1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1</v>
      </c>
      <c r="BP86" t="s">
        <v>45</v>
      </c>
      <c r="BQ86" t="s">
        <v>200</v>
      </c>
      <c r="BR86" t="s">
        <v>201</v>
      </c>
      <c r="BS86" t="s">
        <v>75</v>
      </c>
      <c r="BT86" t="s">
        <v>177</v>
      </c>
      <c r="BU86" t="s">
        <v>202</v>
      </c>
      <c r="BV86" t="s">
        <v>203</v>
      </c>
      <c r="BW86" t="s">
        <v>74</v>
      </c>
      <c r="BX86" t="s">
        <v>74</v>
      </c>
      <c r="BZ86" t="s">
        <v>79</v>
      </c>
      <c r="CB86" t="s">
        <v>204</v>
      </c>
    </row>
    <row r="87" spans="1:80" x14ac:dyDescent="0.25">
      <c r="A87" t="str">
        <f>IF(  UPPER(LEFT( tabSuperdettagli[[#This Row],[WBE Status]],1) ) = "S",  "sì",  "no"   )</f>
        <v>no</v>
      </c>
      <c r="B87">
        <v>2025</v>
      </c>
      <c r="C87">
        <f>VLOOKUP(tabSuperdettagli[[#This Row],[WBS_]],'pivot di appoggio'!A:B,2,FALSE)</f>
        <v>2020</v>
      </c>
      <c r="D87" t="str">
        <f>LEFT(tabSuperdettagli[[#This Row],[Network]], 10)</f>
        <v>AAAA.0001</v>
      </c>
      <c r="E87" t="str">
        <f>LEFT(tabSuperdettagli[[#This Row],[Network]], 1)</f>
        <v>A</v>
      </c>
      <c r="F87" t="str">
        <f>LOWER(TRIM( tabSuperdettagli[[#This Row],[Proj. Type ]] ))</f>
        <v/>
      </c>
      <c r="G8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7" t="e">
        <f>IF(  TRIM(#REF!)&gt; "", TRIM(#REF!), TRIM(tabSuperdettagli[[#This Row],[Resp DT]] ) )</f>
        <v>#REF!</v>
      </c>
      <c r="J87" t="str">
        <f>tabSuperdettagli[[#This Row],[07.2025]]</f>
        <v>10</v>
      </c>
      <c r="K87">
        <f>tabSuperdettagli[[#This Row],[Resp del Prodotto]]</f>
        <v>0</v>
      </c>
      <c r="L87">
        <f>tabSuperdettagli[[#This Row],[Area di bdg]]</f>
        <v>1</v>
      </c>
      <c r="W87" t="str">
        <f>tabSuperdettagli[[#This Row],[PROJ CODE]]</f>
        <v>CONV NGP PLATFORM ENG</v>
      </c>
      <c r="X87" t="str">
        <f>tabSuperdettagli[[#This Row],[Resp 2°liv]]&amp;""</f>
        <v>Gamberini G.</v>
      </c>
      <c r="Y8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7" t="str">
        <f>tabSuperdettagli[[#This Row],[WBS Element]]&amp;""</f>
        <v>WBS ddd</v>
      </c>
      <c r="AA87" t="str">
        <f>tabSuperdettagli[[#This Row],[09.2025]]</f>
        <v>319</v>
      </c>
      <c r="AC8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7" t="str">
        <f>LEFT(tabSuperdettagli[[#This Row],[Network]], 18 )</f>
        <v>AAAA.0001</v>
      </c>
      <c r="AE87" t="s">
        <v>187</v>
      </c>
      <c r="AF87" t="s">
        <v>188</v>
      </c>
      <c r="AG87" t="s">
        <v>304</v>
      </c>
      <c r="AH87">
        <v>5</v>
      </c>
      <c r="AI87" t="s">
        <v>305</v>
      </c>
      <c r="AJ87" t="s">
        <v>242</v>
      </c>
      <c r="AK87">
        <v>2023</v>
      </c>
      <c r="AL87" t="s">
        <v>190</v>
      </c>
      <c r="AM87" t="s">
        <v>191</v>
      </c>
      <c r="AN87" t="s">
        <v>192</v>
      </c>
      <c r="AO87" t="s">
        <v>193</v>
      </c>
      <c r="AP87" t="s">
        <v>192</v>
      </c>
      <c r="AQ87" t="s">
        <v>194</v>
      </c>
      <c r="AR87" t="s">
        <v>75</v>
      </c>
      <c r="AS87" t="s">
        <v>76</v>
      </c>
      <c r="AT87" t="s">
        <v>195</v>
      </c>
      <c r="AU87" t="s">
        <v>35</v>
      </c>
      <c r="AV87" t="s">
        <v>77</v>
      </c>
      <c r="AW87" t="s">
        <v>177</v>
      </c>
      <c r="AX87" t="s">
        <v>189</v>
      </c>
      <c r="AY87" t="s">
        <v>196</v>
      </c>
      <c r="AZ87" t="s">
        <v>197</v>
      </c>
      <c r="BA87" t="s">
        <v>198</v>
      </c>
      <c r="BB87" t="s">
        <v>199</v>
      </c>
      <c r="BC87">
        <v>0</v>
      </c>
      <c r="BD87">
        <v>0</v>
      </c>
      <c r="BE87">
        <v>1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1</v>
      </c>
      <c r="BP87" t="s">
        <v>45</v>
      </c>
      <c r="BQ87" t="s">
        <v>200</v>
      </c>
      <c r="BR87" t="s">
        <v>201</v>
      </c>
      <c r="BS87" t="s">
        <v>75</v>
      </c>
      <c r="BT87" t="s">
        <v>177</v>
      </c>
      <c r="BU87" t="s">
        <v>202</v>
      </c>
      <c r="BV87" t="s">
        <v>203</v>
      </c>
      <c r="BW87" t="s">
        <v>74</v>
      </c>
      <c r="BX87" t="s">
        <v>74</v>
      </c>
      <c r="BZ87" t="s">
        <v>79</v>
      </c>
      <c r="CB87" t="s">
        <v>204</v>
      </c>
    </row>
    <row r="88" spans="1:80" x14ac:dyDescent="0.25">
      <c r="A88" t="str">
        <f>IF(  UPPER(LEFT( tabSuperdettagli[[#This Row],[WBE Status]],1) ) = "S",  "sì",  "no"   )</f>
        <v>no</v>
      </c>
      <c r="B88">
        <v>2025</v>
      </c>
      <c r="C88">
        <f>VLOOKUP(tabSuperdettagli[[#This Row],[WBS_]],'pivot di appoggio'!A:B,2,FALSE)</f>
        <v>2020</v>
      </c>
      <c r="D88" t="str">
        <f>LEFT(tabSuperdettagli[[#This Row],[Network]], 10)</f>
        <v>AAAA.0001</v>
      </c>
      <c r="E88" t="str">
        <f>LEFT(tabSuperdettagli[[#This Row],[Network]], 1)</f>
        <v>A</v>
      </c>
      <c r="F88" t="str">
        <f>LOWER(TRIM( tabSuperdettagli[[#This Row],[Proj. Type ]] ))</f>
        <v/>
      </c>
      <c r="G8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8" t="e">
        <f>IF(  TRIM(#REF!)&gt; "", TRIM(#REF!), TRIM(tabSuperdettagli[[#This Row],[Resp DT]] ) )</f>
        <v>#REF!</v>
      </c>
      <c r="J88" t="str">
        <f>tabSuperdettagli[[#This Row],[07.2025]]</f>
        <v>10</v>
      </c>
      <c r="K88">
        <f>tabSuperdettagli[[#This Row],[Resp del Prodotto]]</f>
        <v>0</v>
      </c>
      <c r="L88">
        <f>tabSuperdettagli[[#This Row],[Area di bdg]]</f>
        <v>1</v>
      </c>
      <c r="W88" t="str">
        <f>tabSuperdettagli[[#This Row],[PROJ CODE]]</f>
        <v>CONV NGP PLATFORM ENG</v>
      </c>
      <c r="X88" t="str">
        <f>tabSuperdettagli[[#This Row],[Resp 2°liv]]&amp;""</f>
        <v>Gamberini G.</v>
      </c>
      <c r="Y8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8" t="str">
        <f>tabSuperdettagli[[#This Row],[WBS Element]]&amp;""</f>
        <v>WBS ddd</v>
      </c>
      <c r="AA88" t="str">
        <f>tabSuperdettagli[[#This Row],[09.2025]]</f>
        <v>319</v>
      </c>
      <c r="AC8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8" t="str">
        <f>LEFT(tabSuperdettagli[[#This Row],[Network]], 18 )</f>
        <v>AAAA.0001</v>
      </c>
      <c r="AE88" t="s">
        <v>187</v>
      </c>
      <c r="AF88" t="s">
        <v>188</v>
      </c>
      <c r="AG88" t="s">
        <v>304</v>
      </c>
      <c r="AH88">
        <v>6</v>
      </c>
      <c r="AI88" t="s">
        <v>305</v>
      </c>
      <c r="AJ88" t="s">
        <v>242</v>
      </c>
      <c r="AK88">
        <v>2023</v>
      </c>
      <c r="AL88" t="s">
        <v>190</v>
      </c>
      <c r="AM88" t="s">
        <v>191</v>
      </c>
      <c r="AN88" t="s">
        <v>192</v>
      </c>
      <c r="AO88" t="s">
        <v>193</v>
      </c>
      <c r="AP88" t="s">
        <v>192</v>
      </c>
      <c r="AQ88" t="s">
        <v>194</v>
      </c>
      <c r="AR88" t="s">
        <v>75</v>
      </c>
      <c r="AS88" t="s">
        <v>76</v>
      </c>
      <c r="AT88" t="s">
        <v>195</v>
      </c>
      <c r="AU88" t="s">
        <v>35</v>
      </c>
      <c r="AV88" t="s">
        <v>77</v>
      </c>
      <c r="AW88" t="s">
        <v>177</v>
      </c>
      <c r="AX88" t="s">
        <v>189</v>
      </c>
      <c r="AY88" t="s">
        <v>196</v>
      </c>
      <c r="AZ88" t="s">
        <v>197</v>
      </c>
      <c r="BA88" t="s">
        <v>198</v>
      </c>
      <c r="BB88" t="s">
        <v>199</v>
      </c>
      <c r="BC88">
        <v>0</v>
      </c>
      <c r="BD88">
        <v>0</v>
      </c>
      <c r="BE88">
        <v>1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1</v>
      </c>
      <c r="BP88" t="s">
        <v>45</v>
      </c>
      <c r="BQ88" t="s">
        <v>200</v>
      </c>
      <c r="BR88" t="s">
        <v>201</v>
      </c>
      <c r="BS88" t="s">
        <v>75</v>
      </c>
      <c r="BT88" t="s">
        <v>177</v>
      </c>
      <c r="BU88" t="s">
        <v>202</v>
      </c>
      <c r="BV88" t="s">
        <v>203</v>
      </c>
      <c r="BW88" t="s">
        <v>74</v>
      </c>
      <c r="BX88" t="s">
        <v>74</v>
      </c>
      <c r="BZ88" t="s">
        <v>79</v>
      </c>
      <c r="CB88" t="s">
        <v>204</v>
      </c>
    </row>
    <row r="89" spans="1:80" x14ac:dyDescent="0.25">
      <c r="A89" t="str">
        <f>IF(  UPPER(LEFT( tabSuperdettagli[[#This Row],[WBE Status]],1) ) = "S",  "sì",  "no"   )</f>
        <v>no</v>
      </c>
      <c r="B89">
        <v>2025</v>
      </c>
      <c r="C89">
        <f>VLOOKUP(tabSuperdettagli[[#This Row],[WBS_]],'pivot di appoggio'!A:B,2,FALSE)</f>
        <v>2020</v>
      </c>
      <c r="D89" t="str">
        <f>LEFT(tabSuperdettagli[[#This Row],[Network]], 10)</f>
        <v>AAAA.0001</v>
      </c>
      <c r="E89" t="str">
        <f>LEFT(tabSuperdettagli[[#This Row],[Network]], 1)</f>
        <v>A</v>
      </c>
      <c r="F89" t="str">
        <f>LOWER(TRIM( tabSuperdettagli[[#This Row],[Proj. Type ]] ))</f>
        <v/>
      </c>
      <c r="G8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9" t="e">
        <f>IF(  TRIM(#REF!)&gt; "", TRIM(#REF!), TRIM(tabSuperdettagli[[#This Row],[Resp DT]] ) )</f>
        <v>#REF!</v>
      </c>
      <c r="J89" t="str">
        <f>tabSuperdettagli[[#This Row],[07.2025]]</f>
        <v>10</v>
      </c>
      <c r="K89">
        <f>tabSuperdettagli[[#This Row],[Resp del Prodotto]]</f>
        <v>0</v>
      </c>
      <c r="L89">
        <f>tabSuperdettagli[[#This Row],[Area di bdg]]</f>
        <v>1</v>
      </c>
      <c r="W89" t="str">
        <f>tabSuperdettagli[[#This Row],[PROJ CODE]]</f>
        <v>CONV NGP PLATFORM ENG</v>
      </c>
      <c r="X89" t="str">
        <f>tabSuperdettagli[[#This Row],[Resp 2°liv]]&amp;""</f>
        <v>Gamberini G.</v>
      </c>
      <c r="Y8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9" t="str">
        <f>tabSuperdettagli[[#This Row],[WBS Element]]&amp;""</f>
        <v>WBS ddd</v>
      </c>
      <c r="AA89" t="str">
        <f>tabSuperdettagli[[#This Row],[09.2025]]</f>
        <v>319</v>
      </c>
      <c r="AC8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9" t="str">
        <f>LEFT(tabSuperdettagli[[#This Row],[Network]], 18 )</f>
        <v>AAAA.0001</v>
      </c>
      <c r="AE89" t="s">
        <v>187</v>
      </c>
      <c r="AF89" t="s">
        <v>188</v>
      </c>
      <c r="AG89" t="s">
        <v>304</v>
      </c>
      <c r="AH89">
        <v>7</v>
      </c>
      <c r="AI89" t="s">
        <v>305</v>
      </c>
      <c r="AJ89" t="s">
        <v>242</v>
      </c>
      <c r="AK89">
        <v>2023</v>
      </c>
      <c r="AL89" t="s">
        <v>190</v>
      </c>
      <c r="AM89" t="s">
        <v>191</v>
      </c>
      <c r="AN89" t="s">
        <v>192</v>
      </c>
      <c r="AO89" t="s">
        <v>193</v>
      </c>
      <c r="AP89" t="s">
        <v>192</v>
      </c>
      <c r="AQ89" t="s">
        <v>194</v>
      </c>
      <c r="AR89" t="s">
        <v>75</v>
      </c>
      <c r="AS89" t="s">
        <v>76</v>
      </c>
      <c r="AT89" t="s">
        <v>195</v>
      </c>
      <c r="AU89" t="s">
        <v>35</v>
      </c>
      <c r="AV89" t="s">
        <v>77</v>
      </c>
      <c r="AW89" t="s">
        <v>177</v>
      </c>
      <c r="AX89" t="s">
        <v>189</v>
      </c>
      <c r="AY89" t="s">
        <v>196</v>
      </c>
      <c r="AZ89" t="s">
        <v>197</v>
      </c>
      <c r="BA89" t="s">
        <v>198</v>
      </c>
      <c r="BB89" t="s">
        <v>199</v>
      </c>
      <c r="BC89">
        <v>0</v>
      </c>
      <c r="BD89">
        <v>0</v>
      </c>
      <c r="BE89">
        <v>1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1</v>
      </c>
      <c r="BP89" t="s">
        <v>45</v>
      </c>
      <c r="BQ89" t="s">
        <v>200</v>
      </c>
      <c r="BR89" t="s">
        <v>201</v>
      </c>
      <c r="BS89" t="s">
        <v>75</v>
      </c>
      <c r="BT89" t="s">
        <v>177</v>
      </c>
      <c r="BU89" t="s">
        <v>202</v>
      </c>
      <c r="BV89" t="s">
        <v>203</v>
      </c>
      <c r="BW89" t="s">
        <v>74</v>
      </c>
      <c r="BX89" t="s">
        <v>74</v>
      </c>
      <c r="BZ89" t="s">
        <v>79</v>
      </c>
      <c r="CB89" t="s">
        <v>204</v>
      </c>
    </row>
    <row r="90" spans="1:80" x14ac:dyDescent="0.25">
      <c r="A90" t="str">
        <f>IF(  UPPER(LEFT( tabSuperdettagli[[#This Row],[WBE Status]],1) ) = "S",  "sì",  "no"   )</f>
        <v>no</v>
      </c>
      <c r="B90">
        <v>2025</v>
      </c>
      <c r="C90">
        <f>VLOOKUP(tabSuperdettagli[[#This Row],[WBS_]],'pivot di appoggio'!A:B,2,FALSE)</f>
        <v>2020</v>
      </c>
      <c r="D90" t="str">
        <f>LEFT(tabSuperdettagli[[#This Row],[Network]], 10)</f>
        <v>AAAA.0001</v>
      </c>
      <c r="E90" t="str">
        <f>LEFT(tabSuperdettagli[[#This Row],[Network]], 1)</f>
        <v>A</v>
      </c>
      <c r="F90" t="str">
        <f>LOWER(TRIM( tabSuperdettagli[[#This Row],[Proj. Type ]] ))</f>
        <v/>
      </c>
      <c r="G9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0" t="e">
        <f>IF(  TRIM(#REF!)&gt; "", TRIM(#REF!), TRIM(tabSuperdettagli[[#This Row],[Resp DT]] ) )</f>
        <v>#REF!</v>
      </c>
      <c r="J90" t="str">
        <f>tabSuperdettagli[[#This Row],[07.2025]]</f>
        <v>10</v>
      </c>
      <c r="K90">
        <f>tabSuperdettagli[[#This Row],[Resp del Prodotto]]</f>
        <v>0</v>
      </c>
      <c r="L90">
        <f>tabSuperdettagli[[#This Row],[Area di bdg]]</f>
        <v>1</v>
      </c>
      <c r="W90" t="str">
        <f>tabSuperdettagli[[#This Row],[PROJ CODE]]</f>
        <v>CONV NGP PLATFORM ENG</v>
      </c>
      <c r="X90" t="str">
        <f>tabSuperdettagli[[#This Row],[Resp 2°liv]]&amp;""</f>
        <v>Gamberini G.</v>
      </c>
      <c r="Y9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0" t="str">
        <f>tabSuperdettagli[[#This Row],[WBS Element]]&amp;""</f>
        <v>WBS ddd</v>
      </c>
      <c r="AA90" t="str">
        <f>tabSuperdettagli[[#This Row],[09.2025]]</f>
        <v>319</v>
      </c>
      <c r="AC9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0" t="str">
        <f>LEFT(tabSuperdettagli[[#This Row],[Network]], 18 )</f>
        <v>AAAA.0001</v>
      </c>
      <c r="AE90" t="s">
        <v>187</v>
      </c>
      <c r="AF90" t="s">
        <v>188</v>
      </c>
      <c r="AG90" t="s">
        <v>304</v>
      </c>
      <c r="AH90">
        <v>8</v>
      </c>
      <c r="AI90" t="s">
        <v>305</v>
      </c>
      <c r="AJ90" t="s">
        <v>242</v>
      </c>
      <c r="AK90">
        <v>2023</v>
      </c>
      <c r="AL90" t="s">
        <v>190</v>
      </c>
      <c r="AM90" t="s">
        <v>191</v>
      </c>
      <c r="AN90" t="s">
        <v>192</v>
      </c>
      <c r="AO90" t="s">
        <v>193</v>
      </c>
      <c r="AP90" t="s">
        <v>192</v>
      </c>
      <c r="AQ90" t="s">
        <v>194</v>
      </c>
      <c r="AR90" t="s">
        <v>75</v>
      </c>
      <c r="AS90" t="s">
        <v>76</v>
      </c>
      <c r="AT90" t="s">
        <v>195</v>
      </c>
      <c r="AU90" t="s">
        <v>35</v>
      </c>
      <c r="AV90" t="s">
        <v>77</v>
      </c>
      <c r="AW90" t="s">
        <v>177</v>
      </c>
      <c r="AX90" t="s">
        <v>189</v>
      </c>
      <c r="AY90" t="s">
        <v>196</v>
      </c>
      <c r="AZ90" t="s">
        <v>197</v>
      </c>
      <c r="BA90" t="s">
        <v>198</v>
      </c>
      <c r="BB90" t="s">
        <v>199</v>
      </c>
      <c r="BC90">
        <v>0</v>
      </c>
      <c r="BD90">
        <v>0</v>
      </c>
      <c r="BE90">
        <v>1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1</v>
      </c>
      <c r="BP90" t="s">
        <v>45</v>
      </c>
      <c r="BQ90" t="s">
        <v>200</v>
      </c>
      <c r="BR90" t="s">
        <v>201</v>
      </c>
      <c r="BS90" t="s">
        <v>75</v>
      </c>
      <c r="BT90" t="s">
        <v>177</v>
      </c>
      <c r="BU90" t="s">
        <v>202</v>
      </c>
      <c r="BV90" t="s">
        <v>203</v>
      </c>
      <c r="BW90" t="s">
        <v>74</v>
      </c>
      <c r="BX90" t="s">
        <v>74</v>
      </c>
      <c r="BZ90" t="s">
        <v>79</v>
      </c>
      <c r="CB90" t="s">
        <v>204</v>
      </c>
    </row>
    <row r="91" spans="1:80" x14ac:dyDescent="0.25">
      <c r="A91" t="str">
        <f>IF(  UPPER(LEFT( tabSuperdettagli[[#This Row],[WBE Status]],1) ) = "S",  "sì",  "no"   )</f>
        <v>no</v>
      </c>
      <c r="B91">
        <v>2025</v>
      </c>
      <c r="C91">
        <f>VLOOKUP(tabSuperdettagli[[#This Row],[WBS_]],'pivot di appoggio'!A:B,2,FALSE)</f>
        <v>2020</v>
      </c>
      <c r="D91" t="str">
        <f>LEFT(tabSuperdettagli[[#This Row],[Network]], 10)</f>
        <v>AAAA.0001</v>
      </c>
      <c r="E91" t="str">
        <f>LEFT(tabSuperdettagli[[#This Row],[Network]], 1)</f>
        <v>A</v>
      </c>
      <c r="F91" t="str">
        <f>LOWER(TRIM( tabSuperdettagli[[#This Row],[Proj. Type ]] ))</f>
        <v/>
      </c>
      <c r="G9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1" t="e">
        <f>IF(  TRIM(#REF!)&gt; "", TRIM(#REF!), TRIM(tabSuperdettagli[[#This Row],[Resp DT]] ) )</f>
        <v>#REF!</v>
      </c>
      <c r="J91" t="str">
        <f>tabSuperdettagli[[#This Row],[07.2025]]</f>
        <v>10</v>
      </c>
      <c r="K91">
        <f>tabSuperdettagli[[#This Row],[Resp del Prodotto]]</f>
        <v>0</v>
      </c>
      <c r="L91">
        <f>tabSuperdettagli[[#This Row],[Area di bdg]]</f>
        <v>1</v>
      </c>
      <c r="W91" t="str">
        <f>tabSuperdettagli[[#This Row],[PROJ CODE]]</f>
        <v>CONV NGP PLATFORM ENG</v>
      </c>
      <c r="X91" t="str">
        <f>tabSuperdettagli[[#This Row],[Resp 2°liv]]&amp;""</f>
        <v>Gamberini G.</v>
      </c>
      <c r="Y9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1" t="str">
        <f>tabSuperdettagli[[#This Row],[WBS Element]]&amp;""</f>
        <v>WBS ddd</v>
      </c>
      <c r="AA91" t="str">
        <f>tabSuperdettagli[[#This Row],[09.2025]]</f>
        <v>319</v>
      </c>
      <c r="AC9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1" t="str">
        <f>LEFT(tabSuperdettagli[[#This Row],[Network]], 18 )</f>
        <v>AAAA.0001</v>
      </c>
      <c r="AE91" t="s">
        <v>187</v>
      </c>
      <c r="AF91" t="s">
        <v>188</v>
      </c>
      <c r="AG91" t="s">
        <v>304</v>
      </c>
      <c r="AH91">
        <v>9</v>
      </c>
      <c r="AI91" t="s">
        <v>305</v>
      </c>
      <c r="AJ91" t="s">
        <v>242</v>
      </c>
      <c r="AK91">
        <v>2023</v>
      </c>
      <c r="AL91" t="s">
        <v>190</v>
      </c>
      <c r="AM91" t="s">
        <v>191</v>
      </c>
      <c r="AN91" t="s">
        <v>192</v>
      </c>
      <c r="AO91" t="s">
        <v>193</v>
      </c>
      <c r="AP91" t="s">
        <v>192</v>
      </c>
      <c r="AQ91" t="s">
        <v>194</v>
      </c>
      <c r="AR91" t="s">
        <v>75</v>
      </c>
      <c r="AS91" t="s">
        <v>76</v>
      </c>
      <c r="AT91" t="s">
        <v>195</v>
      </c>
      <c r="AU91" t="s">
        <v>35</v>
      </c>
      <c r="AV91" t="s">
        <v>77</v>
      </c>
      <c r="AW91" t="s">
        <v>177</v>
      </c>
      <c r="AX91" t="s">
        <v>189</v>
      </c>
      <c r="AY91" t="s">
        <v>196</v>
      </c>
      <c r="AZ91" t="s">
        <v>197</v>
      </c>
      <c r="BA91" t="s">
        <v>198</v>
      </c>
      <c r="BB91" t="s">
        <v>199</v>
      </c>
      <c r="BC91">
        <v>0</v>
      </c>
      <c r="BD91">
        <v>0</v>
      </c>
      <c r="BE91">
        <v>1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1</v>
      </c>
      <c r="BP91" t="s">
        <v>45</v>
      </c>
      <c r="BQ91" t="s">
        <v>200</v>
      </c>
      <c r="BR91" t="s">
        <v>201</v>
      </c>
      <c r="BS91" t="s">
        <v>75</v>
      </c>
      <c r="BT91" t="s">
        <v>177</v>
      </c>
      <c r="BU91" t="s">
        <v>202</v>
      </c>
      <c r="BV91" t="s">
        <v>203</v>
      </c>
      <c r="BW91" t="s">
        <v>74</v>
      </c>
      <c r="BX91" t="s">
        <v>74</v>
      </c>
      <c r="BZ91" t="s">
        <v>79</v>
      </c>
      <c r="CB91" t="s">
        <v>204</v>
      </c>
    </row>
    <row r="92" spans="1:80" x14ac:dyDescent="0.25">
      <c r="A92" t="str">
        <f>IF(  UPPER(LEFT( tabSuperdettagli[[#This Row],[WBE Status]],1) ) = "S",  "sì",  "no"   )</f>
        <v>no</v>
      </c>
      <c r="B92">
        <v>2025</v>
      </c>
      <c r="C92">
        <f>VLOOKUP(tabSuperdettagli[[#This Row],[WBS_]],'pivot di appoggio'!A:B,2,FALSE)</f>
        <v>2020</v>
      </c>
      <c r="D92" t="str">
        <f>LEFT(tabSuperdettagli[[#This Row],[Network]], 10)</f>
        <v>AAAA.0001</v>
      </c>
      <c r="E92" t="str">
        <f>LEFT(tabSuperdettagli[[#This Row],[Network]], 1)</f>
        <v>A</v>
      </c>
      <c r="F92" t="str">
        <f>LOWER(TRIM( tabSuperdettagli[[#This Row],[Proj. Type ]] ))</f>
        <v/>
      </c>
      <c r="G9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2" t="e">
        <f>IF(  TRIM(#REF!)&gt; "", TRIM(#REF!), TRIM(tabSuperdettagli[[#This Row],[Resp DT]] ) )</f>
        <v>#REF!</v>
      </c>
      <c r="J92" t="str">
        <f>tabSuperdettagli[[#This Row],[07.2025]]</f>
        <v>10</v>
      </c>
      <c r="K92">
        <f>tabSuperdettagli[[#This Row],[Resp del Prodotto]]</f>
        <v>0</v>
      </c>
      <c r="L92">
        <f>tabSuperdettagli[[#This Row],[Area di bdg]]</f>
        <v>1</v>
      </c>
      <c r="W92" t="str">
        <f>tabSuperdettagli[[#This Row],[PROJ CODE]]</f>
        <v>CONV NGP PLATFORM ENG</v>
      </c>
      <c r="X92" t="str">
        <f>tabSuperdettagli[[#This Row],[Resp 2°liv]]&amp;""</f>
        <v>Gamberini G.</v>
      </c>
      <c r="Y9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2" t="str">
        <f>tabSuperdettagli[[#This Row],[WBS Element]]&amp;""</f>
        <v>WBS ddd</v>
      </c>
      <c r="AA92" t="str">
        <f>tabSuperdettagli[[#This Row],[09.2025]]</f>
        <v>319</v>
      </c>
      <c r="AC9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2" t="str">
        <f>LEFT(tabSuperdettagli[[#This Row],[Network]], 18 )</f>
        <v>AAAA.0001</v>
      </c>
      <c r="AE92" t="s">
        <v>187</v>
      </c>
      <c r="AF92" t="s">
        <v>188</v>
      </c>
      <c r="AG92" t="s">
        <v>304</v>
      </c>
      <c r="AH92">
        <v>10</v>
      </c>
      <c r="AI92" t="s">
        <v>305</v>
      </c>
      <c r="AJ92" t="s">
        <v>242</v>
      </c>
      <c r="AK92">
        <v>2023</v>
      </c>
      <c r="AL92" t="s">
        <v>190</v>
      </c>
      <c r="AM92" t="s">
        <v>191</v>
      </c>
      <c r="AN92" t="s">
        <v>192</v>
      </c>
      <c r="AO92" t="s">
        <v>193</v>
      </c>
      <c r="AP92" t="s">
        <v>192</v>
      </c>
      <c r="AQ92" t="s">
        <v>194</v>
      </c>
      <c r="AR92" t="s">
        <v>75</v>
      </c>
      <c r="AS92" t="s">
        <v>76</v>
      </c>
      <c r="AT92" t="s">
        <v>195</v>
      </c>
      <c r="AU92" t="s">
        <v>35</v>
      </c>
      <c r="AV92" t="s">
        <v>77</v>
      </c>
      <c r="AW92" t="s">
        <v>177</v>
      </c>
      <c r="AX92" t="s">
        <v>189</v>
      </c>
      <c r="AY92" t="s">
        <v>196</v>
      </c>
      <c r="AZ92" t="s">
        <v>197</v>
      </c>
      <c r="BA92" t="s">
        <v>198</v>
      </c>
      <c r="BB92" t="s">
        <v>199</v>
      </c>
      <c r="BC92">
        <v>0</v>
      </c>
      <c r="BD92">
        <v>0</v>
      </c>
      <c r="BE92">
        <v>1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1</v>
      </c>
      <c r="BP92" t="s">
        <v>45</v>
      </c>
      <c r="BQ92" t="s">
        <v>200</v>
      </c>
      <c r="BR92" t="s">
        <v>201</v>
      </c>
      <c r="BS92" t="s">
        <v>75</v>
      </c>
      <c r="BT92" t="s">
        <v>177</v>
      </c>
      <c r="BU92" t="s">
        <v>202</v>
      </c>
      <c r="BV92" t="s">
        <v>203</v>
      </c>
      <c r="BW92" t="s">
        <v>74</v>
      </c>
      <c r="BX92" t="s">
        <v>74</v>
      </c>
      <c r="BZ92" t="s">
        <v>79</v>
      </c>
      <c r="CB92" t="s">
        <v>204</v>
      </c>
    </row>
    <row r="93" spans="1:80" x14ac:dyDescent="0.25">
      <c r="A93" t="str">
        <f>IF(  UPPER(LEFT( tabSuperdettagli[[#This Row],[WBE Status]],1) ) = "S",  "sì",  "no"   )</f>
        <v>no</v>
      </c>
      <c r="B93">
        <v>2025</v>
      </c>
      <c r="C93">
        <f>VLOOKUP(tabSuperdettagli[[#This Row],[WBS_]],'pivot di appoggio'!A:B,2,FALSE)</f>
        <v>2020</v>
      </c>
      <c r="D93" t="str">
        <f>LEFT(tabSuperdettagli[[#This Row],[Network]], 10)</f>
        <v>AAAA.0001</v>
      </c>
      <c r="E93" t="str">
        <f>LEFT(tabSuperdettagli[[#This Row],[Network]], 1)</f>
        <v>A</v>
      </c>
      <c r="F93" t="str">
        <f>LOWER(TRIM( tabSuperdettagli[[#This Row],[Proj. Type ]] ))</f>
        <v/>
      </c>
      <c r="G9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3" t="e">
        <f>IF(  TRIM(#REF!)&gt; "", TRIM(#REF!), TRIM(tabSuperdettagli[[#This Row],[Resp DT]] ) )</f>
        <v>#REF!</v>
      </c>
      <c r="J93" t="str">
        <f>tabSuperdettagli[[#This Row],[07.2025]]</f>
        <v>10</v>
      </c>
      <c r="K93">
        <f>tabSuperdettagli[[#This Row],[Resp del Prodotto]]</f>
        <v>0</v>
      </c>
      <c r="L93">
        <f>tabSuperdettagli[[#This Row],[Area di bdg]]</f>
        <v>1</v>
      </c>
      <c r="W93" t="str">
        <f>tabSuperdettagli[[#This Row],[PROJ CODE]]</f>
        <v>CONV NGP PLATFORM ENG</v>
      </c>
      <c r="X93" t="str">
        <f>tabSuperdettagli[[#This Row],[Resp 2°liv]]&amp;""</f>
        <v>Gamberini G.</v>
      </c>
      <c r="Y9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3" t="str">
        <f>tabSuperdettagli[[#This Row],[WBS Element]]&amp;""</f>
        <v>WBS ddd</v>
      </c>
      <c r="AA93" t="str">
        <f>tabSuperdettagli[[#This Row],[09.2025]]</f>
        <v>319</v>
      </c>
      <c r="AC9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3" t="str">
        <f>LEFT(tabSuperdettagli[[#This Row],[Network]], 18 )</f>
        <v>AAAA.0001</v>
      </c>
      <c r="AE93" t="s">
        <v>187</v>
      </c>
      <c r="AF93" t="s">
        <v>188</v>
      </c>
      <c r="AG93" t="s">
        <v>304</v>
      </c>
      <c r="AH93">
        <v>11</v>
      </c>
      <c r="AI93" t="s">
        <v>305</v>
      </c>
      <c r="AJ93" t="s">
        <v>242</v>
      </c>
      <c r="AK93">
        <v>2023</v>
      </c>
      <c r="AL93" t="s">
        <v>190</v>
      </c>
      <c r="AM93" t="s">
        <v>191</v>
      </c>
      <c r="AN93" t="s">
        <v>192</v>
      </c>
      <c r="AO93" t="s">
        <v>193</v>
      </c>
      <c r="AP93" t="s">
        <v>192</v>
      </c>
      <c r="AQ93" t="s">
        <v>194</v>
      </c>
      <c r="AR93" t="s">
        <v>75</v>
      </c>
      <c r="AS93" t="s">
        <v>76</v>
      </c>
      <c r="AT93" t="s">
        <v>195</v>
      </c>
      <c r="AU93" t="s">
        <v>35</v>
      </c>
      <c r="AV93" t="s">
        <v>77</v>
      </c>
      <c r="AW93" t="s">
        <v>177</v>
      </c>
      <c r="AX93" t="s">
        <v>189</v>
      </c>
      <c r="AY93" t="s">
        <v>196</v>
      </c>
      <c r="AZ93" t="s">
        <v>197</v>
      </c>
      <c r="BA93" t="s">
        <v>198</v>
      </c>
      <c r="BB93" t="s">
        <v>199</v>
      </c>
      <c r="BC93">
        <v>0</v>
      </c>
      <c r="BD93">
        <v>0</v>
      </c>
      <c r="BE93">
        <v>1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1</v>
      </c>
      <c r="BP93" t="s">
        <v>45</v>
      </c>
      <c r="BQ93" t="s">
        <v>200</v>
      </c>
      <c r="BR93" t="s">
        <v>201</v>
      </c>
      <c r="BS93" t="s">
        <v>75</v>
      </c>
      <c r="BT93" t="s">
        <v>177</v>
      </c>
      <c r="BU93" t="s">
        <v>202</v>
      </c>
      <c r="BV93" t="s">
        <v>203</v>
      </c>
      <c r="BW93" t="s">
        <v>74</v>
      </c>
      <c r="BX93" t="s">
        <v>74</v>
      </c>
      <c r="BZ93" t="s">
        <v>79</v>
      </c>
      <c r="CB93" t="s">
        <v>204</v>
      </c>
    </row>
    <row r="94" spans="1:80" x14ac:dyDescent="0.25">
      <c r="A94" t="str">
        <f>IF(  UPPER(LEFT( tabSuperdettagli[[#This Row],[WBE Status]],1) ) = "S",  "sì",  "no"   )</f>
        <v>no</v>
      </c>
      <c r="B94">
        <v>2025</v>
      </c>
      <c r="C94">
        <f>VLOOKUP(tabSuperdettagli[[#This Row],[WBS_]],'pivot di appoggio'!A:B,2,FALSE)</f>
        <v>2020</v>
      </c>
      <c r="D94" t="str">
        <f>LEFT(tabSuperdettagli[[#This Row],[Network]], 10)</f>
        <v>AAAA.0001</v>
      </c>
      <c r="E94" t="str">
        <f>LEFT(tabSuperdettagli[[#This Row],[Network]], 1)</f>
        <v>A</v>
      </c>
      <c r="F94" t="str">
        <f>LOWER(TRIM( tabSuperdettagli[[#This Row],[Proj. Type ]] ))</f>
        <v/>
      </c>
      <c r="G9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4" t="e">
        <f>IF(  TRIM(#REF!)&gt; "", TRIM(#REF!), TRIM(tabSuperdettagli[[#This Row],[Resp DT]] ) )</f>
        <v>#REF!</v>
      </c>
      <c r="J94" t="str">
        <f>tabSuperdettagli[[#This Row],[07.2025]]</f>
        <v>10</v>
      </c>
      <c r="K94">
        <f>tabSuperdettagli[[#This Row],[Resp del Prodotto]]</f>
        <v>0</v>
      </c>
      <c r="L94">
        <f>tabSuperdettagli[[#This Row],[Area di bdg]]</f>
        <v>1</v>
      </c>
      <c r="W94" t="str">
        <f>tabSuperdettagli[[#This Row],[PROJ CODE]]</f>
        <v>CONV NGP PLATFORM ENG</v>
      </c>
      <c r="X94" t="str">
        <f>tabSuperdettagli[[#This Row],[Resp 2°liv]]&amp;""</f>
        <v>Gamberini G.</v>
      </c>
      <c r="Y9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4" t="str">
        <f>tabSuperdettagli[[#This Row],[WBS Element]]&amp;""</f>
        <v>WBS ddd</v>
      </c>
      <c r="AA94" t="str">
        <f>tabSuperdettagli[[#This Row],[09.2025]]</f>
        <v>319</v>
      </c>
      <c r="AC9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4" t="str">
        <f>LEFT(tabSuperdettagli[[#This Row],[Network]], 18 )</f>
        <v>AAAA.0001</v>
      </c>
      <c r="AE94" t="s">
        <v>187</v>
      </c>
      <c r="AF94" t="s">
        <v>188</v>
      </c>
      <c r="AG94" t="s">
        <v>304</v>
      </c>
      <c r="AH94">
        <v>12</v>
      </c>
      <c r="AI94" t="s">
        <v>305</v>
      </c>
      <c r="AJ94" t="s">
        <v>242</v>
      </c>
      <c r="AK94">
        <v>2023</v>
      </c>
      <c r="AL94" t="s">
        <v>190</v>
      </c>
      <c r="AM94" t="s">
        <v>191</v>
      </c>
      <c r="AN94" t="s">
        <v>192</v>
      </c>
      <c r="AO94" t="s">
        <v>193</v>
      </c>
      <c r="AP94" t="s">
        <v>192</v>
      </c>
      <c r="AQ94" t="s">
        <v>194</v>
      </c>
      <c r="AR94" t="s">
        <v>75</v>
      </c>
      <c r="AS94" t="s">
        <v>76</v>
      </c>
      <c r="AT94" t="s">
        <v>195</v>
      </c>
      <c r="AU94" t="s">
        <v>35</v>
      </c>
      <c r="AV94" t="s">
        <v>77</v>
      </c>
      <c r="AW94" t="s">
        <v>177</v>
      </c>
      <c r="AX94" t="s">
        <v>189</v>
      </c>
      <c r="AY94" t="s">
        <v>196</v>
      </c>
      <c r="AZ94" t="s">
        <v>197</v>
      </c>
      <c r="BA94" t="s">
        <v>198</v>
      </c>
      <c r="BB94" t="s">
        <v>199</v>
      </c>
      <c r="BC94">
        <v>0</v>
      </c>
      <c r="BD94">
        <v>0</v>
      </c>
      <c r="BE94">
        <v>1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1</v>
      </c>
      <c r="BP94" t="s">
        <v>45</v>
      </c>
      <c r="BQ94" t="s">
        <v>200</v>
      </c>
      <c r="BR94" t="s">
        <v>201</v>
      </c>
      <c r="BS94" t="s">
        <v>75</v>
      </c>
      <c r="BT94" t="s">
        <v>177</v>
      </c>
      <c r="BU94" t="s">
        <v>202</v>
      </c>
      <c r="BV94" t="s">
        <v>203</v>
      </c>
      <c r="BW94" t="s">
        <v>74</v>
      </c>
      <c r="BX94" t="s">
        <v>74</v>
      </c>
      <c r="BZ94" t="s">
        <v>79</v>
      </c>
      <c r="CB94" t="s">
        <v>204</v>
      </c>
    </row>
    <row r="95" spans="1:80" x14ac:dyDescent="0.25">
      <c r="A95" t="str">
        <f>IF(  UPPER(LEFT( tabSuperdettagli[[#This Row],[WBE Status]],1) ) = "S",  "sì",  "no"   )</f>
        <v>no</v>
      </c>
      <c r="B95">
        <v>2025</v>
      </c>
      <c r="C95">
        <f>VLOOKUP(tabSuperdettagli[[#This Row],[WBS_]],'pivot di appoggio'!A:B,2,FALSE)</f>
        <v>2020</v>
      </c>
      <c r="D95" t="str">
        <f>LEFT(tabSuperdettagli[[#This Row],[Network]], 10)</f>
        <v>AAAA.0001</v>
      </c>
      <c r="E95" t="str">
        <f>LEFT(tabSuperdettagli[[#This Row],[Network]], 1)</f>
        <v>A</v>
      </c>
      <c r="F95" t="str">
        <f>LOWER(TRIM( tabSuperdettagli[[#This Row],[Proj. Type ]] ))</f>
        <v/>
      </c>
      <c r="G9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5" t="e">
        <f>IF(  TRIM(#REF!)&gt; "", TRIM(#REF!), TRIM(tabSuperdettagli[[#This Row],[Resp DT]] ) )</f>
        <v>#REF!</v>
      </c>
      <c r="J95" t="str">
        <f>tabSuperdettagli[[#This Row],[07.2025]]</f>
        <v>10</v>
      </c>
      <c r="K95">
        <f>tabSuperdettagli[[#This Row],[Resp del Prodotto]]</f>
        <v>0</v>
      </c>
      <c r="L95">
        <f>tabSuperdettagli[[#This Row],[Area di bdg]]</f>
        <v>1</v>
      </c>
      <c r="W95" t="str">
        <f>tabSuperdettagli[[#This Row],[PROJ CODE]]</f>
        <v>CONV NGP PLATFORM ENG</v>
      </c>
      <c r="X95" t="str">
        <f>tabSuperdettagli[[#This Row],[Resp 2°liv]]&amp;""</f>
        <v>Gamberini G.</v>
      </c>
      <c r="Y9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5" t="str">
        <f>tabSuperdettagli[[#This Row],[WBS Element]]&amp;""</f>
        <v>WBS ddd</v>
      </c>
      <c r="AA95" t="str">
        <f>tabSuperdettagli[[#This Row],[09.2025]]</f>
        <v>319</v>
      </c>
      <c r="AC9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5" t="str">
        <f>LEFT(tabSuperdettagli[[#This Row],[Network]], 18 )</f>
        <v>AAAA.0001</v>
      </c>
      <c r="AE95" t="s">
        <v>187</v>
      </c>
      <c r="AF95" t="s">
        <v>188</v>
      </c>
      <c r="AG95" t="s">
        <v>304</v>
      </c>
      <c r="AH95">
        <v>13</v>
      </c>
      <c r="AI95" t="s">
        <v>305</v>
      </c>
      <c r="AJ95" t="s">
        <v>242</v>
      </c>
      <c r="AK95">
        <v>2023</v>
      </c>
      <c r="AL95" t="s">
        <v>190</v>
      </c>
      <c r="AM95" t="s">
        <v>191</v>
      </c>
      <c r="AN95" t="s">
        <v>192</v>
      </c>
      <c r="AO95" t="s">
        <v>193</v>
      </c>
      <c r="AP95" t="s">
        <v>192</v>
      </c>
      <c r="AQ95" t="s">
        <v>194</v>
      </c>
      <c r="AR95" t="s">
        <v>75</v>
      </c>
      <c r="AS95" t="s">
        <v>76</v>
      </c>
      <c r="AT95" t="s">
        <v>195</v>
      </c>
      <c r="AU95" t="s">
        <v>35</v>
      </c>
      <c r="AV95" t="s">
        <v>77</v>
      </c>
      <c r="AW95" t="s">
        <v>177</v>
      </c>
      <c r="AX95" t="s">
        <v>189</v>
      </c>
      <c r="AY95" t="s">
        <v>196</v>
      </c>
      <c r="AZ95" t="s">
        <v>197</v>
      </c>
      <c r="BA95" t="s">
        <v>198</v>
      </c>
      <c r="BB95" t="s">
        <v>199</v>
      </c>
      <c r="BC95">
        <v>0</v>
      </c>
      <c r="BD95">
        <v>0</v>
      </c>
      <c r="BE95">
        <v>1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1</v>
      </c>
      <c r="BP95" t="s">
        <v>45</v>
      </c>
      <c r="BQ95" t="s">
        <v>200</v>
      </c>
      <c r="BR95" t="s">
        <v>201</v>
      </c>
      <c r="BS95" t="s">
        <v>75</v>
      </c>
      <c r="BT95" t="s">
        <v>177</v>
      </c>
      <c r="BU95" t="s">
        <v>202</v>
      </c>
      <c r="BV95" t="s">
        <v>203</v>
      </c>
      <c r="BW95" t="s">
        <v>74</v>
      </c>
      <c r="BX95" t="s">
        <v>74</v>
      </c>
      <c r="BZ95" t="s">
        <v>79</v>
      </c>
      <c r="CB95" t="s">
        <v>204</v>
      </c>
    </row>
    <row r="96" spans="1:80" x14ac:dyDescent="0.25">
      <c r="A96" t="str">
        <f>IF(  UPPER(LEFT( tabSuperdettagli[[#This Row],[WBE Status]],1) ) = "S",  "sì",  "no"   )</f>
        <v>no</v>
      </c>
      <c r="B96">
        <v>2025</v>
      </c>
      <c r="C96">
        <f>VLOOKUP(tabSuperdettagli[[#This Row],[WBS_]],'pivot di appoggio'!A:B,2,FALSE)</f>
        <v>2020</v>
      </c>
      <c r="D96" t="str">
        <f>LEFT(tabSuperdettagli[[#This Row],[Network]], 10)</f>
        <v>AAAA.0001</v>
      </c>
      <c r="E96" t="str">
        <f>LEFT(tabSuperdettagli[[#This Row],[Network]], 1)</f>
        <v>A</v>
      </c>
      <c r="F96" t="str">
        <f>LOWER(TRIM( tabSuperdettagli[[#This Row],[Proj. Type ]] ))</f>
        <v/>
      </c>
      <c r="G9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6" t="e">
        <f>IF(  TRIM(#REF!)&gt; "", TRIM(#REF!), TRIM(tabSuperdettagli[[#This Row],[Resp DT]] ) )</f>
        <v>#REF!</v>
      </c>
      <c r="J96" t="str">
        <f>tabSuperdettagli[[#This Row],[07.2025]]</f>
        <v>10</v>
      </c>
      <c r="K96">
        <f>tabSuperdettagli[[#This Row],[Resp del Prodotto]]</f>
        <v>0</v>
      </c>
      <c r="L96">
        <f>tabSuperdettagli[[#This Row],[Area di bdg]]</f>
        <v>1</v>
      </c>
      <c r="W96" t="str">
        <f>tabSuperdettagli[[#This Row],[PROJ CODE]]</f>
        <v>CONV NGP PLATFORM ENG</v>
      </c>
      <c r="X96" t="str">
        <f>tabSuperdettagli[[#This Row],[Resp 2°liv]]&amp;""</f>
        <v>Gamberini G.</v>
      </c>
      <c r="Y9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6" t="str">
        <f>tabSuperdettagli[[#This Row],[WBS Element]]&amp;""</f>
        <v>WBS ddd</v>
      </c>
      <c r="AA96" t="str">
        <f>tabSuperdettagli[[#This Row],[09.2025]]</f>
        <v>319</v>
      </c>
      <c r="AC9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6" t="str">
        <f>LEFT(tabSuperdettagli[[#This Row],[Network]], 18 )</f>
        <v>AAAA.0001</v>
      </c>
      <c r="AE96" t="s">
        <v>187</v>
      </c>
      <c r="AF96" t="s">
        <v>188</v>
      </c>
      <c r="AG96" t="s">
        <v>304</v>
      </c>
      <c r="AH96">
        <v>14</v>
      </c>
      <c r="AI96" t="s">
        <v>305</v>
      </c>
      <c r="AJ96" t="s">
        <v>242</v>
      </c>
      <c r="AK96">
        <v>2023</v>
      </c>
      <c r="AL96" t="s">
        <v>190</v>
      </c>
      <c r="AM96" t="s">
        <v>191</v>
      </c>
      <c r="AN96" t="s">
        <v>192</v>
      </c>
      <c r="AO96" t="s">
        <v>193</v>
      </c>
      <c r="AP96" t="s">
        <v>192</v>
      </c>
      <c r="AQ96" t="s">
        <v>194</v>
      </c>
      <c r="AR96" t="s">
        <v>75</v>
      </c>
      <c r="AS96" t="s">
        <v>76</v>
      </c>
      <c r="AT96" t="s">
        <v>195</v>
      </c>
      <c r="AU96" t="s">
        <v>35</v>
      </c>
      <c r="AV96" t="s">
        <v>77</v>
      </c>
      <c r="AW96" t="s">
        <v>177</v>
      </c>
      <c r="AX96" t="s">
        <v>189</v>
      </c>
      <c r="AY96" t="s">
        <v>196</v>
      </c>
      <c r="AZ96" t="s">
        <v>197</v>
      </c>
      <c r="BA96" t="s">
        <v>198</v>
      </c>
      <c r="BB96" t="s">
        <v>199</v>
      </c>
      <c r="BC96">
        <v>0</v>
      </c>
      <c r="BD96">
        <v>0</v>
      </c>
      <c r="BE96">
        <v>1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1</v>
      </c>
      <c r="BP96" t="s">
        <v>45</v>
      </c>
      <c r="BQ96" t="s">
        <v>200</v>
      </c>
      <c r="BR96" t="s">
        <v>201</v>
      </c>
      <c r="BS96" t="s">
        <v>75</v>
      </c>
      <c r="BT96" t="s">
        <v>177</v>
      </c>
      <c r="BU96" t="s">
        <v>202</v>
      </c>
      <c r="BV96" t="s">
        <v>203</v>
      </c>
      <c r="BW96" t="s">
        <v>74</v>
      </c>
      <c r="BX96" t="s">
        <v>74</v>
      </c>
      <c r="BZ96" t="s">
        <v>79</v>
      </c>
      <c r="CB96" t="s">
        <v>204</v>
      </c>
    </row>
    <row r="97" spans="1:80" x14ac:dyDescent="0.25">
      <c r="A97" t="str">
        <f>IF(  UPPER(LEFT( tabSuperdettagli[[#This Row],[WBE Status]],1) ) = "S",  "sì",  "no"   )</f>
        <v>no</v>
      </c>
      <c r="B97">
        <v>2025</v>
      </c>
      <c r="C97">
        <f>VLOOKUP(tabSuperdettagli[[#This Row],[WBS_]],'pivot di appoggio'!A:B,2,FALSE)</f>
        <v>2020</v>
      </c>
      <c r="D97" t="str">
        <f>LEFT(tabSuperdettagli[[#This Row],[Network]], 10)</f>
        <v>AAAA.0001</v>
      </c>
      <c r="E97" t="str">
        <f>LEFT(tabSuperdettagli[[#This Row],[Network]], 1)</f>
        <v>A</v>
      </c>
      <c r="F97" t="str">
        <f>LOWER(TRIM( tabSuperdettagli[[#This Row],[Proj. Type ]] ))</f>
        <v/>
      </c>
      <c r="G9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7" t="e">
        <f>IF(  TRIM(#REF!)&gt; "", TRIM(#REF!), TRIM(tabSuperdettagli[[#This Row],[Resp DT]] ) )</f>
        <v>#REF!</v>
      </c>
      <c r="J97" t="str">
        <f>tabSuperdettagli[[#This Row],[07.2025]]</f>
        <v>10</v>
      </c>
      <c r="K97">
        <f>tabSuperdettagli[[#This Row],[Resp del Prodotto]]</f>
        <v>0</v>
      </c>
      <c r="L97">
        <f>tabSuperdettagli[[#This Row],[Area di bdg]]</f>
        <v>1</v>
      </c>
      <c r="W97" t="str">
        <f>tabSuperdettagli[[#This Row],[PROJ CODE]]</f>
        <v>CONV NGP PLATFORM ENG</v>
      </c>
      <c r="X97" t="str">
        <f>tabSuperdettagli[[#This Row],[Resp 2°liv]]&amp;""</f>
        <v>Gamberini G.</v>
      </c>
      <c r="Y9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7" t="str">
        <f>tabSuperdettagli[[#This Row],[WBS Element]]&amp;""</f>
        <v>WBS ddd</v>
      </c>
      <c r="AA97" t="str">
        <f>tabSuperdettagli[[#This Row],[09.2025]]</f>
        <v>319</v>
      </c>
      <c r="AC9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7" t="str">
        <f>LEFT(tabSuperdettagli[[#This Row],[Network]], 18 )</f>
        <v>AAAA.0001</v>
      </c>
      <c r="AE97" t="s">
        <v>187</v>
      </c>
      <c r="AF97" t="s">
        <v>188</v>
      </c>
      <c r="AG97" t="s">
        <v>304</v>
      </c>
      <c r="AH97">
        <v>15</v>
      </c>
      <c r="AI97" t="s">
        <v>305</v>
      </c>
      <c r="AJ97" t="s">
        <v>242</v>
      </c>
      <c r="AK97">
        <v>2023</v>
      </c>
      <c r="AL97" t="s">
        <v>190</v>
      </c>
      <c r="AM97" t="s">
        <v>191</v>
      </c>
      <c r="AN97" t="s">
        <v>192</v>
      </c>
      <c r="AO97" t="s">
        <v>193</v>
      </c>
      <c r="AP97" t="s">
        <v>192</v>
      </c>
      <c r="AQ97" t="s">
        <v>194</v>
      </c>
      <c r="AR97" t="s">
        <v>75</v>
      </c>
      <c r="AS97" t="s">
        <v>76</v>
      </c>
      <c r="AT97" t="s">
        <v>195</v>
      </c>
      <c r="AU97" t="s">
        <v>35</v>
      </c>
      <c r="AV97" t="s">
        <v>77</v>
      </c>
      <c r="AW97" t="s">
        <v>177</v>
      </c>
      <c r="AX97" t="s">
        <v>189</v>
      </c>
      <c r="AY97" t="s">
        <v>196</v>
      </c>
      <c r="AZ97" t="s">
        <v>197</v>
      </c>
      <c r="BA97" t="s">
        <v>198</v>
      </c>
      <c r="BB97" t="s">
        <v>199</v>
      </c>
      <c r="BC97">
        <v>0</v>
      </c>
      <c r="BD97">
        <v>0</v>
      </c>
      <c r="BE97">
        <v>1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1</v>
      </c>
      <c r="BP97" t="s">
        <v>45</v>
      </c>
      <c r="BQ97" t="s">
        <v>200</v>
      </c>
      <c r="BR97" t="s">
        <v>201</v>
      </c>
      <c r="BS97" t="s">
        <v>75</v>
      </c>
      <c r="BT97" t="s">
        <v>177</v>
      </c>
      <c r="BU97" t="s">
        <v>202</v>
      </c>
      <c r="BV97" t="s">
        <v>203</v>
      </c>
      <c r="BW97" t="s">
        <v>74</v>
      </c>
      <c r="BX97" t="s">
        <v>74</v>
      </c>
      <c r="BZ97" t="s">
        <v>79</v>
      </c>
      <c r="CB97" t="s">
        <v>204</v>
      </c>
    </row>
    <row r="98" spans="1:80" x14ac:dyDescent="0.25">
      <c r="A98" t="str">
        <f>IF(  UPPER(LEFT( tabSuperdettagli[[#This Row],[WBE Status]],1) ) = "S",  "sì",  "no"   )</f>
        <v>no</v>
      </c>
      <c r="B98">
        <v>2025</v>
      </c>
      <c r="C98">
        <f>VLOOKUP(tabSuperdettagli[[#This Row],[WBS_]],'pivot di appoggio'!A:B,2,FALSE)</f>
        <v>2020</v>
      </c>
      <c r="D98" t="str">
        <f>LEFT(tabSuperdettagli[[#This Row],[Network]], 10)</f>
        <v>AAAA.0001</v>
      </c>
      <c r="E98" t="str">
        <f>LEFT(tabSuperdettagli[[#This Row],[Network]], 1)</f>
        <v>A</v>
      </c>
      <c r="F98" t="str">
        <f>LOWER(TRIM( tabSuperdettagli[[#This Row],[Proj. Type ]] ))</f>
        <v/>
      </c>
      <c r="G9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8" t="e">
        <f>IF(  TRIM(#REF!)&gt; "", TRIM(#REF!), TRIM(tabSuperdettagli[[#This Row],[Resp DT]] ) )</f>
        <v>#REF!</v>
      </c>
      <c r="J98" t="str">
        <f>tabSuperdettagli[[#This Row],[07.2025]]</f>
        <v>10</v>
      </c>
      <c r="K98">
        <f>tabSuperdettagli[[#This Row],[Resp del Prodotto]]</f>
        <v>0</v>
      </c>
      <c r="L98">
        <f>tabSuperdettagli[[#This Row],[Area di bdg]]</f>
        <v>1</v>
      </c>
      <c r="W98" t="str">
        <f>tabSuperdettagli[[#This Row],[PROJ CODE]]</f>
        <v>CONV NGP PLATFORM ENG</v>
      </c>
      <c r="X98" t="str">
        <f>tabSuperdettagli[[#This Row],[Resp 2°liv]]&amp;""</f>
        <v>Gamberini G.</v>
      </c>
      <c r="Y9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8" t="str">
        <f>tabSuperdettagli[[#This Row],[WBS Element]]&amp;""</f>
        <v>WBS ddd</v>
      </c>
      <c r="AA98" t="str">
        <f>tabSuperdettagli[[#This Row],[09.2025]]</f>
        <v>319</v>
      </c>
      <c r="AC9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8" t="str">
        <f>LEFT(tabSuperdettagli[[#This Row],[Network]], 18 )</f>
        <v>AAAA.0001</v>
      </c>
      <c r="AE98" t="s">
        <v>187</v>
      </c>
      <c r="AF98" t="s">
        <v>188</v>
      </c>
      <c r="AG98" t="s">
        <v>304</v>
      </c>
      <c r="AH98">
        <v>16</v>
      </c>
      <c r="AI98" t="s">
        <v>305</v>
      </c>
      <c r="AJ98" t="s">
        <v>242</v>
      </c>
      <c r="AK98">
        <v>2023</v>
      </c>
      <c r="AL98" t="s">
        <v>190</v>
      </c>
      <c r="AM98" t="s">
        <v>191</v>
      </c>
      <c r="AN98" t="s">
        <v>192</v>
      </c>
      <c r="AO98" t="s">
        <v>193</v>
      </c>
      <c r="AP98" t="s">
        <v>192</v>
      </c>
      <c r="AQ98" t="s">
        <v>194</v>
      </c>
      <c r="AR98" t="s">
        <v>75</v>
      </c>
      <c r="AS98" t="s">
        <v>76</v>
      </c>
      <c r="AT98" t="s">
        <v>195</v>
      </c>
      <c r="AU98" t="s">
        <v>35</v>
      </c>
      <c r="AV98" t="s">
        <v>77</v>
      </c>
      <c r="AW98" t="s">
        <v>177</v>
      </c>
      <c r="AX98" t="s">
        <v>189</v>
      </c>
      <c r="AY98" t="s">
        <v>196</v>
      </c>
      <c r="AZ98" t="s">
        <v>197</v>
      </c>
      <c r="BA98" t="s">
        <v>198</v>
      </c>
      <c r="BB98" t="s">
        <v>199</v>
      </c>
      <c r="BC98">
        <v>0</v>
      </c>
      <c r="BD98">
        <v>0</v>
      </c>
      <c r="BE98">
        <v>1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1</v>
      </c>
      <c r="BP98" t="s">
        <v>45</v>
      </c>
      <c r="BQ98" t="s">
        <v>200</v>
      </c>
      <c r="BR98" t="s">
        <v>201</v>
      </c>
      <c r="BS98" t="s">
        <v>75</v>
      </c>
      <c r="BT98" t="s">
        <v>177</v>
      </c>
      <c r="BU98" t="s">
        <v>202</v>
      </c>
      <c r="BV98" t="s">
        <v>203</v>
      </c>
      <c r="BW98" t="s">
        <v>74</v>
      </c>
      <c r="BX98" t="s">
        <v>74</v>
      </c>
      <c r="BZ98" t="s">
        <v>79</v>
      </c>
      <c r="CB98" t="s">
        <v>204</v>
      </c>
    </row>
    <row r="99" spans="1:80" x14ac:dyDescent="0.25">
      <c r="A99" t="str">
        <f>IF(  UPPER(LEFT( tabSuperdettagli[[#This Row],[WBE Status]],1) ) = "S",  "sì",  "no"   )</f>
        <v>no</v>
      </c>
      <c r="B99">
        <v>2025</v>
      </c>
      <c r="C99">
        <f>VLOOKUP(tabSuperdettagli[[#This Row],[WBS_]],'pivot di appoggio'!A:B,2,FALSE)</f>
        <v>2020</v>
      </c>
      <c r="D99" t="str">
        <f>LEFT(tabSuperdettagli[[#This Row],[Network]], 10)</f>
        <v>AAAA.0001</v>
      </c>
      <c r="E99" t="str">
        <f>LEFT(tabSuperdettagli[[#This Row],[Network]], 1)</f>
        <v>A</v>
      </c>
      <c r="F99" t="str">
        <f>LOWER(TRIM( tabSuperdettagli[[#This Row],[Proj. Type ]] ))</f>
        <v/>
      </c>
      <c r="G9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9" t="e">
        <f>IF(  TRIM(#REF!)&gt; "", TRIM(#REF!), TRIM(tabSuperdettagli[[#This Row],[Resp DT]] ) )</f>
        <v>#REF!</v>
      </c>
      <c r="J99" t="str">
        <f>tabSuperdettagli[[#This Row],[07.2025]]</f>
        <v>10</v>
      </c>
      <c r="K99">
        <f>tabSuperdettagli[[#This Row],[Resp del Prodotto]]</f>
        <v>0</v>
      </c>
      <c r="L99">
        <f>tabSuperdettagli[[#This Row],[Area di bdg]]</f>
        <v>1</v>
      </c>
      <c r="W99" t="str">
        <f>tabSuperdettagli[[#This Row],[PROJ CODE]]</f>
        <v>CONV NGP PLATFORM ENG</v>
      </c>
      <c r="X99" t="str">
        <f>tabSuperdettagli[[#This Row],[Resp 2°liv]]&amp;""</f>
        <v>Gamberini G.</v>
      </c>
      <c r="Y9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9" t="str">
        <f>tabSuperdettagli[[#This Row],[WBS Element]]&amp;""</f>
        <v>WBS ddd</v>
      </c>
      <c r="AA99" t="str">
        <f>tabSuperdettagli[[#This Row],[09.2025]]</f>
        <v>319</v>
      </c>
      <c r="AC9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9" t="str">
        <f>LEFT(tabSuperdettagli[[#This Row],[Network]], 18 )</f>
        <v>AAAA.0001</v>
      </c>
      <c r="AE99" t="s">
        <v>187</v>
      </c>
      <c r="AF99" t="s">
        <v>188</v>
      </c>
      <c r="AG99" t="s">
        <v>304</v>
      </c>
      <c r="AH99">
        <v>17</v>
      </c>
      <c r="AI99" t="s">
        <v>305</v>
      </c>
      <c r="AJ99" t="s">
        <v>242</v>
      </c>
      <c r="AK99">
        <v>2023</v>
      </c>
      <c r="AL99" t="s">
        <v>190</v>
      </c>
      <c r="AM99" t="s">
        <v>191</v>
      </c>
      <c r="AN99" t="s">
        <v>192</v>
      </c>
      <c r="AO99" t="s">
        <v>193</v>
      </c>
      <c r="AP99" t="s">
        <v>192</v>
      </c>
      <c r="AQ99" t="s">
        <v>194</v>
      </c>
      <c r="AR99" t="s">
        <v>75</v>
      </c>
      <c r="AS99" t="s">
        <v>76</v>
      </c>
      <c r="AT99" t="s">
        <v>195</v>
      </c>
      <c r="AU99" t="s">
        <v>35</v>
      </c>
      <c r="AV99" t="s">
        <v>77</v>
      </c>
      <c r="AW99" t="s">
        <v>177</v>
      </c>
      <c r="AX99" t="s">
        <v>189</v>
      </c>
      <c r="AY99" t="s">
        <v>196</v>
      </c>
      <c r="AZ99" t="s">
        <v>197</v>
      </c>
      <c r="BA99" t="s">
        <v>198</v>
      </c>
      <c r="BB99" t="s">
        <v>199</v>
      </c>
      <c r="BC99">
        <v>0</v>
      </c>
      <c r="BD99">
        <v>0</v>
      </c>
      <c r="BE99">
        <v>1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1</v>
      </c>
      <c r="BP99" t="s">
        <v>45</v>
      </c>
      <c r="BQ99" t="s">
        <v>200</v>
      </c>
      <c r="BR99" t="s">
        <v>201</v>
      </c>
      <c r="BS99" t="s">
        <v>75</v>
      </c>
      <c r="BT99" t="s">
        <v>177</v>
      </c>
      <c r="BU99" t="s">
        <v>202</v>
      </c>
      <c r="BV99" t="s">
        <v>203</v>
      </c>
      <c r="BW99" t="s">
        <v>74</v>
      </c>
      <c r="BX99" t="s">
        <v>74</v>
      </c>
      <c r="BZ99" t="s">
        <v>79</v>
      </c>
      <c r="CB99" t="s">
        <v>204</v>
      </c>
    </row>
    <row r="100" spans="1:80" x14ac:dyDescent="0.25">
      <c r="A100" t="str">
        <f>IF(  UPPER(LEFT( tabSuperdettagli[[#This Row],[WBE Status]],1) ) = "S",  "sì",  "no"   )</f>
        <v>no</v>
      </c>
      <c r="B100">
        <v>2025</v>
      </c>
      <c r="C100">
        <f>VLOOKUP(tabSuperdettagli[[#This Row],[WBS_]],'pivot di appoggio'!A:B,2,FALSE)</f>
        <v>2020</v>
      </c>
      <c r="D100" t="str">
        <f>LEFT(tabSuperdettagli[[#This Row],[Network]], 10)</f>
        <v>AAAA.0001</v>
      </c>
      <c r="E100" t="str">
        <f>LEFT(tabSuperdettagli[[#This Row],[Network]], 1)</f>
        <v>A</v>
      </c>
      <c r="F100" t="str">
        <f>LOWER(TRIM( tabSuperdettagli[[#This Row],[Proj. Type ]] ))</f>
        <v/>
      </c>
      <c r="G10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00" t="e">
        <f>IF(  TRIM(#REF!)&gt; "", TRIM(#REF!), TRIM(tabSuperdettagli[[#This Row],[Resp DT]] ) )</f>
        <v>#REF!</v>
      </c>
      <c r="J100" t="str">
        <f>tabSuperdettagli[[#This Row],[07.2025]]</f>
        <v>10</v>
      </c>
      <c r="K100">
        <f>tabSuperdettagli[[#This Row],[Resp del Prodotto]]</f>
        <v>0</v>
      </c>
      <c r="L100">
        <f>tabSuperdettagli[[#This Row],[Area di bdg]]</f>
        <v>1</v>
      </c>
      <c r="W100" t="str">
        <f>tabSuperdettagli[[#This Row],[PROJ CODE]]</f>
        <v>CONV NGP PLATFORM ENG</v>
      </c>
      <c r="X100" t="str">
        <f>tabSuperdettagli[[#This Row],[Resp 2°liv]]&amp;""</f>
        <v>Gamberini G.</v>
      </c>
      <c r="Y10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00" t="str">
        <f>tabSuperdettagli[[#This Row],[WBS Element]]&amp;""</f>
        <v>WBS ddd</v>
      </c>
      <c r="AA100" t="str">
        <f>tabSuperdettagli[[#This Row],[09.2025]]</f>
        <v>319</v>
      </c>
      <c r="AC10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00" t="str">
        <f>LEFT(tabSuperdettagli[[#This Row],[Network]], 18 )</f>
        <v>AAAA.0001</v>
      </c>
      <c r="AE100" t="s">
        <v>187</v>
      </c>
      <c r="AF100" t="s">
        <v>188</v>
      </c>
      <c r="AG100" t="s">
        <v>304</v>
      </c>
      <c r="AH100">
        <v>18</v>
      </c>
      <c r="AI100" t="s">
        <v>305</v>
      </c>
      <c r="AJ100" t="s">
        <v>242</v>
      </c>
      <c r="AK100">
        <v>2023</v>
      </c>
      <c r="AL100" t="s">
        <v>190</v>
      </c>
      <c r="AM100" t="s">
        <v>191</v>
      </c>
      <c r="AN100" t="s">
        <v>192</v>
      </c>
      <c r="AO100" t="s">
        <v>193</v>
      </c>
      <c r="AP100" t="s">
        <v>192</v>
      </c>
      <c r="AQ100" t="s">
        <v>194</v>
      </c>
      <c r="AR100" t="s">
        <v>75</v>
      </c>
      <c r="AS100" t="s">
        <v>76</v>
      </c>
      <c r="AT100" t="s">
        <v>195</v>
      </c>
      <c r="AU100" t="s">
        <v>35</v>
      </c>
      <c r="AV100" t="s">
        <v>77</v>
      </c>
      <c r="AW100" t="s">
        <v>177</v>
      </c>
      <c r="AX100" t="s">
        <v>189</v>
      </c>
      <c r="AY100" t="s">
        <v>196</v>
      </c>
      <c r="AZ100" t="s">
        <v>197</v>
      </c>
      <c r="BA100" t="s">
        <v>198</v>
      </c>
      <c r="BB100" t="s">
        <v>199</v>
      </c>
      <c r="BC100">
        <v>0</v>
      </c>
      <c r="BD100">
        <v>0</v>
      </c>
      <c r="BE100">
        <v>1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1</v>
      </c>
      <c r="BP100" t="s">
        <v>45</v>
      </c>
      <c r="BQ100" t="s">
        <v>200</v>
      </c>
      <c r="BR100" t="s">
        <v>201</v>
      </c>
      <c r="BS100" t="s">
        <v>75</v>
      </c>
      <c r="BT100" t="s">
        <v>177</v>
      </c>
      <c r="BU100" t="s">
        <v>202</v>
      </c>
      <c r="BV100" t="s">
        <v>203</v>
      </c>
      <c r="BW100" t="s">
        <v>74</v>
      </c>
      <c r="BX100" t="s">
        <v>74</v>
      </c>
      <c r="BZ100" t="s">
        <v>79</v>
      </c>
      <c r="CB100" t="s">
        <v>204</v>
      </c>
    </row>
    <row r="101" spans="1:80" x14ac:dyDescent="0.25">
      <c r="A101" t="str">
        <f>IF(  UPPER(LEFT( tabSuperdettagli[[#This Row],[WBE Status]],1) ) = "S",  "sì",  "no"   )</f>
        <v>no</v>
      </c>
      <c r="B101">
        <v>2025</v>
      </c>
      <c r="C101">
        <f>VLOOKUP(tabSuperdettagli[[#This Row],[WBS_]],'pivot di appoggio'!A:B,2,FALSE)</f>
        <v>2020</v>
      </c>
      <c r="D101" t="str">
        <f>LEFT(tabSuperdettagli[[#This Row],[Network]], 10)</f>
        <v>AAAA.0001</v>
      </c>
      <c r="E101" t="str">
        <f>LEFT(tabSuperdettagli[[#This Row],[Network]], 1)</f>
        <v>A</v>
      </c>
      <c r="F101" t="str">
        <f>LOWER(TRIM( tabSuperdettagli[[#This Row],[Proj. Type ]] ))</f>
        <v/>
      </c>
      <c r="G10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01" t="e">
        <f>IF(  TRIM(#REF!)&gt; "", TRIM(#REF!), TRIM(tabSuperdettagli[[#This Row],[Resp DT]] ) )</f>
        <v>#REF!</v>
      </c>
      <c r="J101" t="str">
        <f>tabSuperdettagli[[#This Row],[07.2025]]</f>
        <v>10</v>
      </c>
      <c r="K101">
        <f>tabSuperdettagli[[#This Row],[Resp del Prodotto]]</f>
        <v>0</v>
      </c>
      <c r="L101">
        <f>tabSuperdettagli[[#This Row],[Area di bdg]]</f>
        <v>1</v>
      </c>
      <c r="W101" t="str">
        <f>tabSuperdettagli[[#This Row],[PROJ CODE]]</f>
        <v>CONV NGP PLATFORM ENG</v>
      </c>
      <c r="X101" t="str">
        <f>tabSuperdettagli[[#This Row],[Resp 2°liv]]&amp;""</f>
        <v>Gamberini G.</v>
      </c>
      <c r="Y10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01" t="str">
        <f>tabSuperdettagli[[#This Row],[WBS Element]]&amp;""</f>
        <v>WBS ddd</v>
      </c>
      <c r="AA101" t="str">
        <f>tabSuperdettagli[[#This Row],[09.2025]]</f>
        <v>319</v>
      </c>
      <c r="AC10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01" t="str">
        <f>LEFT(tabSuperdettagli[[#This Row],[Network]], 18 )</f>
        <v>AAAA.0001</v>
      </c>
      <c r="AE101" t="s">
        <v>187</v>
      </c>
      <c r="AF101" t="s">
        <v>188</v>
      </c>
      <c r="AG101" t="s">
        <v>304</v>
      </c>
      <c r="AH101">
        <v>19</v>
      </c>
      <c r="AI101" t="s">
        <v>305</v>
      </c>
      <c r="AJ101" t="s">
        <v>242</v>
      </c>
      <c r="AK101">
        <v>2023</v>
      </c>
      <c r="AL101" t="s">
        <v>190</v>
      </c>
      <c r="AM101" t="s">
        <v>191</v>
      </c>
      <c r="AN101" t="s">
        <v>192</v>
      </c>
      <c r="AO101" t="s">
        <v>193</v>
      </c>
      <c r="AP101" t="s">
        <v>192</v>
      </c>
      <c r="AQ101" t="s">
        <v>194</v>
      </c>
      <c r="AR101" t="s">
        <v>75</v>
      </c>
      <c r="AS101" t="s">
        <v>76</v>
      </c>
      <c r="AT101" t="s">
        <v>195</v>
      </c>
      <c r="AU101" t="s">
        <v>35</v>
      </c>
      <c r="AV101" t="s">
        <v>77</v>
      </c>
      <c r="AW101" t="s">
        <v>177</v>
      </c>
      <c r="AX101" t="s">
        <v>189</v>
      </c>
      <c r="AY101" t="s">
        <v>196</v>
      </c>
      <c r="AZ101" t="s">
        <v>197</v>
      </c>
      <c r="BA101" t="s">
        <v>198</v>
      </c>
      <c r="BB101" t="s">
        <v>199</v>
      </c>
      <c r="BC101">
        <v>0</v>
      </c>
      <c r="BD101">
        <v>0</v>
      </c>
      <c r="BE101">
        <v>1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1</v>
      </c>
      <c r="BP101" t="s">
        <v>45</v>
      </c>
      <c r="BQ101" t="s">
        <v>200</v>
      </c>
      <c r="BR101" t="s">
        <v>201</v>
      </c>
      <c r="BS101" t="s">
        <v>75</v>
      </c>
      <c r="BT101" t="s">
        <v>177</v>
      </c>
      <c r="BU101" t="s">
        <v>202</v>
      </c>
      <c r="BV101" t="s">
        <v>203</v>
      </c>
      <c r="BW101" t="s">
        <v>74</v>
      </c>
      <c r="BX101" t="s">
        <v>74</v>
      </c>
      <c r="BZ101" t="s">
        <v>79</v>
      </c>
      <c r="CB101" t="s">
        <v>204</v>
      </c>
    </row>
    <row r="102" spans="1:80" x14ac:dyDescent="0.25">
      <c r="A102" t="str">
        <f>IF(  UPPER(LEFT( tabSuperdettagli[[#This Row],[WBE Status]],1) ) = "S",  "sì",  "no"   )</f>
        <v>no</v>
      </c>
      <c r="B102">
        <v>2025</v>
      </c>
      <c r="C102">
        <f>VLOOKUP(tabSuperdettagli[[#This Row],[WBS_]],'pivot di appoggio'!A:B,2,FALSE)</f>
        <v>2020</v>
      </c>
      <c r="D102" t="str">
        <f>LEFT(tabSuperdettagli[[#This Row],[Network]], 10)</f>
        <v>AAAA.0001</v>
      </c>
      <c r="E102" t="str">
        <f>LEFT(tabSuperdettagli[[#This Row],[Network]], 1)</f>
        <v>A</v>
      </c>
      <c r="F102" t="str">
        <f>LOWER(TRIM( tabSuperdettagli[[#This Row],[Proj. Type ]] ))</f>
        <v/>
      </c>
      <c r="G10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02" t="e">
        <f>IF(  TRIM(#REF!)&gt; "", TRIM(#REF!), TRIM(tabSuperdettagli[[#This Row],[Resp DT]] ) )</f>
        <v>#REF!</v>
      </c>
      <c r="J102" t="str">
        <f>tabSuperdettagli[[#This Row],[07.2025]]</f>
        <v>10</v>
      </c>
      <c r="K102">
        <f>tabSuperdettagli[[#This Row],[Resp del Prodotto]]</f>
        <v>0</v>
      </c>
      <c r="L102">
        <f>tabSuperdettagli[[#This Row],[Area di bdg]]</f>
        <v>1</v>
      </c>
      <c r="W102" t="str">
        <f>tabSuperdettagli[[#This Row],[PROJ CODE]]</f>
        <v>CONV NGP PLATFORM ENG</v>
      </c>
      <c r="X102" t="str">
        <f>tabSuperdettagli[[#This Row],[Resp 2°liv]]&amp;""</f>
        <v>Gamberini G.</v>
      </c>
      <c r="Y10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02" t="str">
        <f>tabSuperdettagli[[#This Row],[WBS Element]]&amp;""</f>
        <v>WBS ddd</v>
      </c>
      <c r="AA102" t="str">
        <f>tabSuperdettagli[[#This Row],[09.2025]]</f>
        <v>319</v>
      </c>
      <c r="AC10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02" t="str">
        <f>LEFT(tabSuperdettagli[[#This Row],[Network]], 18 )</f>
        <v>AAAA.0001</v>
      </c>
      <c r="AE102" t="s">
        <v>187</v>
      </c>
      <c r="AF102" t="s">
        <v>188</v>
      </c>
      <c r="AG102" t="s">
        <v>304</v>
      </c>
      <c r="AH102">
        <v>20</v>
      </c>
      <c r="AI102" t="s">
        <v>305</v>
      </c>
      <c r="AJ102" t="s">
        <v>242</v>
      </c>
      <c r="AK102">
        <v>2023</v>
      </c>
      <c r="AL102" t="s">
        <v>190</v>
      </c>
      <c r="AM102" t="s">
        <v>191</v>
      </c>
      <c r="AN102" t="s">
        <v>192</v>
      </c>
      <c r="AO102" t="s">
        <v>193</v>
      </c>
      <c r="AP102" t="s">
        <v>192</v>
      </c>
      <c r="AQ102" t="s">
        <v>194</v>
      </c>
      <c r="AR102" t="s">
        <v>75</v>
      </c>
      <c r="AS102" t="s">
        <v>76</v>
      </c>
      <c r="AT102" t="s">
        <v>195</v>
      </c>
      <c r="AU102" t="s">
        <v>35</v>
      </c>
      <c r="AV102" t="s">
        <v>77</v>
      </c>
      <c r="AW102" t="s">
        <v>177</v>
      </c>
      <c r="AX102" t="s">
        <v>189</v>
      </c>
      <c r="AY102" t="s">
        <v>196</v>
      </c>
      <c r="AZ102" t="s">
        <v>197</v>
      </c>
      <c r="BA102" t="s">
        <v>198</v>
      </c>
      <c r="BB102" t="s">
        <v>199</v>
      </c>
      <c r="BC102">
        <v>0</v>
      </c>
      <c r="BD102">
        <v>0</v>
      </c>
      <c r="BE102">
        <v>1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1</v>
      </c>
      <c r="BP102" t="s">
        <v>45</v>
      </c>
      <c r="BQ102" t="s">
        <v>200</v>
      </c>
      <c r="BR102" t="s">
        <v>201</v>
      </c>
      <c r="BS102" t="s">
        <v>75</v>
      </c>
      <c r="BT102" t="s">
        <v>177</v>
      </c>
      <c r="BU102" t="s">
        <v>202</v>
      </c>
      <c r="BV102" t="s">
        <v>203</v>
      </c>
      <c r="BW102" t="s">
        <v>74</v>
      </c>
      <c r="BX102" t="s">
        <v>74</v>
      </c>
      <c r="BZ102" t="s">
        <v>79</v>
      </c>
      <c r="CB102" t="s">
        <v>204</v>
      </c>
    </row>
  </sheetData>
  <mergeCells count="2">
    <mergeCell ref="A1:AD1"/>
    <mergeCell ref="AE1:CD1"/>
  </mergeCells>
  <phoneticPr fontId="16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2B473-5D75-4EC5-97EA-2825D8D298DB}">
  <dimension ref="A1:N3"/>
  <sheetViews>
    <sheetView workbookViewId="0">
      <selection activeCell="R15" sqref="R15"/>
    </sheetView>
  </sheetViews>
  <sheetFormatPr defaultRowHeight="15" x14ac:dyDescent="0.25"/>
  <cols>
    <col min="1" max="1" width="5.7109375" bestFit="1" customWidth="1"/>
    <col min="2" max="2" width="16.7109375" bestFit="1" customWidth="1"/>
    <col min="3" max="3" width="19.28515625" bestFit="1" customWidth="1"/>
    <col min="4" max="4" width="14.140625" bestFit="1" customWidth="1"/>
    <col min="5" max="5" width="6.85546875" bestFit="1" customWidth="1"/>
    <col min="7" max="7" width="5.7109375" bestFit="1" customWidth="1"/>
    <col min="8" max="8" width="6.42578125" bestFit="1" customWidth="1"/>
    <col min="9" max="9" width="19.140625" bestFit="1" customWidth="1"/>
    <col min="10" max="10" width="16.85546875" bestFit="1" customWidth="1"/>
    <col min="11" max="11" width="16.5703125" bestFit="1" customWidth="1"/>
    <col min="12" max="12" width="12.140625" bestFit="1" customWidth="1"/>
    <col min="13" max="13" width="14.42578125" bestFit="1" customWidth="1"/>
    <col min="14" max="14" width="9.28515625" bestFit="1" customWidth="1"/>
  </cols>
  <sheetData>
    <row r="1" spans="1:14" x14ac:dyDescent="0.25">
      <c r="A1" s="118" t="s">
        <v>281</v>
      </c>
      <c r="B1" s="119" t="s">
        <v>282</v>
      </c>
      <c r="C1" s="119" t="s">
        <v>283</v>
      </c>
      <c r="D1" s="119" t="s">
        <v>284</v>
      </c>
      <c r="E1" s="119" t="s">
        <v>285</v>
      </c>
      <c r="F1" s="119" t="s">
        <v>286</v>
      </c>
      <c r="G1" s="119" t="s">
        <v>287</v>
      </c>
      <c r="H1" s="119" t="s">
        <v>288</v>
      </c>
      <c r="I1" s="119" t="s">
        <v>289</v>
      </c>
      <c r="J1" s="119" t="s">
        <v>290</v>
      </c>
      <c r="K1" s="119" t="s">
        <v>291</v>
      </c>
      <c r="L1" s="119" t="s">
        <v>292</v>
      </c>
      <c r="M1" s="119" t="s">
        <v>293</v>
      </c>
      <c r="N1" s="120" t="s">
        <v>294</v>
      </c>
    </row>
    <row r="2" spans="1:14" x14ac:dyDescent="0.25">
      <c r="A2" s="121" t="s">
        <v>295</v>
      </c>
      <c r="B2" s="122" t="s">
        <v>296</v>
      </c>
      <c r="C2" s="122" t="s">
        <v>296</v>
      </c>
      <c r="D2" s="122" t="s">
        <v>296</v>
      </c>
      <c r="E2" s="122" t="s">
        <v>285</v>
      </c>
      <c r="F2" s="122" t="s">
        <v>297</v>
      </c>
      <c r="G2" s="122" t="s">
        <v>298</v>
      </c>
      <c r="H2" s="122" t="s">
        <v>299</v>
      </c>
      <c r="I2" s="122" t="s">
        <v>74</v>
      </c>
      <c r="J2" s="123">
        <v>42369</v>
      </c>
      <c r="K2" s="122" t="s">
        <v>74</v>
      </c>
      <c r="L2" s="122"/>
      <c r="M2" s="123">
        <v>42145</v>
      </c>
      <c r="N2" s="124" t="s">
        <v>74</v>
      </c>
    </row>
    <row r="3" spans="1:14" x14ac:dyDescent="0.25">
      <c r="A3" s="125" t="s">
        <v>300</v>
      </c>
      <c r="B3" s="126" t="s">
        <v>296</v>
      </c>
      <c r="C3" s="126" t="s">
        <v>301</v>
      </c>
      <c r="D3" s="126" t="s">
        <v>301</v>
      </c>
      <c r="E3" s="126" t="s">
        <v>302</v>
      </c>
      <c r="F3" s="126" t="s">
        <v>303</v>
      </c>
      <c r="G3" s="126" t="s">
        <v>298</v>
      </c>
      <c r="H3" s="126" t="s">
        <v>299</v>
      </c>
      <c r="I3" s="126" t="s">
        <v>74</v>
      </c>
      <c r="J3" s="127">
        <v>42369</v>
      </c>
      <c r="K3" s="126" t="s">
        <v>74</v>
      </c>
      <c r="L3" s="126"/>
      <c r="M3" s="127">
        <v>42145</v>
      </c>
      <c r="N3" s="128" t="s">
        <v>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98FF1-0840-4AD0-9948-EC3F44C2C440}">
  <sheetPr>
    <tabColor theme="4" tint="0.79998168889431442"/>
  </sheetPr>
  <dimension ref="A3:B5"/>
  <sheetViews>
    <sheetView workbookViewId="0"/>
  </sheetViews>
  <sheetFormatPr defaultRowHeight="15" x14ac:dyDescent="0.25"/>
  <cols>
    <col min="1" max="2" width="13.140625" bestFit="1" customWidth="1"/>
  </cols>
  <sheetData>
    <row r="3" spans="1:2" x14ac:dyDescent="0.25">
      <c r="A3" s="109" t="s">
        <v>239</v>
      </c>
      <c r="B3" t="s">
        <v>241</v>
      </c>
    </row>
    <row r="4" spans="1:2" x14ac:dyDescent="0.25">
      <c r="A4" s="70" t="s">
        <v>242</v>
      </c>
      <c r="B4" s="154">
        <v>2020</v>
      </c>
    </row>
    <row r="5" spans="1:2" x14ac:dyDescent="0.25">
      <c r="A5" s="70" t="s">
        <v>240</v>
      </c>
      <c r="B5" s="154">
        <v>2020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:I15"/>
  <sheetViews>
    <sheetView workbookViewId="0"/>
  </sheetViews>
  <sheetFormatPr defaultRowHeight="15" x14ac:dyDescent="0.25"/>
  <cols>
    <col min="1" max="1" width="12.7109375" bestFit="1" customWidth="1"/>
    <col min="6" max="6" width="17.5703125" bestFit="1" customWidth="1"/>
    <col min="7" max="7" width="11.42578125" bestFit="1" customWidth="1"/>
    <col min="8" max="8" width="20.140625" bestFit="1" customWidth="1"/>
    <col min="9" max="9" width="29.7109375" customWidth="1"/>
  </cols>
  <sheetData>
    <row r="1" spans="1:9" x14ac:dyDescent="0.25">
      <c r="A1" s="1" t="s">
        <v>80</v>
      </c>
      <c r="F1" s="69" t="s">
        <v>81</v>
      </c>
      <c r="G1" s="69" t="s">
        <v>82</v>
      </c>
      <c r="H1" s="69" t="s">
        <v>83</v>
      </c>
      <c r="I1" s="69" t="s">
        <v>84</v>
      </c>
    </row>
    <row r="2" spans="1:9" x14ac:dyDescent="0.25">
      <c r="F2" s="70" t="s">
        <v>78</v>
      </c>
      <c r="G2" s="70" t="s">
        <v>78</v>
      </c>
      <c r="H2" s="70" t="s">
        <v>78</v>
      </c>
      <c r="I2" s="70" t="s">
        <v>78</v>
      </c>
    </row>
    <row r="3" spans="1:9" x14ac:dyDescent="0.25">
      <c r="F3" s="70" t="s">
        <v>78</v>
      </c>
      <c r="G3" s="70" t="s">
        <v>78</v>
      </c>
      <c r="H3" s="70" t="s">
        <v>78</v>
      </c>
      <c r="I3" s="70" t="s">
        <v>78</v>
      </c>
    </row>
    <row r="4" spans="1:9" x14ac:dyDescent="0.25">
      <c r="F4" s="70" t="s">
        <v>78</v>
      </c>
      <c r="G4" s="70" t="s">
        <v>78</v>
      </c>
      <c r="H4" s="70" t="s">
        <v>78</v>
      </c>
      <c r="I4" s="70" t="s">
        <v>78</v>
      </c>
    </row>
    <row r="5" spans="1:9" x14ac:dyDescent="0.25">
      <c r="F5" s="70" t="s">
        <v>78</v>
      </c>
      <c r="G5" s="70" t="s">
        <v>78</v>
      </c>
      <c r="H5" s="70" t="s">
        <v>78</v>
      </c>
      <c r="I5" s="70" t="s">
        <v>78</v>
      </c>
    </row>
    <row r="6" spans="1:9" x14ac:dyDescent="0.25">
      <c r="F6" s="70" t="s">
        <v>78</v>
      </c>
      <c r="G6" s="70" t="s">
        <v>78</v>
      </c>
      <c r="H6" s="70" t="s">
        <v>78</v>
      </c>
      <c r="I6" s="70" t="s">
        <v>78</v>
      </c>
    </row>
    <row r="7" spans="1:9" x14ac:dyDescent="0.25">
      <c r="F7" s="70" t="s">
        <v>78</v>
      </c>
      <c r="G7" s="70" t="s">
        <v>78</v>
      </c>
      <c r="H7" s="70" t="s">
        <v>78</v>
      </c>
      <c r="I7" s="70" t="s">
        <v>78</v>
      </c>
    </row>
    <row r="8" spans="1:9" x14ac:dyDescent="0.25">
      <c r="F8" s="70" t="s">
        <v>78</v>
      </c>
      <c r="G8" s="70" t="s">
        <v>78</v>
      </c>
      <c r="H8" s="70" t="s">
        <v>78</v>
      </c>
      <c r="I8" s="70" t="s">
        <v>78</v>
      </c>
    </row>
    <row r="9" spans="1:9" x14ac:dyDescent="0.25">
      <c r="F9" s="70" t="s">
        <v>78</v>
      </c>
      <c r="G9" s="70" t="s">
        <v>78</v>
      </c>
      <c r="H9" s="70" t="s">
        <v>78</v>
      </c>
      <c r="I9" s="70" t="s">
        <v>78</v>
      </c>
    </row>
    <row r="10" spans="1:9" x14ac:dyDescent="0.25">
      <c r="F10" s="70" t="s">
        <v>78</v>
      </c>
      <c r="G10" s="70" t="s">
        <v>78</v>
      </c>
      <c r="H10" s="70" t="s">
        <v>78</v>
      </c>
      <c r="I10" s="70" t="s">
        <v>78</v>
      </c>
    </row>
    <row r="11" spans="1:9" x14ac:dyDescent="0.25">
      <c r="F11" s="70" t="s">
        <v>78</v>
      </c>
      <c r="G11" s="70" t="s">
        <v>78</v>
      </c>
      <c r="H11" s="70" t="s">
        <v>78</v>
      </c>
      <c r="I11" s="70" t="s">
        <v>78</v>
      </c>
    </row>
    <row r="12" spans="1:9" x14ac:dyDescent="0.25">
      <c r="F12" s="70" t="s">
        <v>78</v>
      </c>
      <c r="G12" s="70" t="s">
        <v>78</v>
      </c>
      <c r="H12" s="70" t="s">
        <v>78</v>
      </c>
      <c r="I12" s="70" t="s">
        <v>78</v>
      </c>
    </row>
    <row r="13" spans="1:9" x14ac:dyDescent="0.25">
      <c r="F13" s="70" t="s">
        <v>78</v>
      </c>
      <c r="G13" s="70" t="s">
        <v>78</v>
      </c>
      <c r="H13" s="70" t="s">
        <v>78</v>
      </c>
      <c r="I13" s="70" t="s">
        <v>78</v>
      </c>
    </row>
    <row r="14" spans="1:9" x14ac:dyDescent="0.25">
      <c r="F14" s="70" t="s">
        <v>78</v>
      </c>
      <c r="G14" s="70" t="s">
        <v>78</v>
      </c>
      <c r="H14" s="70" t="s">
        <v>78</v>
      </c>
      <c r="I14" s="70" t="s">
        <v>78</v>
      </c>
    </row>
    <row r="15" spans="1:9" x14ac:dyDescent="0.25">
      <c r="F15" s="70" t="s">
        <v>78</v>
      </c>
      <c r="G15" s="70" t="s">
        <v>78</v>
      </c>
      <c r="H15" s="70" t="s">
        <v>78</v>
      </c>
      <c r="I15" s="70" t="s">
        <v>78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I21"/>
  <sheetViews>
    <sheetView workbookViewId="0"/>
  </sheetViews>
  <sheetFormatPr defaultRowHeight="15" x14ac:dyDescent="0.25"/>
  <cols>
    <col min="1" max="1" width="21" bestFit="1" customWidth="1"/>
    <col min="6" max="6" width="21.140625" bestFit="1" customWidth="1"/>
    <col min="7" max="7" width="11.5703125" bestFit="1" customWidth="1"/>
    <col min="8" max="9" width="19.5703125" bestFit="1" customWidth="1"/>
  </cols>
  <sheetData>
    <row r="1" spans="1:9" x14ac:dyDescent="0.25">
      <c r="A1" s="1" t="s">
        <v>85</v>
      </c>
      <c r="F1" t="s">
        <v>81</v>
      </c>
      <c r="G1" t="s">
        <v>82</v>
      </c>
      <c r="H1" t="s">
        <v>83</v>
      </c>
      <c r="I1" t="s">
        <v>84</v>
      </c>
    </row>
    <row r="2" spans="1:9" x14ac:dyDescent="0.25">
      <c r="F2" t="s">
        <v>86</v>
      </c>
      <c r="G2" t="s">
        <v>86</v>
      </c>
      <c r="H2" t="s">
        <v>86</v>
      </c>
      <c r="I2" t="s">
        <v>86</v>
      </c>
    </row>
    <row r="3" spans="1:9" x14ac:dyDescent="0.25">
      <c r="F3" t="s">
        <v>86</v>
      </c>
      <c r="G3" t="s">
        <v>86</v>
      </c>
      <c r="H3" t="s">
        <v>86</v>
      </c>
      <c r="I3" t="s">
        <v>86</v>
      </c>
    </row>
    <row r="4" spans="1:9" x14ac:dyDescent="0.25">
      <c r="F4" t="s">
        <v>86</v>
      </c>
      <c r="G4" t="s">
        <v>86</v>
      </c>
      <c r="H4" t="s">
        <v>86</v>
      </c>
      <c r="I4" t="s">
        <v>86</v>
      </c>
    </row>
    <row r="5" spans="1:9" x14ac:dyDescent="0.25">
      <c r="F5" t="s">
        <v>86</v>
      </c>
      <c r="G5" t="s">
        <v>86</v>
      </c>
      <c r="H5" t="s">
        <v>86</v>
      </c>
      <c r="I5" t="s">
        <v>86</v>
      </c>
    </row>
    <row r="6" spans="1:9" x14ac:dyDescent="0.25">
      <c r="F6" t="s">
        <v>86</v>
      </c>
      <c r="G6" t="s">
        <v>86</v>
      </c>
      <c r="H6" t="s">
        <v>86</v>
      </c>
      <c r="I6" t="s">
        <v>86</v>
      </c>
    </row>
    <row r="7" spans="1:9" x14ac:dyDescent="0.25">
      <c r="F7" t="s">
        <v>86</v>
      </c>
      <c r="G7" t="s">
        <v>86</v>
      </c>
      <c r="H7" t="s">
        <v>86</v>
      </c>
      <c r="I7" t="s">
        <v>86</v>
      </c>
    </row>
    <row r="8" spans="1:9" x14ac:dyDescent="0.25">
      <c r="F8" t="s">
        <v>86</v>
      </c>
      <c r="G8" t="s">
        <v>86</v>
      </c>
      <c r="H8" t="s">
        <v>86</v>
      </c>
      <c r="I8" t="s">
        <v>86</v>
      </c>
    </row>
    <row r="9" spans="1:9" x14ac:dyDescent="0.25">
      <c r="F9" t="s">
        <v>86</v>
      </c>
      <c r="G9" t="s">
        <v>86</v>
      </c>
      <c r="H9" t="s">
        <v>86</v>
      </c>
      <c r="I9" t="s">
        <v>86</v>
      </c>
    </row>
    <row r="10" spans="1:9" x14ac:dyDescent="0.25">
      <c r="F10" t="s">
        <v>86</v>
      </c>
      <c r="G10" t="s">
        <v>86</v>
      </c>
      <c r="H10" t="s">
        <v>86</v>
      </c>
      <c r="I10" t="s">
        <v>86</v>
      </c>
    </row>
    <row r="11" spans="1:9" x14ac:dyDescent="0.25">
      <c r="F11" t="s">
        <v>86</v>
      </c>
      <c r="G11" t="s">
        <v>86</v>
      </c>
      <c r="H11" t="s">
        <v>86</v>
      </c>
      <c r="I11" t="s">
        <v>86</v>
      </c>
    </row>
    <row r="12" spans="1:9" x14ac:dyDescent="0.25">
      <c r="F12" t="s">
        <v>86</v>
      </c>
      <c r="G12" t="s">
        <v>86</v>
      </c>
      <c r="H12" t="s">
        <v>86</v>
      </c>
      <c r="I12" t="s">
        <v>86</v>
      </c>
    </row>
    <row r="13" spans="1:9" x14ac:dyDescent="0.25">
      <c r="F13" t="s">
        <v>86</v>
      </c>
      <c r="G13" t="s">
        <v>86</v>
      </c>
      <c r="H13" t="s">
        <v>86</v>
      </c>
      <c r="I13" t="s">
        <v>86</v>
      </c>
    </row>
    <row r="14" spans="1:9" x14ac:dyDescent="0.25">
      <c r="F14" t="s">
        <v>86</v>
      </c>
      <c r="G14" t="s">
        <v>86</v>
      </c>
      <c r="H14" t="s">
        <v>86</v>
      </c>
      <c r="I14" t="s">
        <v>86</v>
      </c>
    </row>
    <row r="15" spans="1:9" x14ac:dyDescent="0.25">
      <c r="F15" t="s">
        <v>86</v>
      </c>
      <c r="G15" t="s">
        <v>86</v>
      </c>
      <c r="H15" t="s">
        <v>86</v>
      </c>
      <c r="I15" t="s">
        <v>86</v>
      </c>
    </row>
    <row r="16" spans="1:9" x14ac:dyDescent="0.25">
      <c r="F16" t="s">
        <v>86</v>
      </c>
      <c r="G16" t="s">
        <v>86</v>
      </c>
      <c r="H16" t="s">
        <v>86</v>
      </c>
      <c r="I16" t="s">
        <v>86</v>
      </c>
    </row>
    <row r="17" spans="6:9" x14ac:dyDescent="0.25">
      <c r="F17" t="s">
        <v>86</v>
      </c>
      <c r="G17" t="s">
        <v>86</v>
      </c>
      <c r="H17" t="s">
        <v>86</v>
      </c>
      <c r="I17" t="s">
        <v>86</v>
      </c>
    </row>
    <row r="18" spans="6:9" x14ac:dyDescent="0.25">
      <c r="F18" t="s">
        <v>86</v>
      </c>
      <c r="G18" t="s">
        <v>86</v>
      </c>
      <c r="H18" t="s">
        <v>86</v>
      </c>
      <c r="I18" t="s">
        <v>86</v>
      </c>
    </row>
    <row r="19" spans="6:9" x14ac:dyDescent="0.25">
      <c r="F19" t="s">
        <v>86</v>
      </c>
      <c r="G19" t="s">
        <v>86</v>
      </c>
      <c r="H19" t="s">
        <v>86</v>
      </c>
      <c r="I19" t="s">
        <v>86</v>
      </c>
    </row>
    <row r="20" spans="6:9" x14ac:dyDescent="0.25">
      <c r="F20" t="s">
        <v>86</v>
      </c>
      <c r="G20" t="s">
        <v>86</v>
      </c>
      <c r="H20" t="s">
        <v>86</v>
      </c>
      <c r="I20" t="s">
        <v>86</v>
      </c>
    </row>
    <row r="21" spans="6:9" x14ac:dyDescent="0.25">
      <c r="F21" t="s">
        <v>86</v>
      </c>
      <c r="G21" t="s">
        <v>86</v>
      </c>
      <c r="H21" t="s">
        <v>86</v>
      </c>
      <c r="I21" t="s">
        <v>86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E27"/>
  <sheetViews>
    <sheetView workbookViewId="0"/>
  </sheetViews>
  <sheetFormatPr defaultRowHeight="15" x14ac:dyDescent="0.25"/>
  <cols>
    <col min="1" max="1" width="14.42578125" bestFit="1" customWidth="1"/>
    <col min="2" max="2" width="15.140625" bestFit="1" customWidth="1"/>
    <col min="3" max="3" width="23.85546875" bestFit="1" customWidth="1"/>
    <col min="5" max="5" width="21.5703125" bestFit="1" customWidth="1"/>
  </cols>
  <sheetData>
    <row r="1" spans="1:5" x14ac:dyDescent="0.25">
      <c r="A1" s="68" t="s">
        <v>87</v>
      </c>
      <c r="B1" t="s">
        <v>72</v>
      </c>
      <c r="C1" t="s">
        <v>8</v>
      </c>
      <c r="E1" s="67" t="s">
        <v>88</v>
      </c>
    </row>
    <row r="2" spans="1:5" x14ac:dyDescent="0.25">
      <c r="A2" t="str">
        <f>SUBSTITUTE(tab_resp1liv[[#This Row],[Resp 1°liv2]]," ","")</f>
        <v>C</v>
      </c>
      <c r="B2" t="s">
        <v>89</v>
      </c>
      <c r="C2" t="s">
        <v>89</v>
      </c>
      <c r="E2" s="71" t="s">
        <v>90</v>
      </c>
    </row>
    <row r="3" spans="1:5" x14ac:dyDescent="0.25">
      <c r="A3" t="str">
        <f>SUBSTITUTE(tab_resp1liv[[#This Row],[Resp 1°liv2]]," ","")</f>
        <v>C</v>
      </c>
      <c r="B3" t="s">
        <v>89</v>
      </c>
      <c r="C3" t="s">
        <v>89</v>
      </c>
      <c r="E3" s="71" t="s">
        <v>90</v>
      </c>
    </row>
    <row r="4" spans="1:5" x14ac:dyDescent="0.25">
      <c r="A4" t="str">
        <f>SUBSTITUTE(tab_resp1liv[[#This Row],[Resp 1°liv2]]," ","")</f>
        <v>C</v>
      </c>
      <c r="B4" t="s">
        <v>89</v>
      </c>
      <c r="C4" t="s">
        <v>89</v>
      </c>
      <c r="E4" s="71" t="s">
        <v>90</v>
      </c>
    </row>
    <row r="5" spans="1:5" x14ac:dyDescent="0.25">
      <c r="A5" t="str">
        <f>SUBSTITUTE(tab_resp1liv[[#This Row],[Resp 1°liv2]]," ","")</f>
        <v>C</v>
      </c>
      <c r="B5" t="s">
        <v>89</v>
      </c>
      <c r="C5" t="s">
        <v>89</v>
      </c>
      <c r="E5" s="71" t="s">
        <v>90</v>
      </c>
    </row>
    <row r="6" spans="1:5" x14ac:dyDescent="0.25">
      <c r="A6" t="str">
        <f>SUBSTITUTE(tab_resp1liv[[#This Row],[Resp 1°liv2]]," ","")</f>
        <v>C</v>
      </c>
      <c r="B6" t="s">
        <v>89</v>
      </c>
      <c r="C6" t="s">
        <v>89</v>
      </c>
      <c r="E6" s="71" t="s">
        <v>90</v>
      </c>
    </row>
    <row r="7" spans="1:5" x14ac:dyDescent="0.25">
      <c r="A7" t="str">
        <f>SUBSTITUTE(tab_resp1liv[[#This Row],[Resp 1°liv2]]," ","")</f>
        <v>C</v>
      </c>
      <c r="B7" t="s">
        <v>89</v>
      </c>
      <c r="C7" t="s">
        <v>89</v>
      </c>
      <c r="E7" s="71" t="s">
        <v>90</v>
      </c>
    </row>
    <row r="8" spans="1:5" x14ac:dyDescent="0.25">
      <c r="A8" t="str">
        <f>SUBSTITUTE(tab_resp1liv[[#This Row],[Resp 1°liv2]]," ","")</f>
        <v>C</v>
      </c>
      <c r="B8" t="s">
        <v>89</v>
      </c>
      <c r="C8" t="s">
        <v>89</v>
      </c>
      <c r="E8" s="71" t="s">
        <v>90</v>
      </c>
    </row>
    <row r="9" spans="1:5" x14ac:dyDescent="0.25">
      <c r="A9" t="str">
        <f>SUBSTITUTE(tab_resp1liv[[#This Row],[Resp 1°liv2]]," ","")</f>
        <v>C</v>
      </c>
      <c r="B9" t="s">
        <v>89</v>
      </c>
      <c r="C9" t="s">
        <v>89</v>
      </c>
      <c r="E9" s="71" t="s">
        <v>90</v>
      </c>
    </row>
    <row r="10" spans="1:5" x14ac:dyDescent="0.25">
      <c r="A10" t="str">
        <f>SUBSTITUTE(tab_resp1liv[[#This Row],[Resp 1°liv2]]," ","")</f>
        <v>C</v>
      </c>
      <c r="B10" t="s">
        <v>89</v>
      </c>
      <c r="C10" t="s">
        <v>89</v>
      </c>
      <c r="E10" s="71" t="s">
        <v>90</v>
      </c>
    </row>
    <row r="11" spans="1:5" x14ac:dyDescent="0.25">
      <c r="A11" t="str">
        <f>SUBSTITUTE(tab_resp1liv[[#This Row],[Resp 1°liv2]]," ","")</f>
        <v>C</v>
      </c>
      <c r="B11" t="s">
        <v>89</v>
      </c>
      <c r="C11" t="s">
        <v>89</v>
      </c>
      <c r="E11" s="71" t="s">
        <v>90</v>
      </c>
    </row>
    <row r="12" spans="1:5" x14ac:dyDescent="0.25">
      <c r="A12" t="str">
        <f>SUBSTITUTE(tab_resp1liv[[#This Row],[Resp 1°liv2]]," ","")</f>
        <v>C</v>
      </c>
      <c r="B12" t="s">
        <v>89</v>
      </c>
      <c r="C12" t="s">
        <v>89</v>
      </c>
      <c r="E12" s="71" t="s">
        <v>90</v>
      </c>
    </row>
    <row r="13" spans="1:5" x14ac:dyDescent="0.25">
      <c r="A13" t="str">
        <f>SUBSTITUTE(tab_resp1liv[[#This Row],[Resp 1°liv2]]," ","")</f>
        <v>C</v>
      </c>
      <c r="B13" t="s">
        <v>89</v>
      </c>
      <c r="C13" t="s">
        <v>89</v>
      </c>
      <c r="E13" s="71" t="s">
        <v>90</v>
      </c>
    </row>
    <row r="14" spans="1:5" x14ac:dyDescent="0.25">
      <c r="A14" t="str">
        <f>SUBSTITUTE(tab_resp1liv[[#This Row],[Resp 1°liv2]]," ","")</f>
        <v>C</v>
      </c>
      <c r="B14" t="s">
        <v>89</v>
      </c>
      <c r="C14" t="s">
        <v>89</v>
      </c>
      <c r="E14" s="71" t="s">
        <v>90</v>
      </c>
    </row>
    <row r="15" spans="1:5" x14ac:dyDescent="0.25">
      <c r="A15" t="str">
        <f>SUBSTITUTE(tab_resp1liv[[#This Row],[Resp 1°liv2]]," ","")</f>
        <v>C</v>
      </c>
      <c r="B15" t="s">
        <v>89</v>
      </c>
      <c r="C15" t="s">
        <v>89</v>
      </c>
      <c r="E15" s="71" t="s">
        <v>90</v>
      </c>
    </row>
    <row r="16" spans="1:5" x14ac:dyDescent="0.25">
      <c r="A16" t="str">
        <f>SUBSTITUTE(tab_resp1liv[[#This Row],[Resp 1°liv2]]," ","")</f>
        <v>C</v>
      </c>
      <c r="B16" t="s">
        <v>89</v>
      </c>
      <c r="C16" t="s">
        <v>89</v>
      </c>
      <c r="E16" s="71" t="s">
        <v>90</v>
      </c>
    </row>
    <row r="17" spans="1:5" x14ac:dyDescent="0.25">
      <c r="A17" t="str">
        <f>SUBSTITUTE(tab_resp1liv[[#This Row],[Resp 1°liv2]]," ","")</f>
        <v>C</v>
      </c>
      <c r="B17" t="s">
        <v>89</v>
      </c>
      <c r="C17" t="s">
        <v>89</v>
      </c>
      <c r="E17" s="71" t="s">
        <v>90</v>
      </c>
    </row>
    <row r="18" spans="1:5" x14ac:dyDescent="0.25">
      <c r="A18" t="str">
        <f>SUBSTITUTE(tab_resp1liv[[#This Row],[Resp 1°liv2]]," ","")</f>
        <v>C</v>
      </c>
      <c r="B18" t="s">
        <v>89</v>
      </c>
      <c r="C18" t="s">
        <v>89</v>
      </c>
      <c r="E18" s="71" t="s">
        <v>90</v>
      </c>
    </row>
    <row r="19" spans="1:5" x14ac:dyDescent="0.25">
      <c r="A19" t="str">
        <f>SUBSTITUTE(tab_resp1liv[[#This Row],[Resp 1°liv2]]," ","")</f>
        <v>C</v>
      </c>
      <c r="B19" t="s">
        <v>89</v>
      </c>
      <c r="C19" t="s">
        <v>89</v>
      </c>
      <c r="E19" s="71" t="s">
        <v>90</v>
      </c>
    </row>
    <row r="20" spans="1:5" x14ac:dyDescent="0.25">
      <c r="A20" t="str">
        <f>SUBSTITUTE(tab_resp1liv[[#This Row],[Resp 1°liv2]]," ","")</f>
        <v>C</v>
      </c>
      <c r="B20" t="s">
        <v>89</v>
      </c>
      <c r="C20" t="s">
        <v>89</v>
      </c>
      <c r="E20" s="71" t="s">
        <v>90</v>
      </c>
    </row>
    <row r="21" spans="1:5" x14ac:dyDescent="0.25">
      <c r="A21" t="str">
        <f>SUBSTITUTE(tab_resp1liv[[#This Row],[Resp 1°liv2]]," ","")</f>
        <v>C</v>
      </c>
      <c r="B21" t="s">
        <v>89</v>
      </c>
      <c r="C21" t="s">
        <v>89</v>
      </c>
      <c r="E21" s="71" t="s">
        <v>90</v>
      </c>
    </row>
    <row r="22" spans="1:5" x14ac:dyDescent="0.25">
      <c r="A22" t="str">
        <f>SUBSTITUTE(tab_resp1liv[[#This Row],[Resp 1°liv2]]," ","")</f>
        <v>C</v>
      </c>
      <c r="B22" t="s">
        <v>89</v>
      </c>
      <c r="C22" t="s">
        <v>89</v>
      </c>
      <c r="E22" s="71" t="s">
        <v>90</v>
      </c>
    </row>
    <row r="23" spans="1:5" x14ac:dyDescent="0.25">
      <c r="A23" t="str">
        <f>SUBSTITUTE(tab_resp1liv[[#This Row],[Resp 1°liv2]]," ","")</f>
        <v>C</v>
      </c>
      <c r="B23" t="s">
        <v>89</v>
      </c>
      <c r="C23" t="s">
        <v>89</v>
      </c>
      <c r="E23" s="71" t="s">
        <v>90</v>
      </c>
    </row>
    <row r="24" spans="1:5" x14ac:dyDescent="0.25">
      <c r="A24" t="str">
        <f>SUBSTITUTE(tab_resp1liv[[#This Row],[Resp 1°liv2]]," ","")</f>
        <v>C</v>
      </c>
      <c r="B24" t="s">
        <v>89</v>
      </c>
      <c r="C24" t="s">
        <v>89</v>
      </c>
      <c r="E24" s="71" t="s">
        <v>90</v>
      </c>
    </row>
    <row r="25" spans="1:5" x14ac:dyDescent="0.25">
      <c r="A25" t="str">
        <f>SUBSTITUTE(tab_resp1liv[[#This Row],[Resp 1°liv2]]," ","")</f>
        <v>C</v>
      </c>
      <c r="B25" t="s">
        <v>89</v>
      </c>
      <c r="C25" t="s">
        <v>89</v>
      </c>
      <c r="E25" s="71" t="s">
        <v>90</v>
      </c>
    </row>
    <row r="26" spans="1:5" x14ac:dyDescent="0.25">
      <c r="A26" t="str">
        <f>SUBSTITUTE(tab_resp1liv[[#This Row],[Resp 1°liv2]]," ","")</f>
        <v>C</v>
      </c>
      <c r="B26" t="s">
        <v>89</v>
      </c>
      <c r="C26" t="s">
        <v>89</v>
      </c>
      <c r="E26" s="71" t="s">
        <v>90</v>
      </c>
    </row>
    <row r="27" spans="1:5" x14ac:dyDescent="0.25">
      <c r="A27" t="str">
        <f>SUBSTITUTE(tab_resp1liv[[#This Row],[Resp 1°liv2]]," ","")</f>
        <v>C</v>
      </c>
      <c r="B27" t="s">
        <v>89</v>
      </c>
      <c r="C27" t="s">
        <v>89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3:B363"/>
  <sheetViews>
    <sheetView workbookViewId="0"/>
  </sheetViews>
  <sheetFormatPr defaultRowHeight="15" x14ac:dyDescent="0.25"/>
  <cols>
    <col min="1" max="1" width="14.5703125" bestFit="1" customWidth="1"/>
    <col min="2" max="2" width="40" bestFit="1" customWidth="1"/>
  </cols>
  <sheetData>
    <row r="3" spans="1:2" x14ac:dyDescent="0.25">
      <c r="A3" t="s">
        <v>91</v>
      </c>
      <c r="B3" t="s">
        <v>92</v>
      </c>
    </row>
    <row r="4" spans="1:2" x14ac:dyDescent="0.25">
      <c r="A4" t="s">
        <v>93</v>
      </c>
      <c r="B4" t="s">
        <v>93</v>
      </c>
    </row>
    <row r="5" spans="1:2" x14ac:dyDescent="0.25">
      <c r="A5" t="s">
        <v>93</v>
      </c>
      <c r="B5" t="s">
        <v>93</v>
      </c>
    </row>
    <row r="6" spans="1:2" x14ac:dyDescent="0.25">
      <c r="A6" t="s">
        <v>93</v>
      </c>
      <c r="B6" t="s">
        <v>93</v>
      </c>
    </row>
    <row r="7" spans="1:2" x14ac:dyDescent="0.25">
      <c r="A7" t="s">
        <v>93</v>
      </c>
      <c r="B7" t="s">
        <v>93</v>
      </c>
    </row>
    <row r="8" spans="1:2" x14ac:dyDescent="0.25">
      <c r="A8" t="s">
        <v>93</v>
      </c>
      <c r="B8" t="s">
        <v>93</v>
      </c>
    </row>
    <row r="9" spans="1:2" x14ac:dyDescent="0.25">
      <c r="A9" t="s">
        <v>93</v>
      </c>
      <c r="B9" t="s">
        <v>93</v>
      </c>
    </row>
    <row r="10" spans="1:2" x14ac:dyDescent="0.25">
      <c r="A10" t="s">
        <v>93</v>
      </c>
      <c r="B10" t="s">
        <v>93</v>
      </c>
    </row>
    <row r="11" spans="1:2" x14ac:dyDescent="0.25">
      <c r="A11" t="s">
        <v>93</v>
      </c>
      <c r="B11" t="s">
        <v>93</v>
      </c>
    </row>
    <row r="12" spans="1:2" x14ac:dyDescent="0.25">
      <c r="A12" t="s">
        <v>93</v>
      </c>
      <c r="B12" t="s">
        <v>93</v>
      </c>
    </row>
    <row r="13" spans="1:2" x14ac:dyDescent="0.25">
      <c r="A13" t="s">
        <v>93</v>
      </c>
      <c r="B13" t="s">
        <v>93</v>
      </c>
    </row>
    <row r="14" spans="1:2" x14ac:dyDescent="0.25">
      <c r="A14" t="s">
        <v>93</v>
      </c>
      <c r="B14" t="s">
        <v>93</v>
      </c>
    </row>
    <row r="15" spans="1:2" x14ac:dyDescent="0.25">
      <c r="A15" t="s">
        <v>93</v>
      </c>
      <c r="B15" t="s">
        <v>93</v>
      </c>
    </row>
    <row r="16" spans="1:2" x14ac:dyDescent="0.25">
      <c r="A16" t="s">
        <v>93</v>
      </c>
      <c r="B16" t="s">
        <v>93</v>
      </c>
    </row>
    <row r="17" spans="1:2" x14ac:dyDescent="0.25">
      <c r="A17" t="s">
        <v>93</v>
      </c>
      <c r="B17" t="s">
        <v>93</v>
      </c>
    </row>
    <row r="18" spans="1:2" x14ac:dyDescent="0.25">
      <c r="A18" t="s">
        <v>93</v>
      </c>
      <c r="B18" t="s">
        <v>93</v>
      </c>
    </row>
    <row r="19" spans="1:2" x14ac:dyDescent="0.25">
      <c r="A19" t="s">
        <v>93</v>
      </c>
      <c r="B19" t="s">
        <v>93</v>
      </c>
    </row>
    <row r="20" spans="1:2" x14ac:dyDescent="0.25">
      <c r="A20" t="s">
        <v>93</v>
      </c>
      <c r="B20" t="s">
        <v>93</v>
      </c>
    </row>
    <row r="21" spans="1:2" x14ac:dyDescent="0.25">
      <c r="A21" t="s">
        <v>93</v>
      </c>
      <c r="B21" t="s">
        <v>93</v>
      </c>
    </row>
    <row r="22" spans="1:2" x14ac:dyDescent="0.25">
      <c r="A22" t="s">
        <v>93</v>
      </c>
      <c r="B22" t="s">
        <v>93</v>
      </c>
    </row>
    <row r="23" spans="1:2" x14ac:dyDescent="0.25">
      <c r="A23" t="s">
        <v>93</v>
      </c>
      <c r="B23" t="s">
        <v>93</v>
      </c>
    </row>
    <row r="24" spans="1:2" x14ac:dyDescent="0.25">
      <c r="A24" t="s">
        <v>93</v>
      </c>
      <c r="B24" t="s">
        <v>93</v>
      </c>
    </row>
    <row r="25" spans="1:2" x14ac:dyDescent="0.25">
      <c r="A25" t="s">
        <v>93</v>
      </c>
      <c r="B25" t="s">
        <v>93</v>
      </c>
    </row>
    <row r="26" spans="1:2" x14ac:dyDescent="0.25">
      <c r="A26" t="s">
        <v>93</v>
      </c>
      <c r="B26" t="s">
        <v>93</v>
      </c>
    </row>
    <row r="27" spans="1:2" x14ac:dyDescent="0.25">
      <c r="A27" t="s">
        <v>93</v>
      </c>
      <c r="B27" t="s">
        <v>93</v>
      </c>
    </row>
    <row r="28" spans="1:2" x14ac:dyDescent="0.25">
      <c r="A28" t="s">
        <v>93</v>
      </c>
      <c r="B28" t="s">
        <v>93</v>
      </c>
    </row>
    <row r="29" spans="1:2" x14ac:dyDescent="0.25">
      <c r="A29" t="s">
        <v>93</v>
      </c>
      <c r="B29" t="s">
        <v>93</v>
      </c>
    </row>
    <row r="30" spans="1:2" x14ac:dyDescent="0.25">
      <c r="A30" t="s">
        <v>93</v>
      </c>
      <c r="B30" t="s">
        <v>93</v>
      </c>
    </row>
    <row r="31" spans="1:2" x14ac:dyDescent="0.25">
      <c r="A31" t="s">
        <v>93</v>
      </c>
      <c r="B31" t="s">
        <v>93</v>
      </c>
    </row>
    <row r="32" spans="1:2" x14ac:dyDescent="0.25">
      <c r="A32" t="s">
        <v>93</v>
      </c>
      <c r="B32" t="s">
        <v>93</v>
      </c>
    </row>
    <row r="33" spans="1:2" x14ac:dyDescent="0.25">
      <c r="A33" t="s">
        <v>93</v>
      </c>
      <c r="B33" t="s">
        <v>93</v>
      </c>
    </row>
    <row r="34" spans="1:2" x14ac:dyDescent="0.25">
      <c r="A34" t="s">
        <v>93</v>
      </c>
      <c r="B34" t="s">
        <v>93</v>
      </c>
    </row>
    <row r="35" spans="1:2" x14ac:dyDescent="0.25">
      <c r="A35" t="s">
        <v>93</v>
      </c>
      <c r="B35" t="s">
        <v>93</v>
      </c>
    </row>
    <row r="36" spans="1:2" x14ac:dyDescent="0.25">
      <c r="A36" t="s">
        <v>93</v>
      </c>
      <c r="B36" t="s">
        <v>93</v>
      </c>
    </row>
    <row r="37" spans="1:2" x14ac:dyDescent="0.25">
      <c r="A37" t="s">
        <v>93</v>
      </c>
      <c r="B37" t="s">
        <v>93</v>
      </c>
    </row>
    <row r="38" spans="1:2" x14ac:dyDescent="0.25">
      <c r="A38" t="s">
        <v>93</v>
      </c>
      <c r="B38" t="s">
        <v>93</v>
      </c>
    </row>
    <row r="39" spans="1:2" x14ac:dyDescent="0.25">
      <c r="A39" t="s">
        <v>93</v>
      </c>
      <c r="B39" t="s">
        <v>93</v>
      </c>
    </row>
    <row r="40" spans="1:2" x14ac:dyDescent="0.25">
      <c r="A40" t="s">
        <v>93</v>
      </c>
      <c r="B40" t="s">
        <v>93</v>
      </c>
    </row>
    <row r="41" spans="1:2" x14ac:dyDescent="0.25">
      <c r="A41" t="s">
        <v>93</v>
      </c>
      <c r="B41" t="s">
        <v>93</v>
      </c>
    </row>
    <row r="42" spans="1:2" x14ac:dyDescent="0.25">
      <c r="A42" t="s">
        <v>93</v>
      </c>
      <c r="B42" t="s">
        <v>93</v>
      </c>
    </row>
    <row r="43" spans="1:2" x14ac:dyDescent="0.25">
      <c r="A43" t="s">
        <v>93</v>
      </c>
      <c r="B43" t="s">
        <v>93</v>
      </c>
    </row>
    <row r="44" spans="1:2" x14ac:dyDescent="0.25">
      <c r="A44" t="s">
        <v>93</v>
      </c>
      <c r="B44" t="s">
        <v>93</v>
      </c>
    </row>
    <row r="45" spans="1:2" x14ac:dyDescent="0.25">
      <c r="A45" t="s">
        <v>93</v>
      </c>
      <c r="B45" t="s">
        <v>93</v>
      </c>
    </row>
    <row r="46" spans="1:2" x14ac:dyDescent="0.25">
      <c r="A46" t="s">
        <v>93</v>
      </c>
      <c r="B46" t="s">
        <v>93</v>
      </c>
    </row>
    <row r="47" spans="1:2" x14ac:dyDescent="0.25">
      <c r="A47" t="s">
        <v>93</v>
      </c>
      <c r="B47" t="s">
        <v>93</v>
      </c>
    </row>
    <row r="48" spans="1:2" x14ac:dyDescent="0.25">
      <c r="A48" t="s">
        <v>93</v>
      </c>
      <c r="B48" t="s">
        <v>93</v>
      </c>
    </row>
    <row r="49" spans="1:2" x14ac:dyDescent="0.25">
      <c r="A49" t="s">
        <v>93</v>
      </c>
      <c r="B49" t="s">
        <v>93</v>
      </c>
    </row>
    <row r="50" spans="1:2" x14ac:dyDescent="0.25">
      <c r="A50" t="s">
        <v>93</v>
      </c>
      <c r="B50" t="s">
        <v>93</v>
      </c>
    </row>
    <row r="51" spans="1:2" x14ac:dyDescent="0.25">
      <c r="A51" t="s">
        <v>93</v>
      </c>
      <c r="B51" t="s">
        <v>93</v>
      </c>
    </row>
    <row r="52" spans="1:2" x14ac:dyDescent="0.25">
      <c r="A52" t="s">
        <v>93</v>
      </c>
      <c r="B52" t="s">
        <v>93</v>
      </c>
    </row>
    <row r="53" spans="1:2" x14ac:dyDescent="0.25">
      <c r="A53" t="s">
        <v>93</v>
      </c>
      <c r="B53" t="s">
        <v>93</v>
      </c>
    </row>
    <row r="54" spans="1:2" x14ac:dyDescent="0.25">
      <c r="A54" t="s">
        <v>93</v>
      </c>
      <c r="B54" t="s">
        <v>93</v>
      </c>
    </row>
    <row r="55" spans="1:2" x14ac:dyDescent="0.25">
      <c r="A55" t="s">
        <v>93</v>
      </c>
      <c r="B55" t="s">
        <v>93</v>
      </c>
    </row>
    <row r="56" spans="1:2" x14ac:dyDescent="0.25">
      <c r="A56" t="s">
        <v>93</v>
      </c>
      <c r="B56" t="s">
        <v>93</v>
      </c>
    </row>
    <row r="57" spans="1:2" x14ac:dyDescent="0.25">
      <c r="A57" t="s">
        <v>93</v>
      </c>
      <c r="B57" t="s">
        <v>93</v>
      </c>
    </row>
    <row r="58" spans="1:2" x14ac:dyDescent="0.25">
      <c r="A58" t="s">
        <v>93</v>
      </c>
      <c r="B58" t="s">
        <v>93</v>
      </c>
    </row>
    <row r="59" spans="1:2" x14ac:dyDescent="0.25">
      <c r="A59" t="s">
        <v>93</v>
      </c>
      <c r="B59" t="s">
        <v>93</v>
      </c>
    </row>
    <row r="60" spans="1:2" x14ac:dyDescent="0.25">
      <c r="A60" t="s">
        <v>93</v>
      </c>
      <c r="B60" t="s">
        <v>93</v>
      </c>
    </row>
    <row r="61" spans="1:2" x14ac:dyDescent="0.25">
      <c r="A61" t="s">
        <v>93</v>
      </c>
      <c r="B61" t="s">
        <v>93</v>
      </c>
    </row>
    <row r="62" spans="1:2" x14ac:dyDescent="0.25">
      <c r="A62" t="s">
        <v>93</v>
      </c>
      <c r="B62" t="s">
        <v>93</v>
      </c>
    </row>
    <row r="63" spans="1:2" x14ac:dyDescent="0.25">
      <c r="A63" t="s">
        <v>93</v>
      </c>
      <c r="B63" t="s">
        <v>93</v>
      </c>
    </row>
    <row r="64" spans="1:2" x14ac:dyDescent="0.25">
      <c r="A64" t="s">
        <v>93</v>
      </c>
      <c r="B64" t="s">
        <v>93</v>
      </c>
    </row>
    <row r="65" spans="1:2" x14ac:dyDescent="0.25">
      <c r="A65" t="s">
        <v>93</v>
      </c>
      <c r="B65" t="s">
        <v>93</v>
      </c>
    </row>
    <row r="66" spans="1:2" x14ac:dyDescent="0.25">
      <c r="A66" t="s">
        <v>93</v>
      </c>
      <c r="B66" t="s">
        <v>93</v>
      </c>
    </row>
    <row r="67" spans="1:2" x14ac:dyDescent="0.25">
      <c r="A67" t="s">
        <v>93</v>
      </c>
      <c r="B67" t="s">
        <v>93</v>
      </c>
    </row>
    <row r="68" spans="1:2" x14ac:dyDescent="0.25">
      <c r="A68" t="s">
        <v>93</v>
      </c>
      <c r="B68" t="s">
        <v>93</v>
      </c>
    </row>
    <row r="69" spans="1:2" x14ac:dyDescent="0.25">
      <c r="A69" t="s">
        <v>93</v>
      </c>
      <c r="B69" t="s">
        <v>93</v>
      </c>
    </row>
    <row r="70" spans="1:2" x14ac:dyDescent="0.25">
      <c r="A70" t="s">
        <v>93</v>
      </c>
      <c r="B70" t="s">
        <v>93</v>
      </c>
    </row>
    <row r="71" spans="1:2" x14ac:dyDescent="0.25">
      <c r="A71" t="s">
        <v>93</v>
      </c>
      <c r="B71" t="s">
        <v>93</v>
      </c>
    </row>
    <row r="72" spans="1:2" x14ac:dyDescent="0.25">
      <c r="A72" t="s">
        <v>93</v>
      </c>
      <c r="B72" t="s">
        <v>93</v>
      </c>
    </row>
    <row r="73" spans="1:2" x14ac:dyDescent="0.25">
      <c r="A73" t="s">
        <v>93</v>
      </c>
      <c r="B73" t="s">
        <v>93</v>
      </c>
    </row>
    <row r="74" spans="1:2" x14ac:dyDescent="0.25">
      <c r="A74" t="s">
        <v>93</v>
      </c>
      <c r="B74" t="s">
        <v>93</v>
      </c>
    </row>
    <row r="75" spans="1:2" x14ac:dyDescent="0.25">
      <c r="A75" t="s">
        <v>93</v>
      </c>
      <c r="B75" t="s">
        <v>93</v>
      </c>
    </row>
    <row r="76" spans="1:2" x14ac:dyDescent="0.25">
      <c r="A76" t="s">
        <v>93</v>
      </c>
      <c r="B76" t="s">
        <v>93</v>
      </c>
    </row>
    <row r="77" spans="1:2" x14ac:dyDescent="0.25">
      <c r="A77" t="s">
        <v>93</v>
      </c>
      <c r="B77" t="s">
        <v>93</v>
      </c>
    </row>
    <row r="78" spans="1:2" x14ac:dyDescent="0.25">
      <c r="A78" t="s">
        <v>93</v>
      </c>
      <c r="B78" t="s">
        <v>93</v>
      </c>
    </row>
    <row r="79" spans="1:2" x14ac:dyDescent="0.25">
      <c r="A79" t="s">
        <v>93</v>
      </c>
      <c r="B79" t="s">
        <v>93</v>
      </c>
    </row>
    <row r="80" spans="1:2" x14ac:dyDescent="0.25">
      <c r="A80" t="s">
        <v>93</v>
      </c>
      <c r="B80" t="s">
        <v>93</v>
      </c>
    </row>
    <row r="81" spans="1:2" x14ac:dyDescent="0.25">
      <c r="A81" t="s">
        <v>93</v>
      </c>
      <c r="B81" t="s">
        <v>93</v>
      </c>
    </row>
    <row r="82" spans="1:2" x14ac:dyDescent="0.25">
      <c r="A82" t="s">
        <v>93</v>
      </c>
      <c r="B82" t="s">
        <v>93</v>
      </c>
    </row>
    <row r="83" spans="1:2" x14ac:dyDescent="0.25">
      <c r="A83" t="s">
        <v>93</v>
      </c>
      <c r="B83" t="s">
        <v>93</v>
      </c>
    </row>
    <row r="84" spans="1:2" x14ac:dyDescent="0.25">
      <c r="A84" t="s">
        <v>93</v>
      </c>
      <c r="B84" t="s">
        <v>93</v>
      </c>
    </row>
    <row r="85" spans="1:2" x14ac:dyDescent="0.25">
      <c r="A85" t="s">
        <v>93</v>
      </c>
      <c r="B85" t="s">
        <v>93</v>
      </c>
    </row>
    <row r="86" spans="1:2" x14ac:dyDescent="0.25">
      <c r="A86" t="s">
        <v>93</v>
      </c>
      <c r="B86" t="s">
        <v>93</v>
      </c>
    </row>
    <row r="87" spans="1:2" x14ac:dyDescent="0.25">
      <c r="A87" t="s">
        <v>93</v>
      </c>
      <c r="B87" t="s">
        <v>93</v>
      </c>
    </row>
    <row r="88" spans="1:2" x14ac:dyDescent="0.25">
      <c r="A88" t="s">
        <v>93</v>
      </c>
      <c r="B88" t="s">
        <v>93</v>
      </c>
    </row>
    <row r="89" spans="1:2" x14ac:dyDescent="0.25">
      <c r="A89" t="s">
        <v>93</v>
      </c>
      <c r="B89" t="s">
        <v>93</v>
      </c>
    </row>
    <row r="90" spans="1:2" x14ac:dyDescent="0.25">
      <c r="A90" t="s">
        <v>93</v>
      </c>
      <c r="B90" t="s">
        <v>93</v>
      </c>
    </row>
    <row r="91" spans="1:2" x14ac:dyDescent="0.25">
      <c r="A91" t="s">
        <v>93</v>
      </c>
      <c r="B91" t="s">
        <v>93</v>
      </c>
    </row>
    <row r="92" spans="1:2" x14ac:dyDescent="0.25">
      <c r="A92" t="s">
        <v>93</v>
      </c>
      <c r="B92" t="s">
        <v>93</v>
      </c>
    </row>
    <row r="93" spans="1:2" x14ac:dyDescent="0.25">
      <c r="A93" t="s">
        <v>93</v>
      </c>
      <c r="B93" t="s">
        <v>93</v>
      </c>
    </row>
    <row r="94" spans="1:2" x14ac:dyDescent="0.25">
      <c r="A94" t="s">
        <v>93</v>
      </c>
      <c r="B94" t="s">
        <v>93</v>
      </c>
    </row>
    <row r="95" spans="1:2" x14ac:dyDescent="0.25">
      <c r="A95" t="s">
        <v>93</v>
      </c>
      <c r="B95" t="s">
        <v>93</v>
      </c>
    </row>
    <row r="96" spans="1:2" x14ac:dyDescent="0.25">
      <c r="A96" t="s">
        <v>93</v>
      </c>
      <c r="B96" t="s">
        <v>93</v>
      </c>
    </row>
    <row r="97" spans="1:2" x14ac:dyDescent="0.25">
      <c r="A97" t="s">
        <v>93</v>
      </c>
      <c r="B97" t="s">
        <v>93</v>
      </c>
    </row>
    <row r="98" spans="1:2" x14ac:dyDescent="0.25">
      <c r="A98" t="s">
        <v>93</v>
      </c>
      <c r="B98" t="s">
        <v>93</v>
      </c>
    </row>
    <row r="99" spans="1:2" x14ac:dyDescent="0.25">
      <c r="A99" t="s">
        <v>93</v>
      </c>
      <c r="B99" t="s">
        <v>93</v>
      </c>
    </row>
    <row r="100" spans="1:2" x14ac:dyDescent="0.25">
      <c r="A100" t="s">
        <v>93</v>
      </c>
      <c r="B100" t="s">
        <v>93</v>
      </c>
    </row>
    <row r="101" spans="1:2" x14ac:dyDescent="0.25">
      <c r="A101" t="s">
        <v>93</v>
      </c>
      <c r="B101" t="s">
        <v>93</v>
      </c>
    </row>
    <row r="102" spans="1:2" x14ac:dyDescent="0.25">
      <c r="A102" t="s">
        <v>93</v>
      </c>
      <c r="B102" t="s">
        <v>93</v>
      </c>
    </row>
    <row r="103" spans="1:2" x14ac:dyDescent="0.25">
      <c r="A103" t="s">
        <v>93</v>
      </c>
      <c r="B103" t="s">
        <v>93</v>
      </c>
    </row>
    <row r="104" spans="1:2" x14ac:dyDescent="0.25">
      <c r="A104" t="s">
        <v>93</v>
      </c>
      <c r="B104" t="s">
        <v>93</v>
      </c>
    </row>
    <row r="105" spans="1:2" x14ac:dyDescent="0.25">
      <c r="A105" t="s">
        <v>93</v>
      </c>
      <c r="B105" t="s">
        <v>93</v>
      </c>
    </row>
    <row r="106" spans="1:2" x14ac:dyDescent="0.25">
      <c r="A106" t="s">
        <v>93</v>
      </c>
      <c r="B106" t="s">
        <v>93</v>
      </c>
    </row>
    <row r="107" spans="1:2" x14ac:dyDescent="0.25">
      <c r="A107" t="s">
        <v>93</v>
      </c>
      <c r="B107" t="s">
        <v>93</v>
      </c>
    </row>
    <row r="108" spans="1:2" x14ac:dyDescent="0.25">
      <c r="A108" t="s">
        <v>93</v>
      </c>
      <c r="B108" t="s">
        <v>93</v>
      </c>
    </row>
    <row r="109" spans="1:2" x14ac:dyDescent="0.25">
      <c r="A109" t="s">
        <v>93</v>
      </c>
      <c r="B109" t="s">
        <v>93</v>
      </c>
    </row>
    <row r="110" spans="1:2" x14ac:dyDescent="0.25">
      <c r="A110" t="s">
        <v>93</v>
      </c>
      <c r="B110" t="s">
        <v>93</v>
      </c>
    </row>
    <row r="111" spans="1:2" x14ac:dyDescent="0.25">
      <c r="A111" t="s">
        <v>93</v>
      </c>
      <c r="B111" t="s">
        <v>93</v>
      </c>
    </row>
    <row r="112" spans="1:2" x14ac:dyDescent="0.25">
      <c r="A112" t="s">
        <v>93</v>
      </c>
      <c r="B112" t="s">
        <v>93</v>
      </c>
    </row>
    <row r="113" spans="1:2" x14ac:dyDescent="0.25">
      <c r="A113" t="s">
        <v>93</v>
      </c>
      <c r="B113" t="s">
        <v>93</v>
      </c>
    </row>
    <row r="114" spans="1:2" x14ac:dyDescent="0.25">
      <c r="A114" t="s">
        <v>93</v>
      </c>
      <c r="B114" t="s">
        <v>93</v>
      </c>
    </row>
    <row r="115" spans="1:2" x14ac:dyDescent="0.25">
      <c r="A115" t="s">
        <v>93</v>
      </c>
      <c r="B115" t="s">
        <v>93</v>
      </c>
    </row>
    <row r="116" spans="1:2" x14ac:dyDescent="0.25">
      <c r="A116" t="s">
        <v>93</v>
      </c>
      <c r="B116" t="s">
        <v>93</v>
      </c>
    </row>
    <row r="117" spans="1:2" x14ac:dyDescent="0.25">
      <c r="A117" t="s">
        <v>93</v>
      </c>
      <c r="B117" t="s">
        <v>93</v>
      </c>
    </row>
    <row r="118" spans="1:2" x14ac:dyDescent="0.25">
      <c r="A118" t="s">
        <v>93</v>
      </c>
      <c r="B118" t="s">
        <v>93</v>
      </c>
    </row>
    <row r="119" spans="1:2" x14ac:dyDescent="0.25">
      <c r="A119" t="s">
        <v>93</v>
      </c>
      <c r="B119" t="s">
        <v>93</v>
      </c>
    </row>
    <row r="120" spans="1:2" x14ac:dyDescent="0.25">
      <c r="A120" t="s">
        <v>93</v>
      </c>
      <c r="B120" t="s">
        <v>93</v>
      </c>
    </row>
    <row r="121" spans="1:2" x14ac:dyDescent="0.25">
      <c r="A121" t="s">
        <v>93</v>
      </c>
      <c r="B121" t="s">
        <v>93</v>
      </c>
    </row>
    <row r="122" spans="1:2" x14ac:dyDescent="0.25">
      <c r="A122" t="s">
        <v>93</v>
      </c>
      <c r="B122" t="s">
        <v>93</v>
      </c>
    </row>
    <row r="123" spans="1:2" x14ac:dyDescent="0.25">
      <c r="A123" t="s">
        <v>93</v>
      </c>
      <c r="B123" t="s">
        <v>93</v>
      </c>
    </row>
    <row r="124" spans="1:2" x14ac:dyDescent="0.25">
      <c r="A124" t="s">
        <v>93</v>
      </c>
      <c r="B124" t="s">
        <v>93</v>
      </c>
    </row>
    <row r="125" spans="1:2" x14ac:dyDescent="0.25">
      <c r="A125" t="s">
        <v>93</v>
      </c>
      <c r="B125" t="s">
        <v>93</v>
      </c>
    </row>
    <row r="126" spans="1:2" x14ac:dyDescent="0.25">
      <c r="A126" t="s">
        <v>93</v>
      </c>
      <c r="B126" t="s">
        <v>93</v>
      </c>
    </row>
    <row r="127" spans="1:2" x14ac:dyDescent="0.25">
      <c r="A127" t="s">
        <v>93</v>
      </c>
      <c r="B127" t="s">
        <v>93</v>
      </c>
    </row>
    <row r="128" spans="1:2" x14ac:dyDescent="0.25">
      <c r="A128" t="s">
        <v>93</v>
      </c>
      <c r="B128" t="s">
        <v>93</v>
      </c>
    </row>
    <row r="129" spans="1:2" x14ac:dyDescent="0.25">
      <c r="A129" t="s">
        <v>93</v>
      </c>
      <c r="B129" t="s">
        <v>93</v>
      </c>
    </row>
    <row r="130" spans="1:2" x14ac:dyDescent="0.25">
      <c r="A130" t="s">
        <v>93</v>
      </c>
      <c r="B130" t="s">
        <v>93</v>
      </c>
    </row>
    <row r="131" spans="1:2" x14ac:dyDescent="0.25">
      <c r="A131" t="s">
        <v>93</v>
      </c>
      <c r="B131" t="s">
        <v>93</v>
      </c>
    </row>
    <row r="132" spans="1:2" x14ac:dyDescent="0.25">
      <c r="A132" t="s">
        <v>93</v>
      </c>
      <c r="B132" t="s">
        <v>93</v>
      </c>
    </row>
    <row r="133" spans="1:2" x14ac:dyDescent="0.25">
      <c r="A133" t="s">
        <v>93</v>
      </c>
      <c r="B133" t="s">
        <v>93</v>
      </c>
    </row>
    <row r="134" spans="1:2" x14ac:dyDescent="0.25">
      <c r="A134" t="s">
        <v>93</v>
      </c>
      <c r="B134" t="s">
        <v>93</v>
      </c>
    </row>
    <row r="135" spans="1:2" x14ac:dyDescent="0.25">
      <c r="A135" t="s">
        <v>93</v>
      </c>
      <c r="B135" t="s">
        <v>93</v>
      </c>
    </row>
    <row r="136" spans="1:2" x14ac:dyDescent="0.25">
      <c r="A136" t="s">
        <v>93</v>
      </c>
      <c r="B136" t="s">
        <v>93</v>
      </c>
    </row>
    <row r="137" spans="1:2" x14ac:dyDescent="0.25">
      <c r="A137" t="s">
        <v>93</v>
      </c>
      <c r="B137" t="s">
        <v>93</v>
      </c>
    </row>
    <row r="138" spans="1:2" x14ac:dyDescent="0.25">
      <c r="A138" t="s">
        <v>93</v>
      </c>
      <c r="B138" t="s">
        <v>93</v>
      </c>
    </row>
    <row r="139" spans="1:2" x14ac:dyDescent="0.25">
      <c r="A139" t="s">
        <v>93</v>
      </c>
      <c r="B139" t="s">
        <v>93</v>
      </c>
    </row>
    <row r="140" spans="1:2" x14ac:dyDescent="0.25">
      <c r="A140" t="s">
        <v>93</v>
      </c>
      <c r="B140" t="s">
        <v>93</v>
      </c>
    </row>
    <row r="141" spans="1:2" x14ac:dyDescent="0.25">
      <c r="A141" t="s">
        <v>93</v>
      </c>
      <c r="B141" t="s">
        <v>93</v>
      </c>
    </row>
    <row r="142" spans="1:2" x14ac:dyDescent="0.25">
      <c r="A142" t="s">
        <v>93</v>
      </c>
      <c r="B142" t="s">
        <v>93</v>
      </c>
    </row>
    <row r="143" spans="1:2" x14ac:dyDescent="0.25">
      <c r="A143" t="s">
        <v>93</v>
      </c>
      <c r="B143" t="s">
        <v>93</v>
      </c>
    </row>
    <row r="144" spans="1:2" x14ac:dyDescent="0.25">
      <c r="A144" t="s">
        <v>93</v>
      </c>
      <c r="B144" t="s">
        <v>93</v>
      </c>
    </row>
    <row r="145" spans="1:2" x14ac:dyDescent="0.25">
      <c r="A145" t="s">
        <v>93</v>
      </c>
      <c r="B145" t="s">
        <v>93</v>
      </c>
    </row>
    <row r="146" spans="1:2" x14ac:dyDescent="0.25">
      <c r="A146" t="s">
        <v>93</v>
      </c>
      <c r="B146" t="s">
        <v>93</v>
      </c>
    </row>
    <row r="147" spans="1:2" x14ac:dyDescent="0.25">
      <c r="A147" t="s">
        <v>93</v>
      </c>
      <c r="B147" t="s">
        <v>93</v>
      </c>
    </row>
    <row r="148" spans="1:2" x14ac:dyDescent="0.25">
      <c r="A148" t="s">
        <v>93</v>
      </c>
      <c r="B148" t="s">
        <v>93</v>
      </c>
    </row>
    <row r="149" spans="1:2" x14ac:dyDescent="0.25">
      <c r="A149" t="s">
        <v>93</v>
      </c>
      <c r="B149" t="s">
        <v>93</v>
      </c>
    </row>
    <row r="150" spans="1:2" x14ac:dyDescent="0.25">
      <c r="A150" t="s">
        <v>93</v>
      </c>
      <c r="B150" t="s">
        <v>93</v>
      </c>
    </row>
    <row r="151" spans="1:2" x14ac:dyDescent="0.25">
      <c r="A151" t="s">
        <v>93</v>
      </c>
      <c r="B151" t="s">
        <v>93</v>
      </c>
    </row>
    <row r="152" spans="1:2" x14ac:dyDescent="0.25">
      <c r="A152" t="s">
        <v>93</v>
      </c>
      <c r="B152" t="s">
        <v>93</v>
      </c>
    </row>
    <row r="153" spans="1:2" x14ac:dyDescent="0.25">
      <c r="A153" t="s">
        <v>93</v>
      </c>
      <c r="B153" t="s">
        <v>93</v>
      </c>
    </row>
    <row r="154" spans="1:2" x14ac:dyDescent="0.25">
      <c r="A154" t="s">
        <v>93</v>
      </c>
      <c r="B154" t="s">
        <v>93</v>
      </c>
    </row>
    <row r="155" spans="1:2" x14ac:dyDescent="0.25">
      <c r="A155" t="s">
        <v>93</v>
      </c>
      <c r="B155" t="s">
        <v>93</v>
      </c>
    </row>
    <row r="156" spans="1:2" x14ac:dyDescent="0.25">
      <c r="A156" t="s">
        <v>93</v>
      </c>
      <c r="B156" t="s">
        <v>93</v>
      </c>
    </row>
    <row r="157" spans="1:2" x14ac:dyDescent="0.25">
      <c r="A157" t="s">
        <v>93</v>
      </c>
      <c r="B157" t="s">
        <v>93</v>
      </c>
    </row>
    <row r="158" spans="1:2" x14ac:dyDescent="0.25">
      <c r="A158" t="s">
        <v>93</v>
      </c>
      <c r="B158" t="s">
        <v>93</v>
      </c>
    </row>
    <row r="159" spans="1:2" x14ac:dyDescent="0.25">
      <c r="A159" t="s">
        <v>93</v>
      </c>
      <c r="B159" t="s">
        <v>93</v>
      </c>
    </row>
    <row r="160" spans="1:2" x14ac:dyDescent="0.25">
      <c r="A160" t="s">
        <v>93</v>
      </c>
      <c r="B160" t="s">
        <v>93</v>
      </c>
    </row>
    <row r="161" spans="1:2" x14ac:dyDescent="0.25">
      <c r="A161" t="s">
        <v>93</v>
      </c>
      <c r="B161" t="s">
        <v>93</v>
      </c>
    </row>
    <row r="162" spans="1:2" x14ac:dyDescent="0.25">
      <c r="A162" t="s">
        <v>93</v>
      </c>
      <c r="B162" t="s">
        <v>93</v>
      </c>
    </row>
    <row r="163" spans="1:2" x14ac:dyDescent="0.25">
      <c r="A163" t="s">
        <v>93</v>
      </c>
      <c r="B163" t="s">
        <v>93</v>
      </c>
    </row>
    <row r="164" spans="1:2" x14ac:dyDescent="0.25">
      <c r="A164" t="s">
        <v>93</v>
      </c>
      <c r="B164" t="s">
        <v>93</v>
      </c>
    </row>
    <row r="165" spans="1:2" x14ac:dyDescent="0.25">
      <c r="A165" t="s">
        <v>93</v>
      </c>
      <c r="B165" t="s">
        <v>93</v>
      </c>
    </row>
    <row r="166" spans="1:2" x14ac:dyDescent="0.25">
      <c r="A166" t="s">
        <v>93</v>
      </c>
      <c r="B166" t="s">
        <v>93</v>
      </c>
    </row>
    <row r="167" spans="1:2" x14ac:dyDescent="0.25">
      <c r="A167" t="s">
        <v>93</v>
      </c>
      <c r="B167" t="s">
        <v>93</v>
      </c>
    </row>
    <row r="168" spans="1:2" x14ac:dyDescent="0.25">
      <c r="A168" t="s">
        <v>93</v>
      </c>
      <c r="B168" t="s">
        <v>93</v>
      </c>
    </row>
    <row r="169" spans="1:2" x14ac:dyDescent="0.25">
      <c r="A169" t="s">
        <v>93</v>
      </c>
      <c r="B169" t="s">
        <v>93</v>
      </c>
    </row>
    <row r="170" spans="1:2" x14ac:dyDescent="0.25">
      <c r="A170" t="s">
        <v>93</v>
      </c>
      <c r="B170" t="s">
        <v>93</v>
      </c>
    </row>
    <row r="171" spans="1:2" x14ac:dyDescent="0.25">
      <c r="A171" t="s">
        <v>93</v>
      </c>
      <c r="B171" t="s">
        <v>93</v>
      </c>
    </row>
    <row r="172" spans="1:2" x14ac:dyDescent="0.25">
      <c r="A172" t="s">
        <v>93</v>
      </c>
      <c r="B172" t="s">
        <v>93</v>
      </c>
    </row>
    <row r="173" spans="1:2" x14ac:dyDescent="0.25">
      <c r="A173" t="s">
        <v>93</v>
      </c>
      <c r="B173" t="s">
        <v>93</v>
      </c>
    </row>
    <row r="174" spans="1:2" x14ac:dyDescent="0.25">
      <c r="A174" t="s">
        <v>93</v>
      </c>
      <c r="B174" t="s">
        <v>93</v>
      </c>
    </row>
    <row r="175" spans="1:2" x14ac:dyDescent="0.25">
      <c r="A175" t="s">
        <v>93</v>
      </c>
      <c r="B175" t="s">
        <v>93</v>
      </c>
    </row>
    <row r="176" spans="1:2" x14ac:dyDescent="0.25">
      <c r="A176" t="s">
        <v>93</v>
      </c>
      <c r="B176" t="s">
        <v>93</v>
      </c>
    </row>
    <row r="177" spans="1:2" x14ac:dyDescent="0.25">
      <c r="A177" t="s">
        <v>93</v>
      </c>
      <c r="B177" t="s">
        <v>93</v>
      </c>
    </row>
    <row r="178" spans="1:2" x14ac:dyDescent="0.25">
      <c r="A178" t="s">
        <v>93</v>
      </c>
      <c r="B178" t="s">
        <v>93</v>
      </c>
    </row>
    <row r="179" spans="1:2" x14ac:dyDescent="0.25">
      <c r="A179" t="s">
        <v>93</v>
      </c>
      <c r="B179" t="s">
        <v>93</v>
      </c>
    </row>
    <row r="180" spans="1:2" x14ac:dyDescent="0.25">
      <c r="A180" t="s">
        <v>93</v>
      </c>
      <c r="B180" t="s">
        <v>93</v>
      </c>
    </row>
    <row r="181" spans="1:2" x14ac:dyDescent="0.25">
      <c r="A181" t="s">
        <v>93</v>
      </c>
      <c r="B181" t="s">
        <v>93</v>
      </c>
    </row>
    <row r="182" spans="1:2" x14ac:dyDescent="0.25">
      <c r="A182" t="s">
        <v>93</v>
      </c>
      <c r="B182" t="s">
        <v>93</v>
      </c>
    </row>
    <row r="183" spans="1:2" x14ac:dyDescent="0.25">
      <c r="A183" t="s">
        <v>93</v>
      </c>
      <c r="B183" t="s">
        <v>93</v>
      </c>
    </row>
    <row r="184" spans="1:2" x14ac:dyDescent="0.25">
      <c r="A184" t="s">
        <v>93</v>
      </c>
      <c r="B184" t="s">
        <v>93</v>
      </c>
    </row>
    <row r="185" spans="1:2" x14ac:dyDescent="0.25">
      <c r="A185" t="s">
        <v>93</v>
      </c>
      <c r="B185" t="s">
        <v>93</v>
      </c>
    </row>
    <row r="186" spans="1:2" x14ac:dyDescent="0.25">
      <c r="A186" t="s">
        <v>93</v>
      </c>
      <c r="B186" t="s">
        <v>93</v>
      </c>
    </row>
    <row r="187" spans="1:2" x14ac:dyDescent="0.25">
      <c r="A187" t="s">
        <v>93</v>
      </c>
      <c r="B187" t="s">
        <v>93</v>
      </c>
    </row>
    <row r="188" spans="1:2" x14ac:dyDescent="0.25">
      <c r="A188" t="s">
        <v>93</v>
      </c>
      <c r="B188" t="s">
        <v>93</v>
      </c>
    </row>
    <row r="189" spans="1:2" x14ac:dyDescent="0.25">
      <c r="A189" t="s">
        <v>93</v>
      </c>
      <c r="B189" t="s">
        <v>93</v>
      </c>
    </row>
    <row r="190" spans="1:2" x14ac:dyDescent="0.25">
      <c r="A190" t="s">
        <v>93</v>
      </c>
      <c r="B190" t="s">
        <v>93</v>
      </c>
    </row>
    <row r="191" spans="1:2" x14ac:dyDescent="0.25">
      <c r="A191" t="s">
        <v>93</v>
      </c>
      <c r="B191" t="s">
        <v>93</v>
      </c>
    </row>
    <row r="192" spans="1:2" x14ac:dyDescent="0.25">
      <c r="A192" t="s">
        <v>93</v>
      </c>
      <c r="B192" t="s">
        <v>93</v>
      </c>
    </row>
    <row r="193" spans="1:2" x14ac:dyDescent="0.25">
      <c r="A193" t="s">
        <v>93</v>
      </c>
      <c r="B193" t="s">
        <v>93</v>
      </c>
    </row>
    <row r="194" spans="1:2" x14ac:dyDescent="0.25">
      <c r="A194" t="s">
        <v>93</v>
      </c>
      <c r="B194" t="s">
        <v>93</v>
      </c>
    </row>
    <row r="195" spans="1:2" x14ac:dyDescent="0.25">
      <c r="A195" t="s">
        <v>93</v>
      </c>
      <c r="B195" t="s">
        <v>93</v>
      </c>
    </row>
    <row r="196" spans="1:2" x14ac:dyDescent="0.25">
      <c r="A196" t="s">
        <v>93</v>
      </c>
      <c r="B196" t="s">
        <v>93</v>
      </c>
    </row>
    <row r="197" spans="1:2" x14ac:dyDescent="0.25">
      <c r="A197" t="s">
        <v>93</v>
      </c>
      <c r="B197" t="s">
        <v>93</v>
      </c>
    </row>
    <row r="198" spans="1:2" x14ac:dyDescent="0.25">
      <c r="A198" t="s">
        <v>93</v>
      </c>
      <c r="B198" t="s">
        <v>93</v>
      </c>
    </row>
    <row r="199" spans="1:2" x14ac:dyDescent="0.25">
      <c r="A199" t="s">
        <v>93</v>
      </c>
      <c r="B199" t="s">
        <v>93</v>
      </c>
    </row>
    <row r="200" spans="1:2" x14ac:dyDescent="0.25">
      <c r="A200" t="s">
        <v>93</v>
      </c>
      <c r="B200" t="s">
        <v>93</v>
      </c>
    </row>
    <row r="201" spans="1:2" x14ac:dyDescent="0.25">
      <c r="A201" t="s">
        <v>93</v>
      </c>
      <c r="B201" t="s">
        <v>93</v>
      </c>
    </row>
    <row r="202" spans="1:2" x14ac:dyDescent="0.25">
      <c r="A202" t="s">
        <v>93</v>
      </c>
      <c r="B202" t="s">
        <v>93</v>
      </c>
    </row>
    <row r="203" spans="1:2" x14ac:dyDescent="0.25">
      <c r="A203" t="s">
        <v>93</v>
      </c>
      <c r="B203" t="s">
        <v>93</v>
      </c>
    </row>
    <row r="204" spans="1:2" x14ac:dyDescent="0.25">
      <c r="A204" t="s">
        <v>93</v>
      </c>
      <c r="B204" t="s">
        <v>93</v>
      </c>
    </row>
    <row r="205" spans="1:2" x14ac:dyDescent="0.25">
      <c r="A205" t="s">
        <v>93</v>
      </c>
      <c r="B205" t="s">
        <v>93</v>
      </c>
    </row>
    <row r="206" spans="1:2" x14ac:dyDescent="0.25">
      <c r="A206" t="s">
        <v>93</v>
      </c>
      <c r="B206" t="s">
        <v>93</v>
      </c>
    </row>
    <row r="207" spans="1:2" x14ac:dyDescent="0.25">
      <c r="A207" t="s">
        <v>93</v>
      </c>
      <c r="B207" t="s">
        <v>93</v>
      </c>
    </row>
    <row r="208" spans="1:2" x14ac:dyDescent="0.25">
      <c r="A208" t="s">
        <v>93</v>
      </c>
      <c r="B208" t="s">
        <v>93</v>
      </c>
    </row>
    <row r="209" spans="1:2" x14ac:dyDescent="0.25">
      <c r="A209" t="s">
        <v>93</v>
      </c>
      <c r="B209" t="s">
        <v>93</v>
      </c>
    </row>
    <row r="210" spans="1:2" x14ac:dyDescent="0.25">
      <c r="A210" t="s">
        <v>93</v>
      </c>
      <c r="B210" t="s">
        <v>93</v>
      </c>
    </row>
    <row r="211" spans="1:2" x14ac:dyDescent="0.25">
      <c r="A211" t="s">
        <v>93</v>
      </c>
      <c r="B211" t="s">
        <v>93</v>
      </c>
    </row>
    <row r="212" spans="1:2" x14ac:dyDescent="0.25">
      <c r="A212" t="s">
        <v>93</v>
      </c>
      <c r="B212" t="s">
        <v>93</v>
      </c>
    </row>
    <row r="213" spans="1:2" x14ac:dyDescent="0.25">
      <c r="A213" t="s">
        <v>93</v>
      </c>
      <c r="B213" t="s">
        <v>93</v>
      </c>
    </row>
    <row r="214" spans="1:2" x14ac:dyDescent="0.25">
      <c r="A214" t="s">
        <v>93</v>
      </c>
      <c r="B214" t="s">
        <v>93</v>
      </c>
    </row>
    <row r="215" spans="1:2" x14ac:dyDescent="0.25">
      <c r="A215" t="s">
        <v>93</v>
      </c>
      <c r="B215" t="s">
        <v>93</v>
      </c>
    </row>
    <row r="216" spans="1:2" x14ac:dyDescent="0.25">
      <c r="A216" t="s">
        <v>93</v>
      </c>
      <c r="B216" t="s">
        <v>93</v>
      </c>
    </row>
    <row r="217" spans="1:2" x14ac:dyDescent="0.25">
      <c r="A217" t="s">
        <v>93</v>
      </c>
      <c r="B217" t="s">
        <v>93</v>
      </c>
    </row>
    <row r="218" spans="1:2" x14ac:dyDescent="0.25">
      <c r="A218" t="s">
        <v>93</v>
      </c>
      <c r="B218" t="s">
        <v>93</v>
      </c>
    </row>
    <row r="219" spans="1:2" x14ac:dyDescent="0.25">
      <c r="A219" t="s">
        <v>93</v>
      </c>
      <c r="B219" t="s">
        <v>93</v>
      </c>
    </row>
    <row r="220" spans="1:2" x14ac:dyDescent="0.25">
      <c r="A220" t="s">
        <v>93</v>
      </c>
      <c r="B220" t="s">
        <v>93</v>
      </c>
    </row>
    <row r="221" spans="1:2" x14ac:dyDescent="0.25">
      <c r="A221" t="s">
        <v>93</v>
      </c>
      <c r="B221" t="s">
        <v>93</v>
      </c>
    </row>
    <row r="222" spans="1:2" x14ac:dyDescent="0.25">
      <c r="A222" t="s">
        <v>93</v>
      </c>
      <c r="B222" t="s">
        <v>93</v>
      </c>
    </row>
    <row r="223" spans="1:2" x14ac:dyDescent="0.25">
      <c r="A223" t="s">
        <v>93</v>
      </c>
      <c r="B223" t="s">
        <v>93</v>
      </c>
    </row>
    <row r="224" spans="1:2" x14ac:dyDescent="0.25">
      <c r="A224" t="s">
        <v>93</v>
      </c>
      <c r="B224" t="s">
        <v>93</v>
      </c>
    </row>
    <row r="225" spans="1:2" x14ac:dyDescent="0.25">
      <c r="A225" t="s">
        <v>93</v>
      </c>
      <c r="B225" t="s">
        <v>93</v>
      </c>
    </row>
    <row r="226" spans="1:2" x14ac:dyDescent="0.25">
      <c r="A226" t="s">
        <v>93</v>
      </c>
      <c r="B226" t="s">
        <v>93</v>
      </c>
    </row>
    <row r="227" spans="1:2" x14ac:dyDescent="0.25">
      <c r="A227" t="s">
        <v>93</v>
      </c>
      <c r="B227" t="s">
        <v>93</v>
      </c>
    </row>
    <row r="228" spans="1:2" x14ac:dyDescent="0.25">
      <c r="A228" t="s">
        <v>93</v>
      </c>
      <c r="B228" t="s">
        <v>93</v>
      </c>
    </row>
    <row r="229" spans="1:2" x14ac:dyDescent="0.25">
      <c r="A229" t="s">
        <v>93</v>
      </c>
      <c r="B229" t="s">
        <v>93</v>
      </c>
    </row>
    <row r="230" spans="1:2" x14ac:dyDescent="0.25">
      <c r="A230" t="s">
        <v>93</v>
      </c>
      <c r="B230" t="s">
        <v>93</v>
      </c>
    </row>
    <row r="231" spans="1:2" x14ac:dyDescent="0.25">
      <c r="A231" t="s">
        <v>93</v>
      </c>
      <c r="B231" t="s">
        <v>93</v>
      </c>
    </row>
    <row r="232" spans="1:2" x14ac:dyDescent="0.25">
      <c r="A232" t="s">
        <v>93</v>
      </c>
      <c r="B232" t="s">
        <v>93</v>
      </c>
    </row>
    <row r="233" spans="1:2" x14ac:dyDescent="0.25">
      <c r="A233" t="s">
        <v>93</v>
      </c>
      <c r="B233" t="s">
        <v>93</v>
      </c>
    </row>
    <row r="234" spans="1:2" x14ac:dyDescent="0.25">
      <c r="A234" t="s">
        <v>93</v>
      </c>
      <c r="B234" t="s">
        <v>93</v>
      </c>
    </row>
    <row r="235" spans="1:2" x14ac:dyDescent="0.25">
      <c r="A235" t="s">
        <v>93</v>
      </c>
      <c r="B235" t="s">
        <v>93</v>
      </c>
    </row>
    <row r="236" spans="1:2" x14ac:dyDescent="0.25">
      <c r="A236" t="s">
        <v>93</v>
      </c>
      <c r="B236" t="s">
        <v>93</v>
      </c>
    </row>
    <row r="237" spans="1:2" x14ac:dyDescent="0.25">
      <c r="A237" t="s">
        <v>93</v>
      </c>
      <c r="B237" t="s">
        <v>93</v>
      </c>
    </row>
    <row r="238" spans="1:2" x14ac:dyDescent="0.25">
      <c r="A238" t="s">
        <v>93</v>
      </c>
      <c r="B238" t="s">
        <v>93</v>
      </c>
    </row>
    <row r="239" spans="1:2" x14ac:dyDescent="0.25">
      <c r="A239" t="s">
        <v>93</v>
      </c>
      <c r="B239" t="s">
        <v>93</v>
      </c>
    </row>
    <row r="240" spans="1:2" x14ac:dyDescent="0.25">
      <c r="A240" t="s">
        <v>93</v>
      </c>
      <c r="B240" t="s">
        <v>93</v>
      </c>
    </row>
    <row r="241" spans="1:2" x14ac:dyDescent="0.25">
      <c r="A241" t="s">
        <v>93</v>
      </c>
      <c r="B241" t="s">
        <v>93</v>
      </c>
    </row>
    <row r="242" spans="1:2" x14ac:dyDescent="0.25">
      <c r="A242" t="s">
        <v>93</v>
      </c>
      <c r="B242" t="s">
        <v>93</v>
      </c>
    </row>
    <row r="243" spans="1:2" x14ac:dyDescent="0.25">
      <c r="A243" t="s">
        <v>93</v>
      </c>
      <c r="B243" t="s">
        <v>93</v>
      </c>
    </row>
    <row r="244" spans="1:2" x14ac:dyDescent="0.25">
      <c r="A244" t="s">
        <v>93</v>
      </c>
      <c r="B244" t="s">
        <v>93</v>
      </c>
    </row>
    <row r="245" spans="1:2" x14ac:dyDescent="0.25">
      <c r="A245" t="s">
        <v>93</v>
      </c>
      <c r="B245" t="s">
        <v>93</v>
      </c>
    </row>
    <row r="246" spans="1:2" x14ac:dyDescent="0.25">
      <c r="A246" t="s">
        <v>93</v>
      </c>
      <c r="B246" t="s">
        <v>93</v>
      </c>
    </row>
    <row r="247" spans="1:2" x14ac:dyDescent="0.25">
      <c r="A247" t="s">
        <v>93</v>
      </c>
      <c r="B247" t="s">
        <v>93</v>
      </c>
    </row>
    <row r="248" spans="1:2" x14ac:dyDescent="0.25">
      <c r="A248" t="s">
        <v>93</v>
      </c>
      <c r="B248" t="s">
        <v>93</v>
      </c>
    </row>
    <row r="249" spans="1:2" x14ac:dyDescent="0.25">
      <c r="A249" t="s">
        <v>93</v>
      </c>
      <c r="B249" t="s">
        <v>93</v>
      </c>
    </row>
    <row r="250" spans="1:2" x14ac:dyDescent="0.25">
      <c r="A250" t="s">
        <v>93</v>
      </c>
      <c r="B250" t="s">
        <v>93</v>
      </c>
    </row>
    <row r="251" spans="1:2" x14ac:dyDescent="0.25">
      <c r="A251" t="s">
        <v>93</v>
      </c>
      <c r="B251" t="s">
        <v>93</v>
      </c>
    </row>
    <row r="252" spans="1:2" x14ac:dyDescent="0.25">
      <c r="A252" t="s">
        <v>93</v>
      </c>
      <c r="B252" t="s">
        <v>93</v>
      </c>
    </row>
    <row r="253" spans="1:2" x14ac:dyDescent="0.25">
      <c r="A253" t="s">
        <v>93</v>
      </c>
      <c r="B253" t="s">
        <v>93</v>
      </c>
    </row>
    <row r="254" spans="1:2" x14ac:dyDescent="0.25">
      <c r="A254" t="s">
        <v>93</v>
      </c>
      <c r="B254" t="s">
        <v>93</v>
      </c>
    </row>
    <row r="255" spans="1:2" x14ac:dyDescent="0.25">
      <c r="A255" t="s">
        <v>93</v>
      </c>
      <c r="B255" t="s">
        <v>93</v>
      </c>
    </row>
    <row r="256" spans="1:2" x14ac:dyDescent="0.25">
      <c r="A256" t="s">
        <v>93</v>
      </c>
      <c r="B256" t="s">
        <v>93</v>
      </c>
    </row>
    <row r="257" spans="1:2" x14ac:dyDescent="0.25">
      <c r="A257" t="s">
        <v>93</v>
      </c>
      <c r="B257" t="s">
        <v>93</v>
      </c>
    </row>
    <row r="258" spans="1:2" x14ac:dyDescent="0.25">
      <c r="A258" t="s">
        <v>93</v>
      </c>
      <c r="B258" t="s">
        <v>93</v>
      </c>
    </row>
    <row r="259" spans="1:2" x14ac:dyDescent="0.25">
      <c r="A259" t="s">
        <v>93</v>
      </c>
      <c r="B259" t="s">
        <v>93</v>
      </c>
    </row>
    <row r="260" spans="1:2" x14ac:dyDescent="0.25">
      <c r="A260" t="s">
        <v>93</v>
      </c>
      <c r="B260" t="s">
        <v>93</v>
      </c>
    </row>
    <row r="261" spans="1:2" x14ac:dyDescent="0.25">
      <c r="A261" t="s">
        <v>93</v>
      </c>
      <c r="B261" t="s">
        <v>93</v>
      </c>
    </row>
    <row r="262" spans="1:2" x14ac:dyDescent="0.25">
      <c r="A262" t="s">
        <v>93</v>
      </c>
      <c r="B262" t="s">
        <v>93</v>
      </c>
    </row>
    <row r="263" spans="1:2" x14ac:dyDescent="0.25">
      <c r="A263" t="s">
        <v>93</v>
      </c>
      <c r="B263" t="s">
        <v>93</v>
      </c>
    </row>
    <row r="264" spans="1:2" x14ac:dyDescent="0.25">
      <c r="A264" t="s">
        <v>93</v>
      </c>
      <c r="B264" t="s">
        <v>93</v>
      </c>
    </row>
    <row r="265" spans="1:2" x14ac:dyDescent="0.25">
      <c r="A265" t="s">
        <v>93</v>
      </c>
      <c r="B265" t="s">
        <v>93</v>
      </c>
    </row>
    <row r="266" spans="1:2" x14ac:dyDescent="0.25">
      <c r="A266" t="s">
        <v>93</v>
      </c>
      <c r="B266" t="s">
        <v>93</v>
      </c>
    </row>
    <row r="267" spans="1:2" x14ac:dyDescent="0.25">
      <c r="A267" t="s">
        <v>93</v>
      </c>
      <c r="B267" t="s">
        <v>93</v>
      </c>
    </row>
    <row r="268" spans="1:2" x14ac:dyDescent="0.25">
      <c r="A268" t="s">
        <v>93</v>
      </c>
      <c r="B268" t="s">
        <v>93</v>
      </c>
    </row>
    <row r="269" spans="1:2" x14ac:dyDescent="0.25">
      <c r="A269" t="s">
        <v>93</v>
      </c>
      <c r="B269" t="s">
        <v>93</v>
      </c>
    </row>
    <row r="270" spans="1:2" x14ac:dyDescent="0.25">
      <c r="A270" t="s">
        <v>93</v>
      </c>
      <c r="B270" t="s">
        <v>93</v>
      </c>
    </row>
    <row r="271" spans="1:2" x14ac:dyDescent="0.25">
      <c r="A271" t="s">
        <v>93</v>
      </c>
      <c r="B271" t="s">
        <v>93</v>
      </c>
    </row>
    <row r="272" spans="1:2" x14ac:dyDescent="0.25">
      <c r="A272" t="s">
        <v>93</v>
      </c>
      <c r="B272" t="s">
        <v>93</v>
      </c>
    </row>
    <row r="273" spans="1:2" x14ac:dyDescent="0.25">
      <c r="A273" t="s">
        <v>93</v>
      </c>
      <c r="B273" t="s">
        <v>93</v>
      </c>
    </row>
    <row r="274" spans="1:2" x14ac:dyDescent="0.25">
      <c r="A274" t="s">
        <v>93</v>
      </c>
      <c r="B274" t="s">
        <v>93</v>
      </c>
    </row>
    <row r="275" spans="1:2" x14ac:dyDescent="0.25">
      <c r="A275" t="s">
        <v>93</v>
      </c>
      <c r="B275" t="s">
        <v>93</v>
      </c>
    </row>
    <row r="276" spans="1:2" x14ac:dyDescent="0.25">
      <c r="A276" t="s">
        <v>93</v>
      </c>
      <c r="B276" t="s">
        <v>93</v>
      </c>
    </row>
    <row r="277" spans="1:2" x14ac:dyDescent="0.25">
      <c r="A277" t="s">
        <v>93</v>
      </c>
      <c r="B277" t="s">
        <v>93</v>
      </c>
    </row>
    <row r="278" spans="1:2" x14ac:dyDescent="0.25">
      <c r="A278" t="s">
        <v>93</v>
      </c>
      <c r="B278" t="s">
        <v>93</v>
      </c>
    </row>
    <row r="279" spans="1:2" x14ac:dyDescent="0.25">
      <c r="A279" t="s">
        <v>93</v>
      </c>
      <c r="B279" t="s">
        <v>93</v>
      </c>
    </row>
    <row r="280" spans="1:2" x14ac:dyDescent="0.25">
      <c r="A280" t="s">
        <v>93</v>
      </c>
      <c r="B280" t="s">
        <v>93</v>
      </c>
    </row>
    <row r="281" spans="1:2" x14ac:dyDescent="0.25">
      <c r="A281" t="s">
        <v>93</v>
      </c>
      <c r="B281" t="s">
        <v>93</v>
      </c>
    </row>
    <row r="282" spans="1:2" x14ac:dyDescent="0.25">
      <c r="A282" t="s">
        <v>93</v>
      </c>
      <c r="B282" t="s">
        <v>93</v>
      </c>
    </row>
    <row r="283" spans="1:2" x14ac:dyDescent="0.25">
      <c r="A283" t="s">
        <v>93</v>
      </c>
      <c r="B283" t="s">
        <v>93</v>
      </c>
    </row>
    <row r="284" spans="1:2" x14ac:dyDescent="0.25">
      <c r="A284" t="s">
        <v>93</v>
      </c>
      <c r="B284" t="s">
        <v>93</v>
      </c>
    </row>
    <row r="285" spans="1:2" x14ac:dyDescent="0.25">
      <c r="A285" t="s">
        <v>93</v>
      </c>
      <c r="B285" t="s">
        <v>93</v>
      </c>
    </row>
    <row r="286" spans="1:2" x14ac:dyDescent="0.25">
      <c r="A286" t="s">
        <v>93</v>
      </c>
      <c r="B286" t="s">
        <v>93</v>
      </c>
    </row>
    <row r="287" spans="1:2" x14ac:dyDescent="0.25">
      <c r="A287" t="s">
        <v>93</v>
      </c>
      <c r="B287" t="s">
        <v>93</v>
      </c>
    </row>
    <row r="288" spans="1:2" x14ac:dyDescent="0.25">
      <c r="A288" t="s">
        <v>93</v>
      </c>
      <c r="B288" t="s">
        <v>93</v>
      </c>
    </row>
    <row r="289" spans="1:2" x14ac:dyDescent="0.25">
      <c r="A289" t="s">
        <v>93</v>
      </c>
      <c r="B289" t="s">
        <v>93</v>
      </c>
    </row>
    <row r="290" spans="1:2" x14ac:dyDescent="0.25">
      <c r="A290" t="s">
        <v>93</v>
      </c>
      <c r="B290" t="s">
        <v>93</v>
      </c>
    </row>
    <row r="291" spans="1:2" x14ac:dyDescent="0.25">
      <c r="A291" t="s">
        <v>93</v>
      </c>
      <c r="B291" t="s">
        <v>93</v>
      </c>
    </row>
    <row r="292" spans="1:2" x14ac:dyDescent="0.25">
      <c r="A292" t="s">
        <v>93</v>
      </c>
      <c r="B292" t="s">
        <v>93</v>
      </c>
    </row>
    <row r="293" spans="1:2" x14ac:dyDescent="0.25">
      <c r="A293" t="s">
        <v>93</v>
      </c>
      <c r="B293" t="s">
        <v>93</v>
      </c>
    </row>
    <row r="294" spans="1:2" x14ac:dyDescent="0.25">
      <c r="A294" t="s">
        <v>93</v>
      </c>
      <c r="B294" t="s">
        <v>93</v>
      </c>
    </row>
    <row r="295" spans="1:2" x14ac:dyDescent="0.25">
      <c r="A295" t="s">
        <v>93</v>
      </c>
      <c r="B295" t="s">
        <v>93</v>
      </c>
    </row>
    <row r="296" spans="1:2" x14ac:dyDescent="0.25">
      <c r="A296" t="s">
        <v>93</v>
      </c>
      <c r="B296" t="s">
        <v>93</v>
      </c>
    </row>
    <row r="297" spans="1:2" x14ac:dyDescent="0.25">
      <c r="A297" t="s">
        <v>93</v>
      </c>
      <c r="B297" t="s">
        <v>93</v>
      </c>
    </row>
    <row r="298" spans="1:2" x14ac:dyDescent="0.25">
      <c r="A298" t="s">
        <v>93</v>
      </c>
      <c r="B298" t="s">
        <v>93</v>
      </c>
    </row>
    <row r="299" spans="1:2" x14ac:dyDescent="0.25">
      <c r="A299" t="s">
        <v>93</v>
      </c>
      <c r="B299" t="s">
        <v>93</v>
      </c>
    </row>
    <row r="300" spans="1:2" x14ac:dyDescent="0.25">
      <c r="A300" t="s">
        <v>93</v>
      </c>
      <c r="B300" t="s">
        <v>93</v>
      </c>
    </row>
    <row r="301" spans="1:2" x14ac:dyDescent="0.25">
      <c r="A301" t="s">
        <v>93</v>
      </c>
      <c r="B301" t="s">
        <v>93</v>
      </c>
    </row>
    <row r="302" spans="1:2" x14ac:dyDescent="0.25">
      <c r="A302" t="s">
        <v>93</v>
      </c>
      <c r="B302" t="s">
        <v>93</v>
      </c>
    </row>
    <row r="303" spans="1:2" x14ac:dyDescent="0.25">
      <c r="A303" t="s">
        <v>93</v>
      </c>
      <c r="B303" t="s">
        <v>93</v>
      </c>
    </row>
    <row r="304" spans="1:2" x14ac:dyDescent="0.25">
      <c r="A304" t="s">
        <v>93</v>
      </c>
      <c r="B304" t="s">
        <v>93</v>
      </c>
    </row>
    <row r="305" spans="1:2" x14ac:dyDescent="0.25">
      <c r="A305" t="s">
        <v>93</v>
      </c>
      <c r="B305" t="s">
        <v>93</v>
      </c>
    </row>
    <row r="306" spans="1:2" x14ac:dyDescent="0.25">
      <c r="A306" t="s">
        <v>93</v>
      </c>
      <c r="B306" t="s">
        <v>93</v>
      </c>
    </row>
    <row r="307" spans="1:2" x14ac:dyDescent="0.25">
      <c r="A307" t="s">
        <v>93</v>
      </c>
      <c r="B307" t="s">
        <v>93</v>
      </c>
    </row>
    <row r="308" spans="1:2" x14ac:dyDescent="0.25">
      <c r="A308" t="s">
        <v>93</v>
      </c>
      <c r="B308" t="s">
        <v>93</v>
      </c>
    </row>
    <row r="309" spans="1:2" x14ac:dyDescent="0.25">
      <c r="A309" t="s">
        <v>93</v>
      </c>
      <c r="B309" t="s">
        <v>93</v>
      </c>
    </row>
    <row r="310" spans="1:2" x14ac:dyDescent="0.25">
      <c r="A310" t="s">
        <v>93</v>
      </c>
      <c r="B310" t="s">
        <v>93</v>
      </c>
    </row>
    <row r="311" spans="1:2" x14ac:dyDescent="0.25">
      <c r="A311" t="s">
        <v>93</v>
      </c>
      <c r="B311" t="s">
        <v>93</v>
      </c>
    </row>
    <row r="312" spans="1:2" x14ac:dyDescent="0.25">
      <c r="A312" t="s">
        <v>93</v>
      </c>
      <c r="B312" t="s">
        <v>93</v>
      </c>
    </row>
    <row r="313" spans="1:2" x14ac:dyDescent="0.25">
      <c r="A313" t="s">
        <v>93</v>
      </c>
      <c r="B313" t="s">
        <v>93</v>
      </c>
    </row>
    <row r="314" spans="1:2" x14ac:dyDescent="0.25">
      <c r="A314" t="s">
        <v>93</v>
      </c>
      <c r="B314" t="s">
        <v>93</v>
      </c>
    </row>
    <row r="315" spans="1:2" x14ac:dyDescent="0.25">
      <c r="A315" t="s">
        <v>93</v>
      </c>
      <c r="B315" t="s">
        <v>93</v>
      </c>
    </row>
    <row r="316" spans="1:2" x14ac:dyDescent="0.25">
      <c r="A316" t="s">
        <v>93</v>
      </c>
      <c r="B316" t="s">
        <v>93</v>
      </c>
    </row>
    <row r="317" spans="1:2" x14ac:dyDescent="0.25">
      <c r="A317" t="s">
        <v>93</v>
      </c>
      <c r="B317" t="s">
        <v>93</v>
      </c>
    </row>
    <row r="318" spans="1:2" x14ac:dyDescent="0.25">
      <c r="A318" t="s">
        <v>93</v>
      </c>
      <c r="B318" t="s">
        <v>93</v>
      </c>
    </row>
    <row r="319" spans="1:2" x14ac:dyDescent="0.25">
      <c r="A319" t="s">
        <v>93</v>
      </c>
      <c r="B319" t="s">
        <v>93</v>
      </c>
    </row>
    <row r="320" spans="1:2" x14ac:dyDescent="0.25">
      <c r="A320" t="s">
        <v>93</v>
      </c>
      <c r="B320" t="s">
        <v>93</v>
      </c>
    </row>
    <row r="321" spans="1:2" x14ac:dyDescent="0.25">
      <c r="A321" t="s">
        <v>93</v>
      </c>
      <c r="B321" t="s">
        <v>93</v>
      </c>
    </row>
    <row r="322" spans="1:2" x14ac:dyDescent="0.25">
      <c r="A322" t="s">
        <v>93</v>
      </c>
      <c r="B322" t="s">
        <v>93</v>
      </c>
    </row>
    <row r="323" spans="1:2" x14ac:dyDescent="0.25">
      <c r="A323" t="s">
        <v>93</v>
      </c>
      <c r="B323" t="s">
        <v>93</v>
      </c>
    </row>
    <row r="324" spans="1:2" x14ac:dyDescent="0.25">
      <c r="A324" t="s">
        <v>93</v>
      </c>
      <c r="B324" t="s">
        <v>93</v>
      </c>
    </row>
    <row r="325" spans="1:2" x14ac:dyDescent="0.25">
      <c r="A325" t="s">
        <v>93</v>
      </c>
      <c r="B325" t="s">
        <v>93</v>
      </c>
    </row>
    <row r="326" spans="1:2" x14ac:dyDescent="0.25">
      <c r="A326" t="s">
        <v>93</v>
      </c>
      <c r="B326" t="s">
        <v>93</v>
      </c>
    </row>
    <row r="327" spans="1:2" x14ac:dyDescent="0.25">
      <c r="A327" t="s">
        <v>93</v>
      </c>
      <c r="B327" t="s">
        <v>93</v>
      </c>
    </row>
    <row r="328" spans="1:2" x14ac:dyDescent="0.25">
      <c r="A328" t="s">
        <v>93</v>
      </c>
      <c r="B328" t="s">
        <v>93</v>
      </c>
    </row>
    <row r="329" spans="1:2" x14ac:dyDescent="0.25">
      <c r="A329" t="s">
        <v>93</v>
      </c>
      <c r="B329" t="s">
        <v>93</v>
      </c>
    </row>
    <row r="330" spans="1:2" x14ac:dyDescent="0.25">
      <c r="A330" t="s">
        <v>93</v>
      </c>
      <c r="B330" t="s">
        <v>93</v>
      </c>
    </row>
    <row r="331" spans="1:2" x14ac:dyDescent="0.25">
      <c r="A331" t="s">
        <v>93</v>
      </c>
      <c r="B331" t="s">
        <v>93</v>
      </c>
    </row>
    <row r="332" spans="1:2" x14ac:dyDescent="0.25">
      <c r="A332" t="s">
        <v>93</v>
      </c>
      <c r="B332" t="s">
        <v>93</v>
      </c>
    </row>
    <row r="333" spans="1:2" x14ac:dyDescent="0.25">
      <c r="A333" t="s">
        <v>93</v>
      </c>
      <c r="B333" t="s">
        <v>93</v>
      </c>
    </row>
    <row r="334" spans="1:2" x14ac:dyDescent="0.25">
      <c r="A334" t="s">
        <v>93</v>
      </c>
      <c r="B334" t="s">
        <v>93</v>
      </c>
    </row>
    <row r="335" spans="1:2" x14ac:dyDescent="0.25">
      <c r="A335" t="s">
        <v>93</v>
      </c>
      <c r="B335" t="s">
        <v>93</v>
      </c>
    </row>
    <row r="336" spans="1:2" x14ac:dyDescent="0.25">
      <c r="A336" t="s">
        <v>93</v>
      </c>
      <c r="B336" t="s">
        <v>93</v>
      </c>
    </row>
    <row r="337" spans="1:2" x14ac:dyDescent="0.25">
      <c r="A337" t="s">
        <v>93</v>
      </c>
      <c r="B337" t="s">
        <v>93</v>
      </c>
    </row>
    <row r="338" spans="1:2" x14ac:dyDescent="0.25">
      <c r="A338" t="s">
        <v>93</v>
      </c>
      <c r="B338" t="s">
        <v>93</v>
      </c>
    </row>
    <row r="339" spans="1:2" x14ac:dyDescent="0.25">
      <c r="A339" t="s">
        <v>93</v>
      </c>
      <c r="B339" t="s">
        <v>93</v>
      </c>
    </row>
    <row r="340" spans="1:2" x14ac:dyDescent="0.25">
      <c r="A340" t="s">
        <v>93</v>
      </c>
      <c r="B340" t="s">
        <v>93</v>
      </c>
    </row>
    <row r="341" spans="1:2" x14ac:dyDescent="0.25">
      <c r="A341" t="s">
        <v>93</v>
      </c>
      <c r="B341" t="s">
        <v>93</v>
      </c>
    </row>
    <row r="342" spans="1:2" x14ac:dyDescent="0.25">
      <c r="A342" t="s">
        <v>93</v>
      </c>
      <c r="B342" t="s">
        <v>93</v>
      </c>
    </row>
    <row r="343" spans="1:2" x14ac:dyDescent="0.25">
      <c r="A343" t="s">
        <v>93</v>
      </c>
      <c r="B343" t="s">
        <v>93</v>
      </c>
    </row>
    <row r="344" spans="1:2" x14ac:dyDescent="0.25">
      <c r="A344" t="s">
        <v>93</v>
      </c>
      <c r="B344" t="s">
        <v>93</v>
      </c>
    </row>
    <row r="345" spans="1:2" x14ac:dyDescent="0.25">
      <c r="A345" t="s">
        <v>93</v>
      </c>
      <c r="B345" t="s">
        <v>93</v>
      </c>
    </row>
    <row r="346" spans="1:2" x14ac:dyDescent="0.25">
      <c r="A346" t="s">
        <v>93</v>
      </c>
      <c r="B346" t="s">
        <v>93</v>
      </c>
    </row>
    <row r="347" spans="1:2" x14ac:dyDescent="0.25">
      <c r="A347" t="s">
        <v>93</v>
      </c>
      <c r="B347" t="s">
        <v>93</v>
      </c>
    </row>
    <row r="348" spans="1:2" x14ac:dyDescent="0.25">
      <c r="A348" t="s">
        <v>93</v>
      </c>
      <c r="B348" t="s">
        <v>93</v>
      </c>
    </row>
    <row r="349" spans="1:2" x14ac:dyDescent="0.25">
      <c r="A349" t="s">
        <v>93</v>
      </c>
      <c r="B349" t="s">
        <v>93</v>
      </c>
    </row>
    <row r="350" spans="1:2" x14ac:dyDescent="0.25">
      <c r="A350" t="s">
        <v>93</v>
      </c>
      <c r="B350" t="s">
        <v>93</v>
      </c>
    </row>
    <row r="351" spans="1:2" x14ac:dyDescent="0.25">
      <c r="A351" t="s">
        <v>93</v>
      </c>
      <c r="B351" t="s">
        <v>93</v>
      </c>
    </row>
    <row r="352" spans="1:2" x14ac:dyDescent="0.25">
      <c r="A352" t="s">
        <v>93</v>
      </c>
      <c r="B352" t="s">
        <v>93</v>
      </c>
    </row>
    <row r="353" spans="1:2" x14ac:dyDescent="0.25">
      <c r="A353" t="s">
        <v>93</v>
      </c>
      <c r="B353" t="s">
        <v>93</v>
      </c>
    </row>
    <row r="354" spans="1:2" x14ac:dyDescent="0.25">
      <c r="A354" t="s">
        <v>93</v>
      </c>
      <c r="B354" t="s">
        <v>93</v>
      </c>
    </row>
    <row r="355" spans="1:2" x14ac:dyDescent="0.25">
      <c r="A355" t="s">
        <v>93</v>
      </c>
      <c r="B355" t="s">
        <v>93</v>
      </c>
    </row>
    <row r="356" spans="1:2" x14ac:dyDescent="0.25">
      <c r="A356" t="s">
        <v>93</v>
      </c>
      <c r="B356" t="s">
        <v>93</v>
      </c>
    </row>
    <row r="357" spans="1:2" x14ac:dyDescent="0.25">
      <c r="A357" t="s">
        <v>93</v>
      </c>
      <c r="B357" t="s">
        <v>93</v>
      </c>
    </row>
    <row r="358" spans="1:2" x14ac:dyDescent="0.25">
      <c r="A358" t="s">
        <v>93</v>
      </c>
      <c r="B358" t="s">
        <v>93</v>
      </c>
    </row>
    <row r="359" spans="1:2" x14ac:dyDescent="0.25">
      <c r="A359" t="s">
        <v>93</v>
      </c>
      <c r="B359" t="s">
        <v>93</v>
      </c>
    </row>
    <row r="360" spans="1:2" x14ac:dyDescent="0.25">
      <c r="A360" t="s">
        <v>93</v>
      </c>
      <c r="B360" t="s">
        <v>93</v>
      </c>
    </row>
    <row r="361" spans="1:2" x14ac:dyDescent="0.25">
      <c r="A361" t="s">
        <v>93</v>
      </c>
      <c r="B361" t="s">
        <v>93</v>
      </c>
    </row>
    <row r="362" spans="1:2" x14ac:dyDescent="0.25">
      <c r="A362" t="s">
        <v>93</v>
      </c>
      <c r="B362" t="s">
        <v>93</v>
      </c>
    </row>
    <row r="363" spans="1:2" x14ac:dyDescent="0.25">
      <c r="A363" t="s">
        <v>93</v>
      </c>
      <c r="B363" t="s">
        <v>93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M82"/>
  <sheetViews>
    <sheetView zoomScaleNormal="100" workbookViewId="0">
      <selection activeCell="L10" sqref="L10"/>
    </sheetView>
  </sheetViews>
  <sheetFormatPr defaultRowHeight="15" x14ac:dyDescent="0.25"/>
  <cols>
    <col min="1" max="1" width="30.7109375" customWidth="1"/>
    <col min="2" max="2" width="40.7109375" customWidth="1"/>
    <col min="3" max="6" width="12.7109375" customWidth="1"/>
    <col min="11" max="11" width="17.42578125" customWidth="1"/>
    <col min="12" max="12" width="30.140625" customWidth="1"/>
  </cols>
  <sheetData>
    <row r="1" spans="1:13" ht="26.25" customHeight="1" x14ac:dyDescent="0.25">
      <c r="A1" s="139" t="s">
        <v>94</v>
      </c>
      <c r="B1" s="139"/>
      <c r="C1" s="139"/>
      <c r="D1" s="139"/>
      <c r="E1" s="139"/>
      <c r="F1" s="139"/>
      <c r="G1" s="66"/>
      <c r="H1" s="66"/>
      <c r="I1" s="66"/>
      <c r="J1" s="66"/>
      <c r="K1" s="140" t="s">
        <v>95</v>
      </c>
      <c r="L1" s="140"/>
      <c r="M1" s="66"/>
    </row>
    <row r="2" spans="1:13" ht="15" customHeight="1" x14ac:dyDescent="0.25">
      <c r="A2" s="139"/>
      <c r="B2" s="139"/>
      <c r="C2" s="139"/>
      <c r="D2" s="139"/>
      <c r="E2" s="139"/>
      <c r="F2" s="139"/>
      <c r="G2" s="64"/>
      <c r="H2" s="64"/>
      <c r="I2" s="64"/>
      <c r="J2" s="64"/>
      <c r="K2" s="140"/>
      <c r="L2" s="140"/>
      <c r="M2" s="64"/>
    </row>
    <row r="3" spans="1:13" ht="15.95" customHeight="1" x14ac:dyDescent="0.25">
      <c r="A3" s="65" t="s">
        <v>96</v>
      </c>
      <c r="B3" s="65" t="s">
        <v>97</v>
      </c>
      <c r="C3" s="65" t="s">
        <v>98</v>
      </c>
      <c r="D3" s="65" t="s">
        <v>99</v>
      </c>
      <c r="E3" s="65" t="s">
        <v>100</v>
      </c>
      <c r="F3" s="65" t="s">
        <v>101</v>
      </c>
      <c r="G3" s="64"/>
      <c r="H3" s="64"/>
      <c r="I3" s="64"/>
      <c r="J3" s="64"/>
      <c r="K3" s="87" t="s">
        <v>102</v>
      </c>
      <c r="L3" s="87" t="s">
        <v>103</v>
      </c>
      <c r="M3" s="64"/>
    </row>
    <row r="4" spans="1:13" ht="15.95" customHeight="1" x14ac:dyDescent="0.25">
      <c r="A4" s="56" t="s">
        <v>104</v>
      </c>
      <c r="B4" s="56" t="s">
        <v>105</v>
      </c>
      <c r="C4" s="86" t="s">
        <v>106</v>
      </c>
      <c r="D4" s="86"/>
      <c r="E4" s="86"/>
      <c r="F4" s="88"/>
      <c r="G4" s="64"/>
      <c r="H4" s="64" t="s">
        <v>107</v>
      </c>
      <c r="I4" s="64"/>
      <c r="J4" s="64"/>
      <c r="K4" t="s">
        <v>123</v>
      </c>
      <c r="L4" t="s">
        <v>23</v>
      </c>
      <c r="M4" s="64"/>
    </row>
    <row r="5" spans="1:13" ht="15.95" customHeight="1" x14ac:dyDescent="0.25">
      <c r="A5" t="s">
        <v>104</v>
      </c>
      <c r="B5" t="s">
        <v>109</v>
      </c>
      <c r="C5" s="65" t="s">
        <v>110</v>
      </c>
      <c r="D5" s="65"/>
      <c r="E5" s="65"/>
      <c r="F5" s="87"/>
      <c r="G5" s="64"/>
      <c r="H5" s="64"/>
      <c r="I5" s="64"/>
      <c r="J5" s="64"/>
      <c r="K5" t="s">
        <v>123</v>
      </c>
      <c r="L5" t="s">
        <v>215</v>
      </c>
      <c r="M5" s="64"/>
    </row>
    <row r="6" spans="1:13" ht="15.95" customHeight="1" x14ac:dyDescent="0.25">
      <c r="A6" t="s">
        <v>104</v>
      </c>
      <c r="B6" t="s">
        <v>111</v>
      </c>
      <c r="C6" s="65" t="s">
        <v>112</v>
      </c>
      <c r="D6" s="65"/>
      <c r="E6" s="65"/>
      <c r="F6" s="87"/>
      <c r="G6" s="64"/>
      <c r="H6" s="64"/>
      <c r="I6" s="64"/>
      <c r="J6" s="64"/>
      <c r="K6" t="s">
        <v>113</v>
      </c>
      <c r="L6" t="s">
        <v>23</v>
      </c>
      <c r="M6" s="64"/>
    </row>
    <row r="7" spans="1:13" ht="15.95" customHeight="1" x14ac:dyDescent="0.25">
      <c r="A7" t="s">
        <v>104</v>
      </c>
      <c r="B7" t="s">
        <v>114</v>
      </c>
      <c r="C7" s="65" t="s">
        <v>115</v>
      </c>
      <c r="D7" s="65"/>
      <c r="E7" s="65"/>
      <c r="F7" s="87"/>
      <c r="G7" s="64"/>
      <c r="H7" s="64"/>
      <c r="I7" s="64"/>
      <c r="J7" s="64"/>
      <c r="K7" t="s">
        <v>113</v>
      </c>
      <c r="L7" t="s">
        <v>215</v>
      </c>
      <c r="M7" s="64"/>
    </row>
    <row r="8" spans="1:13" ht="15.95" customHeight="1" x14ac:dyDescent="0.25">
      <c r="A8" t="s">
        <v>104</v>
      </c>
      <c r="B8" t="s">
        <v>116</v>
      </c>
      <c r="C8" s="65" t="s">
        <v>117</v>
      </c>
      <c r="D8" s="65"/>
      <c r="E8" s="65"/>
      <c r="F8" s="87"/>
      <c r="G8" s="64"/>
      <c r="H8" s="64"/>
      <c r="I8" s="64"/>
      <c r="J8" s="64"/>
      <c r="K8" t="s">
        <v>108</v>
      </c>
      <c r="L8" t="s">
        <v>245</v>
      </c>
      <c r="M8" s="64"/>
    </row>
    <row r="9" spans="1:13" ht="15.95" customHeight="1" x14ac:dyDescent="0.25">
      <c r="A9" t="s">
        <v>104</v>
      </c>
      <c r="B9" t="s">
        <v>118</v>
      </c>
      <c r="C9" s="65" t="s">
        <v>119</v>
      </c>
      <c r="D9" s="65"/>
      <c r="E9" s="65"/>
      <c r="F9" s="87"/>
      <c r="G9" s="64"/>
      <c r="H9" s="64"/>
      <c r="I9" s="64"/>
      <c r="J9" s="64"/>
      <c r="K9" t="s">
        <v>108</v>
      </c>
      <c r="L9" t="s">
        <v>246</v>
      </c>
      <c r="M9" s="64"/>
    </row>
    <row r="10" spans="1:13" ht="15.95" customHeight="1" x14ac:dyDescent="0.25">
      <c r="A10" t="s">
        <v>104</v>
      </c>
      <c r="B10" t="s">
        <v>120</v>
      </c>
      <c r="C10" s="65" t="s">
        <v>121</v>
      </c>
      <c r="D10" s="65"/>
      <c r="E10" s="65"/>
      <c r="F10" s="87"/>
      <c r="G10" s="64"/>
      <c r="H10" s="64" t="s">
        <v>122</v>
      </c>
      <c r="I10" s="64"/>
      <c r="J10" s="64"/>
      <c r="K10" t="s">
        <v>108</v>
      </c>
      <c r="L10" t="s">
        <v>222</v>
      </c>
      <c r="M10" s="64"/>
    </row>
    <row r="11" spans="1:13" ht="15.95" customHeight="1" x14ac:dyDescent="0.25">
      <c r="A11" t="s">
        <v>104</v>
      </c>
      <c r="B11" t="s">
        <v>124</v>
      </c>
      <c r="C11" s="65" t="s">
        <v>125</v>
      </c>
      <c r="D11" s="65"/>
      <c r="E11" s="65"/>
      <c r="F11" s="87"/>
      <c r="G11" s="64"/>
      <c r="H11" s="64"/>
      <c r="I11" s="64"/>
      <c r="J11" s="64"/>
      <c r="M11" s="64"/>
    </row>
    <row r="12" spans="1:13" ht="15.95" customHeight="1" x14ac:dyDescent="0.25">
      <c r="A12" t="s">
        <v>104</v>
      </c>
      <c r="B12" t="s">
        <v>126</v>
      </c>
      <c r="C12" s="65" t="s">
        <v>127</v>
      </c>
      <c r="D12" s="65"/>
      <c r="E12" s="65"/>
      <c r="F12" s="87"/>
      <c r="G12" s="64"/>
      <c r="H12" s="64"/>
      <c r="I12" s="64"/>
      <c r="J12" s="64"/>
      <c r="M12" s="64"/>
    </row>
    <row r="13" spans="1:13" ht="15.95" customHeight="1" x14ac:dyDescent="0.25">
      <c r="A13" t="s">
        <v>104</v>
      </c>
      <c r="B13" t="s">
        <v>128</v>
      </c>
      <c r="C13" s="65" t="s">
        <v>129</v>
      </c>
      <c r="D13" s="65"/>
      <c r="E13" s="65"/>
      <c r="F13" s="87"/>
      <c r="G13" s="64"/>
      <c r="H13" s="64"/>
      <c r="I13" s="64"/>
      <c r="J13" s="64"/>
      <c r="M13" s="64"/>
    </row>
    <row r="14" spans="1:13" ht="15.95" customHeight="1" x14ac:dyDescent="0.25">
      <c r="A14" t="s">
        <v>104</v>
      </c>
      <c r="B14" t="s">
        <v>130</v>
      </c>
      <c r="C14" s="65" t="s">
        <v>131</v>
      </c>
      <c r="D14" s="65"/>
      <c r="E14" s="65"/>
      <c r="F14" s="87"/>
      <c r="G14" s="64"/>
      <c r="H14" s="64"/>
      <c r="I14" s="64"/>
      <c r="J14" s="64"/>
      <c r="M14" s="64"/>
    </row>
    <row r="15" spans="1:13" ht="15.95" customHeight="1" x14ac:dyDescent="0.25">
      <c r="A15" t="s">
        <v>104</v>
      </c>
      <c r="B15" t="s">
        <v>132</v>
      </c>
      <c r="C15" s="65" t="s">
        <v>133</v>
      </c>
      <c r="D15" s="87"/>
      <c r="E15" s="87"/>
      <c r="F15" s="87"/>
      <c r="G15" s="64"/>
      <c r="H15" s="64"/>
      <c r="I15" s="64"/>
      <c r="J15" s="64"/>
      <c r="M15" s="64"/>
    </row>
    <row r="16" spans="1:13" ht="15.95" customHeight="1" x14ac:dyDescent="0.25">
      <c r="A16" t="s">
        <v>104</v>
      </c>
      <c r="B16" t="s">
        <v>134</v>
      </c>
      <c r="C16" s="65" t="s">
        <v>135</v>
      </c>
      <c r="D16" s="87"/>
      <c r="E16" s="87"/>
      <c r="F16" s="87"/>
      <c r="G16" s="64"/>
      <c r="H16" s="64"/>
      <c r="I16" s="64"/>
      <c r="J16" s="64"/>
      <c r="K16" s="64"/>
      <c r="L16" s="64"/>
      <c r="M16" s="64"/>
    </row>
    <row r="17" spans="1:13" ht="15.95" customHeight="1" x14ac:dyDescent="0.25">
      <c r="A17" t="s">
        <v>104</v>
      </c>
      <c r="B17" t="s">
        <v>136</v>
      </c>
      <c r="C17" s="65" t="s">
        <v>137</v>
      </c>
      <c r="D17" s="87"/>
      <c r="E17" s="87"/>
      <c r="F17" s="87"/>
      <c r="G17" s="64"/>
      <c r="H17" s="64"/>
      <c r="I17" s="64"/>
      <c r="J17" s="64"/>
      <c r="K17" s="64"/>
      <c r="L17" s="64"/>
      <c r="M17" s="64"/>
    </row>
    <row r="18" spans="1:13" ht="15.95" customHeight="1" x14ac:dyDescent="0.25">
      <c r="A18" s="56" t="s">
        <v>138</v>
      </c>
      <c r="B18" s="56" t="s">
        <v>139</v>
      </c>
      <c r="C18" s="86" t="s">
        <v>106</v>
      </c>
      <c r="D18" s="86"/>
      <c r="E18" s="86"/>
      <c r="F18" s="88"/>
      <c r="G18" s="64"/>
      <c r="H18" s="64"/>
      <c r="I18" s="64"/>
      <c r="J18" s="64"/>
      <c r="K18" s="64"/>
      <c r="L18" s="64"/>
      <c r="M18" s="64"/>
    </row>
    <row r="19" spans="1:13" ht="15.95" customHeight="1" x14ac:dyDescent="0.25">
      <c r="A19" t="s">
        <v>138</v>
      </c>
      <c r="B19" t="str">
        <f>tblIndexPowerpoint7[[#This Row],[Content 1]]&amp;" "&amp;tblIndexPowerpoint7[[#This Row],[Content 2]]&amp;" "&amp;tblIndexPowerpoint7[[#This Row],[Content 3]]&amp;" "&amp;tblIndexPowerpoint7[[#This Row],[Layout]]</f>
        <v>PP_01 PP_02  Vertical</v>
      </c>
      <c r="C19" s="65" t="s">
        <v>106</v>
      </c>
      <c r="D19" s="65" t="s">
        <v>110</v>
      </c>
      <c r="E19" s="65"/>
      <c r="F19" s="87" t="s">
        <v>140</v>
      </c>
      <c r="G19" s="64"/>
      <c r="H19" s="64"/>
      <c r="I19" s="64"/>
      <c r="J19" s="64"/>
      <c r="K19" s="64"/>
      <c r="L19" s="64"/>
      <c r="M19" s="64"/>
    </row>
    <row r="20" spans="1:13" ht="15.95" customHeight="1" x14ac:dyDescent="0.25">
      <c r="A20" t="s">
        <v>138</v>
      </c>
      <c r="B20" t="str">
        <f>tblIndexPowerpoint7[[#This Row],[Content 1]]&amp;" "&amp;tblIndexPowerpoint7[[#This Row],[Content 2]]&amp;" "&amp;tblIndexPowerpoint7[[#This Row],[Content 3]]&amp;" "&amp;tblIndexPowerpoint7[[#This Row],[Layout]]</f>
        <v>PP_02 PP_03  Vertical</v>
      </c>
      <c r="C20" s="65" t="s">
        <v>110</v>
      </c>
      <c r="D20" s="65" t="s">
        <v>112</v>
      </c>
      <c r="E20" s="65"/>
      <c r="F20" s="87" t="s">
        <v>140</v>
      </c>
      <c r="G20" s="64"/>
      <c r="H20" s="64"/>
      <c r="I20" s="64"/>
      <c r="J20" s="64"/>
      <c r="K20" s="64"/>
      <c r="L20" s="64"/>
      <c r="M20" s="64"/>
    </row>
    <row r="21" spans="1:13" ht="15.95" customHeight="1" x14ac:dyDescent="0.25">
      <c r="A21" t="s">
        <v>138</v>
      </c>
      <c r="B21" t="str">
        <f>tblIndexPowerpoint7[[#This Row],[Content 1]]&amp;" "&amp;tblIndexPowerpoint7[[#This Row],[Content 2]]&amp;" "&amp;tblIndexPowerpoint7[[#This Row],[Content 3]]&amp;" "&amp;tblIndexPowerpoint7[[#This Row],[Layout]]</f>
        <v>PP_03 PP_04  Vertical</v>
      </c>
      <c r="C21" s="65" t="s">
        <v>112</v>
      </c>
      <c r="D21" s="65" t="s">
        <v>115</v>
      </c>
      <c r="E21" s="65"/>
      <c r="F21" s="87" t="s">
        <v>140</v>
      </c>
      <c r="G21" s="64"/>
      <c r="H21" s="64"/>
      <c r="I21" s="64"/>
      <c r="J21" s="64"/>
      <c r="K21" s="64"/>
      <c r="L21" s="64"/>
      <c r="M21" s="64"/>
    </row>
    <row r="22" spans="1:13" ht="15.95" customHeight="1" x14ac:dyDescent="0.25">
      <c r="A22" t="s">
        <v>138</v>
      </c>
      <c r="B22" t="str">
        <f>tblIndexPowerpoint7[[#This Row],[Content 1]]&amp;" "&amp;tblIndexPowerpoint7[[#This Row],[Content 2]]&amp;" "&amp;tblIndexPowerpoint7[[#This Row],[Content 3]]&amp;" "&amp;tblIndexPowerpoint7[[#This Row],[Layout]]</f>
        <v>PP_05 PP_06  Vertical</v>
      </c>
      <c r="C22" s="65" t="s">
        <v>117</v>
      </c>
      <c r="D22" s="65" t="s">
        <v>119</v>
      </c>
      <c r="E22" s="65"/>
      <c r="F22" s="87" t="s">
        <v>140</v>
      </c>
      <c r="G22" s="64"/>
      <c r="H22" s="64"/>
      <c r="I22" s="64"/>
      <c r="J22" s="64"/>
      <c r="K22" s="64"/>
      <c r="L22" s="64"/>
      <c r="M22" s="64"/>
    </row>
    <row r="23" spans="1:13" ht="15.95" customHeight="1" x14ac:dyDescent="0.25">
      <c r="A23" t="s">
        <v>138</v>
      </c>
      <c r="B23" t="str">
        <f>tblIndexPowerpoint7[[#This Row],[Content 1]]&amp;" "&amp;tblIndexPowerpoint7[[#This Row],[Content 2]]&amp;" "&amp;tblIndexPowerpoint7[[#This Row],[Content 3]]&amp;" "&amp;tblIndexPowerpoint7[[#This Row],[Layout]]</f>
        <v>PP_06 PP_07  Vertical</v>
      </c>
      <c r="C23" s="65" t="s">
        <v>119</v>
      </c>
      <c r="D23" s="65" t="s">
        <v>121</v>
      </c>
      <c r="E23" s="87"/>
      <c r="F23" s="87" t="s">
        <v>140</v>
      </c>
      <c r="G23" s="64"/>
      <c r="H23" s="64"/>
      <c r="I23" s="64"/>
      <c r="J23" s="64"/>
      <c r="K23" s="64"/>
      <c r="L23" s="64"/>
      <c r="M23" s="64"/>
    </row>
    <row r="24" spans="1:13" ht="15.95" customHeight="1" x14ac:dyDescent="0.25">
      <c r="A24" t="s">
        <v>138</v>
      </c>
      <c r="B24" t="str">
        <f>tblIndexPowerpoint7[[#This Row],[Content 1]]&amp;" "&amp;tblIndexPowerpoint7[[#This Row],[Content 2]]&amp;" "&amp;tblIndexPowerpoint7[[#This Row],[Content 3]]&amp;" "&amp;tblIndexPowerpoint7[[#This Row],[Layout]]</f>
        <v>PP_01 PP_02  Horizontal</v>
      </c>
      <c r="C24" s="65" t="s">
        <v>106</v>
      </c>
      <c r="D24" s="65" t="s">
        <v>110</v>
      </c>
      <c r="E24" s="87"/>
      <c r="F24" s="87" t="s">
        <v>141</v>
      </c>
      <c r="G24" s="64"/>
      <c r="H24" s="64"/>
      <c r="I24" s="64"/>
      <c r="J24" s="64"/>
      <c r="K24" s="64"/>
      <c r="L24" s="64"/>
      <c r="M24" s="64"/>
    </row>
    <row r="25" spans="1:13" ht="15.95" customHeight="1" x14ac:dyDescent="0.25">
      <c r="A25" t="s">
        <v>138</v>
      </c>
      <c r="B25" t="str">
        <f>tblIndexPowerpoint7[[#This Row],[Content 1]]&amp;" "&amp;tblIndexPowerpoint7[[#This Row],[Content 2]]&amp;" "&amp;tblIndexPowerpoint7[[#This Row],[Content 3]]&amp;" "&amp;tblIndexPowerpoint7[[#This Row],[Layout]]</f>
        <v>PP_02 PP_03  Horizontal</v>
      </c>
      <c r="C25" s="65" t="s">
        <v>110</v>
      </c>
      <c r="D25" s="65" t="s">
        <v>112</v>
      </c>
      <c r="E25" s="87"/>
      <c r="F25" s="87" t="s">
        <v>141</v>
      </c>
      <c r="G25" s="64"/>
      <c r="H25" s="64"/>
      <c r="I25" s="64"/>
      <c r="J25" s="64"/>
      <c r="K25" s="64"/>
      <c r="L25" s="64"/>
      <c r="M25" s="64"/>
    </row>
    <row r="26" spans="1:13" ht="15.95" customHeight="1" x14ac:dyDescent="0.25">
      <c r="A26" t="s">
        <v>138</v>
      </c>
      <c r="B26" t="str">
        <f>tblIndexPowerpoint7[[#This Row],[Content 1]]&amp;" "&amp;tblIndexPowerpoint7[[#This Row],[Content 2]]&amp;" "&amp;tblIndexPowerpoint7[[#This Row],[Content 3]]&amp;" "&amp;tblIndexPowerpoint7[[#This Row],[Layout]]</f>
        <v>PP_03 PP_04  Horizontal</v>
      </c>
      <c r="C26" s="65" t="s">
        <v>112</v>
      </c>
      <c r="D26" s="65" t="s">
        <v>115</v>
      </c>
      <c r="E26" s="87"/>
      <c r="F26" s="87" t="s">
        <v>141</v>
      </c>
      <c r="G26" s="64"/>
      <c r="H26" s="64"/>
      <c r="I26" s="64"/>
      <c r="J26" s="64"/>
      <c r="K26" s="64"/>
      <c r="L26" s="64"/>
      <c r="M26" s="64"/>
    </row>
    <row r="27" spans="1:13" ht="15.95" customHeight="1" x14ac:dyDescent="0.25">
      <c r="A27" t="s">
        <v>138</v>
      </c>
      <c r="B27" t="str">
        <f>tblIndexPowerpoint7[[#This Row],[Content 1]]&amp;" "&amp;tblIndexPowerpoint7[[#This Row],[Content 2]]&amp;" "&amp;tblIndexPowerpoint7[[#This Row],[Content 3]]&amp;" "&amp;tblIndexPowerpoint7[[#This Row],[Layout]]</f>
        <v>PP_05 PP_06  Horizontal</v>
      </c>
      <c r="C27" s="65" t="s">
        <v>117</v>
      </c>
      <c r="D27" s="65" t="s">
        <v>119</v>
      </c>
      <c r="E27" s="87"/>
      <c r="F27" s="87" t="s">
        <v>141</v>
      </c>
      <c r="G27" s="64"/>
      <c r="H27" s="64"/>
      <c r="I27" s="64"/>
      <c r="J27" s="64"/>
      <c r="K27" s="64"/>
      <c r="L27" s="64"/>
      <c r="M27" s="64"/>
    </row>
    <row r="28" spans="1:13" ht="15.95" customHeight="1" x14ac:dyDescent="0.25">
      <c r="A28" t="s">
        <v>138</v>
      </c>
      <c r="B28" t="str">
        <f>tblIndexPowerpoint7[[#This Row],[Content 1]]&amp;" "&amp;tblIndexPowerpoint7[[#This Row],[Content 2]]&amp;" "&amp;tblIndexPowerpoint7[[#This Row],[Content 3]]&amp;" "&amp;tblIndexPowerpoint7[[#This Row],[Layout]]</f>
        <v>PP_17   Horizontal</v>
      </c>
      <c r="C28" s="65" t="s">
        <v>186</v>
      </c>
      <c r="D28" s="65"/>
      <c r="E28" s="87"/>
      <c r="F28" s="87" t="s">
        <v>141</v>
      </c>
      <c r="G28" s="64"/>
      <c r="H28" s="64"/>
      <c r="I28" s="64"/>
      <c r="J28" s="64"/>
      <c r="K28" s="64"/>
      <c r="L28" s="64"/>
      <c r="M28" s="64"/>
    </row>
    <row r="29" spans="1:13" ht="15.95" customHeight="1" x14ac:dyDescent="0.25">
      <c r="A29" t="s">
        <v>138</v>
      </c>
      <c r="B29" t="str">
        <f>tblIndexPowerpoint7[[#This Row],[Content 1]]&amp;" "&amp;tblIndexPowerpoint7[[#This Row],[Content 2]]&amp;" "&amp;tblIndexPowerpoint7[[#This Row],[Content 3]]&amp;" "&amp;tblIndexPowerpoint7[[#This Row],[Layout]]</f>
        <v>PP_01 PP_02 PP_03 Vertical</v>
      </c>
      <c r="C29" s="65" t="s">
        <v>106</v>
      </c>
      <c r="D29" s="65" t="s">
        <v>110</v>
      </c>
      <c r="E29" s="65" t="s">
        <v>112</v>
      </c>
      <c r="F29" s="87" t="s">
        <v>140</v>
      </c>
      <c r="G29" s="64"/>
      <c r="H29" s="64"/>
      <c r="I29" s="64"/>
      <c r="J29" s="64"/>
      <c r="K29" s="64"/>
      <c r="L29" s="64"/>
      <c r="M29" s="64"/>
    </row>
    <row r="30" spans="1:13" ht="15.95" customHeight="1" x14ac:dyDescent="0.25">
      <c r="A30" t="s">
        <v>138</v>
      </c>
      <c r="B30" t="str">
        <f>tblIndexPowerpoint7[[#This Row],[Content 1]]&amp;" "&amp;tblIndexPowerpoint7[[#This Row],[Content 2]]&amp;" "&amp;tblIndexPowerpoint7[[#This Row],[Content 3]]&amp;" "&amp;tblIndexPowerpoint7[[#This Row],[Layout]]</f>
        <v>PP_04 PP_05 PP_06 Vertical</v>
      </c>
      <c r="C30" s="65" t="s">
        <v>115</v>
      </c>
      <c r="D30" s="65" t="s">
        <v>117</v>
      </c>
      <c r="E30" s="65" t="s">
        <v>119</v>
      </c>
      <c r="F30" s="87" t="s">
        <v>140</v>
      </c>
      <c r="G30" s="64"/>
      <c r="H30" s="64"/>
      <c r="I30" s="64"/>
      <c r="J30" s="64"/>
      <c r="K30" s="64"/>
      <c r="L30" s="64"/>
      <c r="M30" s="64"/>
    </row>
    <row r="31" spans="1:13" ht="15.95" customHeight="1" x14ac:dyDescent="0.25">
      <c r="A31" t="s">
        <v>138</v>
      </c>
      <c r="B31" t="str">
        <f>tblIndexPowerpoint7[[#This Row],[Content 1]]&amp;" "&amp;tblIndexPowerpoint7[[#This Row],[Content 2]]&amp;" "&amp;tblIndexPowerpoint7[[#This Row],[Content 3]]&amp;" "&amp;tblIndexPowerpoint7[[#This Row],[Layout]]</f>
        <v>PP_01 PP_02 PP_03 Horizontal</v>
      </c>
      <c r="C31" s="65" t="s">
        <v>106</v>
      </c>
      <c r="D31" s="65" t="s">
        <v>110</v>
      </c>
      <c r="E31" s="65" t="s">
        <v>112</v>
      </c>
      <c r="F31" s="87" t="s">
        <v>141</v>
      </c>
      <c r="G31" s="64"/>
      <c r="H31" s="64"/>
      <c r="I31" s="64"/>
      <c r="J31" s="64"/>
      <c r="K31" s="64"/>
      <c r="L31" s="64"/>
      <c r="M31" s="64"/>
    </row>
    <row r="32" spans="1:13" ht="15.95" customHeight="1" x14ac:dyDescent="0.25">
      <c r="A32" t="s">
        <v>138</v>
      </c>
      <c r="B32" t="str">
        <f>tblIndexPowerpoint7[[#This Row],[Content 1]]&amp;" "&amp;tblIndexPowerpoint7[[#This Row],[Content 2]]&amp;" "&amp;tblIndexPowerpoint7[[#This Row],[Content 3]]&amp;" "&amp;tblIndexPowerpoint7[[#This Row],[Layout]]</f>
        <v>PP_04 PP_05 PP_06 Horizontal</v>
      </c>
      <c r="C32" s="65" t="s">
        <v>115</v>
      </c>
      <c r="D32" s="65" t="s">
        <v>117</v>
      </c>
      <c r="E32" s="65" t="s">
        <v>119</v>
      </c>
      <c r="F32" s="87" t="s">
        <v>141</v>
      </c>
      <c r="G32" s="64"/>
      <c r="H32" s="64"/>
      <c r="I32" s="64"/>
      <c r="J32" s="64"/>
      <c r="K32" s="64"/>
      <c r="L32" s="64"/>
      <c r="M32" s="64"/>
    </row>
    <row r="33" spans="1:13" ht="15.95" customHeight="1" x14ac:dyDescent="0.25">
      <c r="A33" s="56"/>
      <c r="B33" s="56"/>
      <c r="C33" s="86"/>
      <c r="D33" s="86"/>
      <c r="E33" s="86"/>
      <c r="F33" s="88"/>
      <c r="G33" s="64"/>
      <c r="H33" s="64"/>
      <c r="I33" s="64"/>
      <c r="J33" s="64"/>
      <c r="K33" s="64"/>
      <c r="L33" s="64"/>
      <c r="M33" s="64"/>
    </row>
    <row r="34" spans="1:13" ht="15.95" customHeight="1" x14ac:dyDescent="0.25">
      <c r="C34" s="65"/>
      <c r="D34" s="65"/>
      <c r="E34" s="65"/>
      <c r="F34" s="87"/>
      <c r="G34" s="64"/>
      <c r="H34" s="64"/>
      <c r="I34" s="64"/>
      <c r="J34" s="64"/>
      <c r="K34" s="64"/>
      <c r="L34" s="64"/>
      <c r="M34" s="64"/>
    </row>
    <row r="35" spans="1:13" ht="15.95" customHeight="1" x14ac:dyDescent="0.25">
      <c r="C35" s="65"/>
      <c r="D35" s="65"/>
      <c r="E35" s="65"/>
      <c r="F35" s="87"/>
      <c r="G35" s="64"/>
      <c r="H35" s="64"/>
      <c r="I35" s="64"/>
      <c r="J35" s="64"/>
      <c r="K35" s="64"/>
      <c r="L35" s="64"/>
      <c r="M35" s="64"/>
    </row>
    <row r="36" spans="1:13" ht="15.95" customHeight="1" x14ac:dyDescent="0.25">
      <c r="C36" s="65"/>
      <c r="D36" s="65"/>
      <c r="E36" s="65"/>
      <c r="F36" s="87"/>
      <c r="G36" s="64"/>
      <c r="H36" s="64"/>
      <c r="I36" s="64"/>
      <c r="J36" s="64"/>
      <c r="K36" s="64"/>
      <c r="L36" s="64"/>
      <c r="M36" s="64"/>
    </row>
    <row r="37" spans="1:13" ht="15.95" customHeight="1" x14ac:dyDescent="0.25">
      <c r="C37" s="65"/>
      <c r="D37" s="65"/>
      <c r="E37" s="65"/>
      <c r="F37" s="87"/>
      <c r="G37" s="64"/>
      <c r="H37" s="64"/>
      <c r="I37" s="64"/>
      <c r="J37" s="64"/>
      <c r="K37" s="64"/>
      <c r="L37" s="64"/>
      <c r="M37" s="64"/>
    </row>
    <row r="38" spans="1:13" ht="15.95" customHeight="1" x14ac:dyDescent="0.25">
      <c r="C38" s="65"/>
      <c r="D38" s="65"/>
      <c r="E38" s="65"/>
      <c r="F38" s="87"/>
      <c r="G38" s="64"/>
      <c r="H38" s="64"/>
      <c r="I38" s="64"/>
      <c r="J38" s="64"/>
      <c r="K38" s="64"/>
      <c r="L38" s="64"/>
      <c r="M38" s="64"/>
    </row>
    <row r="39" spans="1:13" ht="15.95" customHeight="1" x14ac:dyDescent="0.25">
      <c r="C39" s="65"/>
      <c r="D39" s="65"/>
      <c r="E39" s="65"/>
      <c r="F39" s="87"/>
      <c r="G39" s="64"/>
      <c r="H39" s="64"/>
      <c r="I39" s="64"/>
      <c r="J39" s="64"/>
      <c r="K39" s="64"/>
      <c r="L39" s="64"/>
      <c r="M39" s="64"/>
    </row>
    <row r="40" spans="1:13" ht="15.95" customHeight="1" x14ac:dyDescent="0.25">
      <c r="C40" s="65"/>
      <c r="D40" s="87"/>
      <c r="E40" s="87"/>
      <c r="F40" s="87"/>
      <c r="G40" s="64"/>
      <c r="H40" s="64"/>
      <c r="I40" s="64"/>
      <c r="J40" s="64"/>
      <c r="K40" s="64"/>
      <c r="L40" s="64"/>
      <c r="M40" s="64"/>
    </row>
    <row r="41" spans="1:13" ht="15.95" customHeight="1" x14ac:dyDescent="0.25">
      <c r="C41" s="65"/>
      <c r="D41" s="87"/>
      <c r="E41" s="87"/>
      <c r="F41" s="87"/>
      <c r="G41" s="64"/>
      <c r="H41" s="64"/>
      <c r="I41" s="64"/>
      <c r="J41" s="64"/>
      <c r="K41" s="64"/>
      <c r="L41" s="64"/>
      <c r="M41" s="64"/>
    </row>
    <row r="42" spans="1:13" ht="15.95" customHeight="1" x14ac:dyDescent="0.25">
      <c r="C42" s="65"/>
      <c r="D42" s="87"/>
      <c r="E42" s="87"/>
      <c r="F42" s="87"/>
      <c r="G42" s="64"/>
      <c r="H42" s="64"/>
      <c r="I42" s="64"/>
      <c r="J42" s="64"/>
      <c r="K42" s="64"/>
      <c r="L42" s="64"/>
      <c r="M42" s="64"/>
    </row>
    <row r="43" spans="1:13" ht="15.95" customHeight="1" x14ac:dyDescent="0.25">
      <c r="C43" s="65"/>
      <c r="D43" s="87"/>
      <c r="E43" s="87"/>
      <c r="F43" s="87"/>
      <c r="G43" s="64"/>
      <c r="H43" s="64"/>
      <c r="I43" s="64"/>
      <c r="J43" s="64"/>
      <c r="K43" s="64"/>
      <c r="L43" s="64"/>
      <c r="M43" s="64"/>
    </row>
    <row r="44" spans="1:13" ht="15.95" customHeight="1" x14ac:dyDescent="0.25">
      <c r="C44" s="65"/>
      <c r="D44" s="87"/>
      <c r="E44" s="87"/>
      <c r="F44" s="87"/>
      <c r="G44" s="64"/>
      <c r="H44" s="64"/>
      <c r="I44" s="64"/>
      <c r="J44" s="64"/>
      <c r="K44" s="64"/>
      <c r="L44" s="64"/>
      <c r="M44" s="64"/>
    </row>
    <row r="45" spans="1:13" ht="15.95" customHeight="1" x14ac:dyDescent="0.25">
      <c r="C45" s="65"/>
      <c r="D45" s="87"/>
      <c r="E45" s="87"/>
      <c r="F45" s="87"/>
      <c r="G45" s="64"/>
      <c r="H45" s="64"/>
      <c r="I45" s="64"/>
      <c r="J45" s="64"/>
      <c r="K45" s="64"/>
      <c r="L45" s="64"/>
      <c r="M45" s="64"/>
    </row>
    <row r="46" spans="1:13" ht="15.95" customHeight="1" x14ac:dyDescent="0.25">
      <c r="C46" s="65"/>
      <c r="D46" s="87"/>
      <c r="E46" s="87"/>
      <c r="F46" s="87"/>
      <c r="G46" s="64"/>
      <c r="H46" s="64"/>
      <c r="I46" s="64"/>
      <c r="J46" s="64"/>
      <c r="K46" s="64"/>
      <c r="L46" s="64"/>
      <c r="M46" s="64"/>
    </row>
    <row r="47" spans="1:13" ht="15.95" customHeight="1" x14ac:dyDescent="0.25">
      <c r="C47" s="65"/>
      <c r="D47" s="87"/>
      <c r="E47" s="87"/>
      <c r="F47" s="87"/>
      <c r="G47" s="64"/>
      <c r="H47" s="64"/>
      <c r="I47" s="64"/>
      <c r="J47" s="64"/>
      <c r="K47" s="64"/>
      <c r="L47" s="64"/>
      <c r="M47" s="64"/>
    </row>
    <row r="48" spans="1:13" ht="15.95" customHeight="1" x14ac:dyDescent="0.25">
      <c r="C48" s="65"/>
      <c r="D48" s="87"/>
      <c r="E48" s="87"/>
      <c r="F48" s="87"/>
      <c r="G48" s="64"/>
      <c r="H48" s="64"/>
      <c r="I48" s="64"/>
      <c r="J48" s="64"/>
      <c r="K48" s="64"/>
      <c r="L48" s="64"/>
      <c r="M48" s="64"/>
    </row>
    <row r="49" spans="3:13" ht="15.95" customHeight="1" x14ac:dyDescent="0.25">
      <c r="C49" s="65"/>
      <c r="D49" s="87"/>
      <c r="E49" s="87"/>
      <c r="F49" s="87"/>
      <c r="G49" s="64"/>
      <c r="H49" s="64"/>
      <c r="I49" s="64"/>
      <c r="J49" s="64"/>
      <c r="K49" s="64"/>
      <c r="L49" s="64"/>
      <c r="M49" s="64"/>
    </row>
    <row r="50" spans="3:13" ht="15.95" customHeight="1" x14ac:dyDescent="0.25">
      <c r="C50" s="65"/>
      <c r="D50" s="87"/>
      <c r="E50" s="87"/>
      <c r="F50" s="87"/>
      <c r="G50" s="64"/>
      <c r="H50" s="64"/>
      <c r="I50" s="64"/>
      <c r="J50" s="64"/>
      <c r="K50" s="64"/>
      <c r="L50" s="64"/>
      <c r="M50" s="64"/>
    </row>
    <row r="51" spans="3:13" ht="15.95" customHeight="1" x14ac:dyDescent="0.25">
      <c r="C51" s="65"/>
      <c r="D51" s="87"/>
      <c r="E51" s="87"/>
      <c r="F51" s="87"/>
      <c r="G51" s="64"/>
      <c r="H51" s="64"/>
      <c r="I51" s="64"/>
      <c r="J51" s="64"/>
      <c r="K51" s="64"/>
      <c r="L51" s="64"/>
      <c r="M51" s="64"/>
    </row>
    <row r="52" spans="3:13" ht="15.95" customHeight="1" x14ac:dyDescent="0.25">
      <c r="C52" s="65"/>
      <c r="D52" s="87"/>
      <c r="E52" s="87"/>
      <c r="F52" s="87"/>
      <c r="G52" s="64"/>
      <c r="H52" s="64"/>
      <c r="I52" s="64"/>
      <c r="J52" s="64"/>
      <c r="K52" s="64"/>
      <c r="L52" s="64"/>
      <c r="M52" s="64"/>
    </row>
    <row r="53" spans="3:13" ht="15.95" customHeight="1" x14ac:dyDescent="0.25">
      <c r="C53" s="65"/>
      <c r="D53" s="87"/>
      <c r="E53" s="87"/>
      <c r="F53" s="87"/>
      <c r="G53" s="64"/>
      <c r="H53" s="64"/>
      <c r="I53" s="64"/>
      <c r="J53" s="64"/>
      <c r="K53" s="64"/>
      <c r="L53" s="64"/>
      <c r="M53" s="64"/>
    </row>
    <row r="54" spans="3:13" ht="15.95" customHeight="1" x14ac:dyDescent="0.25">
      <c r="C54" s="65"/>
      <c r="D54" s="87"/>
      <c r="E54" s="87"/>
      <c r="F54" s="87"/>
      <c r="G54" s="64"/>
      <c r="H54" s="64"/>
      <c r="I54" s="64"/>
      <c r="J54" s="64"/>
      <c r="K54" s="64"/>
      <c r="L54" s="64"/>
      <c r="M54" s="64"/>
    </row>
    <row r="55" spans="3:13" ht="15.95" customHeight="1" x14ac:dyDescent="0.25">
      <c r="C55" s="65"/>
      <c r="D55" s="87"/>
      <c r="E55" s="87"/>
      <c r="F55" s="87"/>
      <c r="G55" s="64"/>
      <c r="H55" s="64"/>
      <c r="I55" s="64"/>
      <c r="J55" s="64"/>
      <c r="K55" s="64"/>
      <c r="L55" s="64"/>
      <c r="M55" s="64"/>
    </row>
    <row r="56" spans="3:13" ht="15.95" customHeight="1" x14ac:dyDescent="0.25">
      <c r="C56" s="65"/>
      <c r="D56" s="87"/>
      <c r="E56" s="87"/>
      <c r="F56" s="87"/>
      <c r="G56" s="64"/>
      <c r="H56" s="64"/>
      <c r="I56" s="64"/>
      <c r="J56" s="64"/>
      <c r="K56" s="64"/>
      <c r="L56" s="64"/>
      <c r="M56" s="64"/>
    </row>
    <row r="57" spans="3:13" ht="15.95" customHeight="1" x14ac:dyDescent="0.25">
      <c r="C57" s="65"/>
      <c r="D57" s="87"/>
      <c r="E57" s="87"/>
      <c r="F57" s="87"/>
      <c r="G57" s="64"/>
      <c r="H57" s="64"/>
      <c r="I57" s="64"/>
      <c r="J57" s="64"/>
      <c r="K57" s="64"/>
      <c r="L57" s="64"/>
      <c r="M57" s="64"/>
    </row>
    <row r="58" spans="3:13" ht="15.95" customHeight="1" x14ac:dyDescent="0.25">
      <c r="C58" s="65"/>
      <c r="D58" s="87"/>
      <c r="E58" s="87"/>
      <c r="F58" s="87"/>
      <c r="G58" s="64"/>
      <c r="H58" s="64"/>
      <c r="I58" s="64"/>
      <c r="J58" s="64"/>
      <c r="K58" s="64"/>
      <c r="L58" s="64"/>
      <c r="M58" s="64"/>
    </row>
    <row r="59" spans="3:13" ht="15.95" customHeight="1" x14ac:dyDescent="0.25">
      <c r="C59" s="65"/>
      <c r="D59" s="87"/>
      <c r="E59" s="87"/>
      <c r="F59" s="87"/>
      <c r="G59" s="64"/>
      <c r="H59" s="64"/>
      <c r="I59" s="64"/>
      <c r="J59" s="64"/>
      <c r="K59" s="64"/>
      <c r="L59" s="64"/>
      <c r="M59" s="64"/>
    </row>
    <row r="60" spans="3:13" ht="15.95" customHeight="1" x14ac:dyDescent="0.25">
      <c r="C60" s="65"/>
      <c r="D60" s="87"/>
      <c r="E60" s="87"/>
      <c r="F60" s="87"/>
      <c r="G60" s="64"/>
      <c r="H60" s="64"/>
      <c r="I60" s="64"/>
      <c r="J60" s="64"/>
      <c r="K60" s="64"/>
      <c r="L60" s="64"/>
      <c r="M60" s="64"/>
    </row>
    <row r="61" spans="3:13" ht="15.95" customHeight="1" x14ac:dyDescent="0.25">
      <c r="C61" s="65"/>
      <c r="D61" s="87"/>
      <c r="E61" s="87"/>
      <c r="F61" s="87"/>
      <c r="G61" s="64"/>
      <c r="H61" s="64"/>
      <c r="I61" s="64"/>
      <c r="J61" s="64"/>
      <c r="K61" s="64"/>
      <c r="L61" s="64"/>
      <c r="M61" s="64"/>
    </row>
    <row r="62" spans="3:13" ht="15.95" customHeight="1" x14ac:dyDescent="0.25">
      <c r="C62" s="65"/>
      <c r="D62" s="87"/>
      <c r="E62" s="87"/>
      <c r="F62" s="87"/>
      <c r="G62" s="64"/>
      <c r="H62" s="64"/>
      <c r="I62" s="64"/>
      <c r="J62" s="64"/>
      <c r="K62" s="64"/>
      <c r="L62" s="64"/>
      <c r="M62" s="64"/>
    </row>
    <row r="63" spans="3:13" ht="15.95" customHeight="1" x14ac:dyDescent="0.25">
      <c r="C63" s="65"/>
      <c r="D63" s="87"/>
      <c r="E63" s="87"/>
      <c r="F63" s="87"/>
      <c r="G63" s="64"/>
      <c r="H63" s="64"/>
      <c r="I63" s="64"/>
      <c r="J63" s="64"/>
      <c r="K63" s="64"/>
      <c r="L63" s="64"/>
      <c r="M63" s="64"/>
    </row>
    <row r="64" spans="3:13" ht="15.95" customHeight="1" x14ac:dyDescent="0.25">
      <c r="C64" s="65"/>
      <c r="D64" s="87"/>
      <c r="E64" s="87"/>
      <c r="F64" s="87"/>
      <c r="G64" s="64"/>
      <c r="H64" s="64"/>
      <c r="I64" s="64"/>
      <c r="J64" s="64"/>
      <c r="K64" s="64"/>
      <c r="L64" s="64"/>
      <c r="M64" s="64"/>
    </row>
    <row r="65" spans="3:13" ht="15.95" customHeight="1" x14ac:dyDescent="0.25">
      <c r="C65" s="65"/>
      <c r="D65" s="87"/>
      <c r="E65" s="87"/>
      <c r="F65" s="87"/>
      <c r="G65" s="64"/>
      <c r="H65" s="64"/>
      <c r="I65" s="64"/>
      <c r="J65" s="64"/>
      <c r="K65" s="64"/>
      <c r="L65" s="64"/>
      <c r="M65" s="64"/>
    </row>
    <row r="66" spans="3:13" ht="15.95" customHeight="1" x14ac:dyDescent="0.25">
      <c r="C66" s="65"/>
      <c r="D66" s="87"/>
      <c r="E66" s="87"/>
      <c r="F66" s="87"/>
      <c r="G66" s="64"/>
      <c r="H66" s="64"/>
      <c r="I66" s="64"/>
      <c r="J66" s="64"/>
      <c r="K66" s="64"/>
      <c r="L66" s="64"/>
      <c r="M66" s="64"/>
    </row>
    <row r="67" spans="3:13" ht="15.95" customHeight="1" x14ac:dyDescent="0.25">
      <c r="C67" s="65"/>
      <c r="D67" s="87"/>
      <c r="E67" s="87"/>
      <c r="F67" s="87"/>
      <c r="G67" s="64"/>
      <c r="H67" s="64"/>
      <c r="I67" s="64"/>
      <c r="J67" s="64"/>
      <c r="K67" s="64"/>
      <c r="L67" s="64"/>
      <c r="M67" s="64"/>
    </row>
    <row r="68" spans="3:13" ht="15.95" customHeight="1" x14ac:dyDescent="0.25">
      <c r="C68" s="65"/>
      <c r="D68" s="87"/>
      <c r="E68" s="87"/>
      <c r="F68" s="87"/>
      <c r="G68" s="64"/>
      <c r="H68" s="64"/>
      <c r="I68" s="64"/>
      <c r="J68" s="64"/>
      <c r="K68" s="64"/>
      <c r="L68" s="64"/>
      <c r="M68" s="64"/>
    </row>
    <row r="69" spans="3:13" ht="15.95" customHeight="1" x14ac:dyDescent="0.25">
      <c r="C69" s="65"/>
      <c r="D69" s="87"/>
      <c r="E69" s="87"/>
      <c r="F69" s="87"/>
      <c r="G69" s="64"/>
      <c r="H69" s="64"/>
      <c r="I69" s="64"/>
      <c r="J69" s="64"/>
      <c r="K69" s="64"/>
      <c r="L69" s="64"/>
      <c r="M69" s="64"/>
    </row>
    <row r="70" spans="3:13" ht="15.95" customHeight="1" x14ac:dyDescent="0.25">
      <c r="C70" s="65"/>
      <c r="D70" s="87"/>
      <c r="E70" s="87"/>
      <c r="F70" s="87"/>
      <c r="G70" s="64"/>
      <c r="H70" s="64"/>
      <c r="I70" s="64"/>
      <c r="J70" s="64"/>
      <c r="K70" s="64"/>
      <c r="L70" s="64"/>
      <c r="M70" s="64"/>
    </row>
    <row r="71" spans="3:13" ht="15.95" customHeight="1" x14ac:dyDescent="0.25">
      <c r="C71" s="65"/>
      <c r="D71" s="87"/>
      <c r="E71" s="87"/>
      <c r="F71" s="87"/>
      <c r="G71" s="64"/>
      <c r="H71" s="64"/>
      <c r="I71" s="64"/>
      <c r="J71" s="64"/>
      <c r="K71" s="64"/>
      <c r="L71" s="64"/>
      <c r="M71" s="64"/>
    </row>
    <row r="72" spans="3:13" ht="15.95" customHeight="1" x14ac:dyDescent="0.25">
      <c r="C72" s="65"/>
      <c r="D72" s="87"/>
      <c r="E72" s="87"/>
      <c r="F72" s="87"/>
      <c r="G72" s="64"/>
      <c r="H72" s="64"/>
      <c r="I72" s="64"/>
      <c r="J72" s="64"/>
      <c r="K72" s="64"/>
      <c r="L72" s="64"/>
      <c r="M72" s="64"/>
    </row>
    <row r="73" spans="3:13" ht="15.95" customHeight="1" x14ac:dyDescent="0.25">
      <c r="C73" s="65"/>
      <c r="D73" s="87"/>
      <c r="E73" s="87"/>
      <c r="F73" s="87"/>
      <c r="G73" s="64"/>
      <c r="H73" s="64"/>
      <c r="I73" s="64"/>
      <c r="J73" s="64"/>
      <c r="K73" s="64"/>
      <c r="L73" s="64"/>
      <c r="M73" s="64"/>
    </row>
    <row r="74" spans="3:13" ht="15.95" customHeight="1" x14ac:dyDescent="0.25">
      <c r="C74" s="65"/>
      <c r="D74" s="87"/>
      <c r="E74" s="87"/>
      <c r="F74" s="87"/>
      <c r="G74" s="64"/>
      <c r="H74" s="64"/>
      <c r="I74" s="64"/>
      <c r="J74" s="64"/>
      <c r="K74" s="64"/>
      <c r="L74" s="64"/>
      <c r="M74" s="64"/>
    </row>
    <row r="75" spans="3:13" ht="15.95" customHeight="1" x14ac:dyDescent="0.25">
      <c r="C75" s="65"/>
      <c r="D75" s="87"/>
      <c r="E75" s="87"/>
      <c r="F75" s="87"/>
      <c r="G75" s="64"/>
      <c r="H75" s="64"/>
      <c r="I75" s="64"/>
      <c r="J75" s="64"/>
      <c r="K75" s="64"/>
      <c r="L75" s="64"/>
      <c r="M75" s="64"/>
    </row>
    <row r="76" spans="3:13" ht="15.95" customHeight="1" x14ac:dyDescent="0.25">
      <c r="C76" s="65"/>
      <c r="D76" s="87"/>
      <c r="E76" s="87"/>
      <c r="F76" s="87"/>
      <c r="G76" s="64"/>
      <c r="H76" s="64"/>
      <c r="I76" s="64"/>
      <c r="J76" s="64"/>
      <c r="K76" s="64"/>
      <c r="L76" s="64"/>
      <c r="M76" s="64"/>
    </row>
    <row r="77" spans="3:13" ht="15.95" customHeight="1" x14ac:dyDescent="0.25">
      <c r="C77" s="65"/>
      <c r="D77" s="87"/>
      <c r="E77" s="87"/>
      <c r="F77" s="87"/>
      <c r="G77" s="64"/>
      <c r="H77" s="64"/>
      <c r="I77" s="64"/>
      <c r="J77" s="64"/>
      <c r="K77" s="64"/>
      <c r="L77" s="64"/>
      <c r="M77" s="64"/>
    </row>
    <row r="78" spans="3:13" ht="15.95" customHeight="1" x14ac:dyDescent="0.25">
      <c r="C78" s="65"/>
      <c r="D78" s="87"/>
      <c r="E78" s="87"/>
      <c r="F78" s="87"/>
      <c r="G78" s="64"/>
      <c r="H78" s="64"/>
      <c r="I78" s="64"/>
      <c r="J78" s="64"/>
      <c r="K78" s="64"/>
      <c r="L78" s="64"/>
      <c r="M78" s="64"/>
    </row>
    <row r="79" spans="3:13" ht="15.95" customHeight="1" x14ac:dyDescent="0.25">
      <c r="C79" s="65"/>
      <c r="D79" s="87"/>
      <c r="E79" s="87"/>
      <c r="F79" s="87"/>
      <c r="G79" s="64"/>
      <c r="H79" s="64"/>
      <c r="I79" s="64"/>
      <c r="J79" s="64"/>
      <c r="K79" s="64"/>
      <c r="L79" s="64"/>
      <c r="M79" s="64"/>
    </row>
    <row r="80" spans="3:13" ht="15.95" customHeight="1" x14ac:dyDescent="0.25">
      <c r="C80" s="65"/>
      <c r="D80" s="87"/>
      <c r="E80" s="87"/>
      <c r="F80" s="87"/>
      <c r="G80" s="64"/>
      <c r="H80" s="64"/>
      <c r="I80" s="64"/>
      <c r="J80" s="64"/>
      <c r="K80" s="64"/>
      <c r="L80" s="64"/>
      <c r="M80" s="64"/>
    </row>
    <row r="81" spans="3:13" ht="15.95" customHeight="1" x14ac:dyDescent="0.25">
      <c r="C81" s="65"/>
      <c r="D81" s="87"/>
      <c r="E81" s="87"/>
      <c r="F81" s="87"/>
      <c r="G81" s="64"/>
      <c r="H81" s="64"/>
      <c r="I81" s="64"/>
      <c r="J81" s="64"/>
      <c r="K81" s="64"/>
      <c r="L81" s="64"/>
      <c r="M81" s="64"/>
    </row>
    <row r="82" spans="3:13" ht="15.95" customHeight="1" x14ac:dyDescent="0.25">
      <c r="C82" s="65"/>
      <c r="D82" s="87"/>
      <c r="E82" s="87"/>
      <c r="F82" s="87"/>
      <c r="G82" s="64"/>
      <c r="H82" s="64"/>
      <c r="I82" s="64"/>
      <c r="J82" s="64"/>
      <c r="K82" s="64"/>
      <c r="L82" s="64"/>
      <c r="M82" s="64"/>
    </row>
  </sheetData>
  <mergeCells count="2">
    <mergeCell ref="A1:F2"/>
    <mergeCell ref="K1:L2"/>
  </mergeCells>
  <dataValidations count="2">
    <dataValidation type="list" allowBlank="1" showInputMessage="1" showErrorMessage="1" sqref="F4:F14 F18:F82" xr:uid="{00000000-0002-0000-0800-000000000000}">
      <formula1>"Horizontal,Vertical"</formula1>
    </dataValidation>
    <dataValidation type="list" allowBlank="1" showInputMessage="1" showErrorMessage="1" sqref="K4:K15" xr:uid="{00000000-0002-0000-0800-000001000000}">
      <formula1>"SUPERDETTAGLI,BUDGET,FORECAST,RUNRATE"</formula1>
    </dataValidation>
  </dataValidations>
  <pageMargins left="0.7" right="0.7" top="0.75" bottom="0.75" header="0.3" footer="0.3"/>
  <pageSetup paperSize="9" orientation="portrait"/>
  <drawing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6"/>
  <sheetViews>
    <sheetView workbookViewId="0">
      <selection sqref="A1:B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41" t="s">
        <v>207</v>
      </c>
      <c r="B1" s="142"/>
    </row>
    <row r="2" spans="1:2" ht="15.75" thickBot="1" x14ac:dyDescent="0.3">
      <c r="A2" s="83" t="s">
        <v>142</v>
      </c>
      <c r="B2" s="84" t="s">
        <v>143</v>
      </c>
    </row>
    <row r="3" spans="1:2" x14ac:dyDescent="0.25">
      <c r="A3" s="81" t="s">
        <v>144</v>
      </c>
      <c r="B3" s="82" t="s">
        <v>145</v>
      </c>
    </row>
    <row r="4" spans="1:2" x14ac:dyDescent="0.25">
      <c r="A4" s="77" t="s">
        <v>146</v>
      </c>
      <c r="B4" s="78" t="s">
        <v>147</v>
      </c>
    </row>
    <row r="5" spans="1:2" x14ac:dyDescent="0.25">
      <c r="A5" s="77" t="s">
        <v>148</v>
      </c>
      <c r="B5" s="78" t="s">
        <v>149</v>
      </c>
    </row>
    <row r="6" spans="1:2" x14ac:dyDescent="0.25">
      <c r="A6" s="77" t="s">
        <v>150</v>
      </c>
      <c r="B6" s="78" t="s">
        <v>151</v>
      </c>
    </row>
    <row r="7" spans="1:2" x14ac:dyDescent="0.25">
      <c r="A7" s="77" t="s">
        <v>152</v>
      </c>
      <c r="B7" s="78" t="s">
        <v>212</v>
      </c>
    </row>
    <row r="8" spans="1:2" x14ac:dyDescent="0.25">
      <c r="A8" s="77" t="s">
        <v>206</v>
      </c>
      <c r="B8" s="78" t="s">
        <v>213</v>
      </c>
    </row>
    <row r="9" spans="1:2" x14ac:dyDescent="0.25">
      <c r="A9" s="77" t="s">
        <v>211</v>
      </c>
      <c r="B9" s="78" t="s">
        <v>214</v>
      </c>
    </row>
    <row r="10" spans="1:2" x14ac:dyDescent="0.25">
      <c r="A10" s="77"/>
      <c r="B10" s="78"/>
    </row>
    <row r="11" spans="1:2" x14ac:dyDescent="0.25">
      <c r="A11" s="77"/>
      <c r="B11" s="78"/>
    </row>
    <row r="12" spans="1:2" x14ac:dyDescent="0.25">
      <c r="A12" s="77"/>
      <c r="B12" s="78"/>
    </row>
    <row r="13" spans="1:2" x14ac:dyDescent="0.25">
      <c r="A13" s="77"/>
      <c r="B13" s="78"/>
    </row>
    <row r="14" spans="1:2" x14ac:dyDescent="0.25">
      <c r="A14" s="77"/>
      <c r="B14" s="78"/>
    </row>
    <row r="15" spans="1:2" x14ac:dyDescent="0.25">
      <c r="A15" s="77"/>
      <c r="B15" s="78"/>
    </row>
    <row r="16" spans="1:2" x14ac:dyDescent="0.25">
      <c r="A16" s="77"/>
      <c r="B16" s="78"/>
    </row>
    <row r="17" spans="1:2" x14ac:dyDescent="0.25">
      <c r="A17" s="77"/>
      <c r="B17" s="78"/>
    </row>
    <row r="18" spans="1:2" x14ac:dyDescent="0.25">
      <c r="A18" s="77"/>
      <c r="B18" s="78"/>
    </row>
    <row r="19" spans="1:2" x14ac:dyDescent="0.25">
      <c r="A19" s="77"/>
      <c r="B19" s="78"/>
    </row>
    <row r="20" spans="1:2" x14ac:dyDescent="0.25">
      <c r="A20" s="77"/>
      <c r="B20" s="78"/>
    </row>
    <row r="21" spans="1:2" x14ac:dyDescent="0.25">
      <c r="A21" s="79"/>
      <c r="B21" s="80"/>
    </row>
    <row r="26" spans="1:2" x14ac:dyDescent="0.25">
      <c r="A26" s="85" t="s">
        <v>153</v>
      </c>
    </row>
  </sheetData>
  <mergeCells count="1">
    <mergeCell ref="A1:B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6"/>
  <sheetViews>
    <sheetView workbookViewId="0">
      <selection sqref="A1:B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41" t="s">
        <v>154</v>
      </c>
      <c r="B1" s="142"/>
    </row>
    <row r="2" spans="1:2" x14ac:dyDescent="0.25">
      <c r="A2" s="83" t="s">
        <v>142</v>
      </c>
      <c r="B2" s="84" t="s">
        <v>143</v>
      </c>
    </row>
    <row r="3" spans="1:2" x14ac:dyDescent="0.25">
      <c r="A3" s="77" t="s">
        <v>216</v>
      </c>
      <c r="B3" s="78" t="s">
        <v>217</v>
      </c>
    </row>
    <row r="4" spans="1:2" x14ac:dyDescent="0.25">
      <c r="A4" s="81" t="s">
        <v>155</v>
      </c>
      <c r="B4" s="82" t="s">
        <v>156</v>
      </c>
    </row>
    <row r="5" spans="1:2" x14ac:dyDescent="0.25">
      <c r="A5" s="77" t="s">
        <v>157</v>
      </c>
      <c r="B5" s="78" t="s">
        <v>158</v>
      </c>
    </row>
    <row r="6" spans="1:2" x14ac:dyDescent="0.25">
      <c r="A6" s="77" t="s">
        <v>159</v>
      </c>
      <c r="B6" s="78" t="s">
        <v>160</v>
      </c>
    </row>
    <row r="7" spans="1:2" x14ac:dyDescent="0.25">
      <c r="A7" s="77" t="s">
        <v>161</v>
      </c>
      <c r="B7" s="78" t="s">
        <v>162</v>
      </c>
    </row>
    <row r="8" spans="1:2" x14ac:dyDescent="0.25">
      <c r="A8" s="77" t="s">
        <v>163</v>
      </c>
      <c r="B8" s="78" t="s">
        <v>209</v>
      </c>
    </row>
    <row r="9" spans="1:2" x14ac:dyDescent="0.25">
      <c r="A9" s="108" t="s">
        <v>208</v>
      </c>
      <c r="B9" s="78" t="s">
        <v>210</v>
      </c>
    </row>
    <row r="10" spans="1:2" x14ac:dyDescent="0.25">
      <c r="A10" s="77"/>
      <c r="B10" s="78"/>
    </row>
    <row r="11" spans="1:2" x14ac:dyDescent="0.25">
      <c r="A11" s="77"/>
      <c r="B11" s="78"/>
    </row>
    <row r="12" spans="1:2" x14ac:dyDescent="0.25">
      <c r="A12" s="77"/>
      <c r="B12" s="78"/>
    </row>
    <row r="13" spans="1:2" x14ac:dyDescent="0.25">
      <c r="A13" s="77"/>
      <c r="B13" s="78"/>
    </row>
    <row r="14" spans="1:2" x14ac:dyDescent="0.25">
      <c r="A14" s="77"/>
      <c r="B14" s="78"/>
    </row>
    <row r="15" spans="1:2" x14ac:dyDescent="0.25">
      <c r="A15" s="77"/>
      <c r="B15" s="78"/>
    </row>
    <row r="16" spans="1:2" x14ac:dyDescent="0.25">
      <c r="A16" s="77"/>
      <c r="B16" s="78"/>
    </row>
    <row r="17" spans="1:2" x14ac:dyDescent="0.25">
      <c r="A17" s="77"/>
      <c r="B17" s="78"/>
    </row>
    <row r="18" spans="1:2" x14ac:dyDescent="0.25">
      <c r="A18" s="77"/>
      <c r="B18" s="78"/>
    </row>
    <row r="19" spans="1:2" x14ac:dyDescent="0.25">
      <c r="A19" s="77"/>
      <c r="B19" s="78"/>
    </row>
    <row r="20" spans="1:2" x14ac:dyDescent="0.25">
      <c r="A20" s="77"/>
      <c r="B20" s="78"/>
    </row>
    <row r="21" spans="1:2" x14ac:dyDescent="0.25">
      <c r="A21" s="79"/>
      <c r="B21" s="80"/>
    </row>
    <row r="26" spans="1:2" x14ac:dyDescent="0.25">
      <c r="A26" s="85" t="s">
        <v>153</v>
      </c>
    </row>
  </sheetData>
  <mergeCells count="1">
    <mergeCell ref="A1:B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43" t="s">
        <v>164</v>
      </c>
      <c r="B1" s="143"/>
      <c r="C1" s="55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7"/>
    </row>
    <row r="2" spans="1:16" x14ac:dyDescent="0.25">
      <c r="A2" s="54" t="s">
        <v>165</v>
      </c>
      <c r="B2" s="76" t="s">
        <v>166</v>
      </c>
      <c r="C2" s="58"/>
      <c r="P2" s="59"/>
    </row>
    <row r="3" spans="1:16" x14ac:dyDescent="0.25">
      <c r="A3" s="73"/>
      <c r="B3" s="70"/>
      <c r="C3" s="58"/>
      <c r="P3" s="59"/>
    </row>
    <row r="4" spans="1:16" x14ac:dyDescent="0.25">
      <c r="A4" s="74"/>
      <c r="B4" s="75"/>
      <c r="C4" s="58"/>
      <c r="P4" s="59"/>
    </row>
    <row r="5" spans="1:16" x14ac:dyDescent="0.25">
      <c r="A5" s="73"/>
      <c r="B5" s="70"/>
      <c r="C5" s="58"/>
      <c r="P5" s="59"/>
    </row>
    <row r="6" spans="1:16" x14ac:dyDescent="0.25">
      <c r="A6" s="73"/>
      <c r="B6" s="70"/>
      <c r="C6" s="58"/>
      <c r="P6" s="59"/>
    </row>
    <row r="7" spans="1:16" x14ac:dyDescent="0.25">
      <c r="C7" s="58"/>
      <c r="P7" s="59"/>
    </row>
    <row r="8" spans="1:16" x14ac:dyDescent="0.25">
      <c r="C8" s="58"/>
      <c r="P8" s="59"/>
    </row>
    <row r="9" spans="1:16" x14ac:dyDescent="0.25">
      <c r="C9" s="58"/>
      <c r="P9" s="59"/>
    </row>
    <row r="10" spans="1:16" x14ac:dyDescent="0.25">
      <c r="C10" s="58"/>
      <c r="P10" s="59"/>
    </row>
    <row r="11" spans="1:16" x14ac:dyDescent="0.25">
      <c r="C11" s="58"/>
      <c r="P11" s="59"/>
    </row>
    <row r="12" spans="1:16" x14ac:dyDescent="0.25">
      <c r="C12" s="58"/>
      <c r="P12" s="59"/>
    </row>
    <row r="13" spans="1:16" x14ac:dyDescent="0.25">
      <c r="C13" s="58"/>
      <c r="P13" s="59"/>
    </row>
    <row r="14" spans="1:16" x14ac:dyDescent="0.25">
      <c r="C14" s="58"/>
      <c r="P14" s="59"/>
    </row>
    <row r="15" spans="1:16" x14ac:dyDescent="0.25">
      <c r="C15" s="58"/>
      <c r="P15" s="59"/>
    </row>
    <row r="16" spans="1:16" x14ac:dyDescent="0.25">
      <c r="C16" s="58"/>
      <c r="P16" s="59"/>
    </row>
    <row r="17" spans="3:16" x14ac:dyDescent="0.25">
      <c r="C17" s="58"/>
      <c r="P17" s="59"/>
    </row>
    <row r="18" spans="3:16" x14ac:dyDescent="0.25">
      <c r="C18" s="58"/>
      <c r="P18" s="59"/>
    </row>
    <row r="19" spans="3:16" x14ac:dyDescent="0.25">
      <c r="C19" s="58"/>
      <c r="P19" s="59"/>
    </row>
    <row r="20" spans="3:16" x14ac:dyDescent="0.25">
      <c r="C20" s="58"/>
      <c r="P20" s="59"/>
    </row>
    <row r="21" spans="3:16" x14ac:dyDescent="0.25">
      <c r="C21" s="58"/>
      <c r="P21" s="59"/>
    </row>
    <row r="22" spans="3:16" x14ac:dyDescent="0.25">
      <c r="C22" s="58"/>
      <c r="P22" s="59"/>
    </row>
    <row r="23" spans="3:16" x14ac:dyDescent="0.25">
      <c r="C23" s="58"/>
      <c r="P23" s="59"/>
    </row>
    <row r="24" spans="3:16" x14ac:dyDescent="0.25">
      <c r="C24" s="58"/>
      <c r="P24" s="59"/>
    </row>
    <row r="25" spans="3:16" x14ac:dyDescent="0.25">
      <c r="C25" s="58"/>
      <c r="P25" s="59"/>
    </row>
    <row r="26" spans="3:16" x14ac:dyDescent="0.25">
      <c r="C26" s="58"/>
      <c r="P26" s="59"/>
    </row>
    <row r="27" spans="3:16" x14ac:dyDescent="0.25">
      <c r="C27" s="58"/>
      <c r="P27" s="59"/>
    </row>
    <row r="28" spans="3:16" x14ac:dyDescent="0.25">
      <c r="C28" s="58"/>
      <c r="P28" s="59"/>
    </row>
    <row r="29" spans="3:16" x14ac:dyDescent="0.25">
      <c r="C29" s="58"/>
      <c r="P29" s="59"/>
    </row>
    <row r="30" spans="3:16" x14ac:dyDescent="0.25">
      <c r="C30" s="61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3"/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zoomScaleNormal="100" workbookViewId="0">
      <selection activeCell="B17" sqref="B17"/>
    </sheetView>
  </sheetViews>
  <sheetFormatPr defaultRowHeight="15" x14ac:dyDescent="0.25"/>
  <cols>
    <col min="1" max="3" width="15.7109375" customWidth="1"/>
    <col min="4" max="4" width="25.140625" bestFit="1" customWidth="1"/>
  </cols>
  <sheetData>
    <row r="1" spans="1:3" ht="15.75" x14ac:dyDescent="0.25">
      <c r="A1" s="148" t="s">
        <v>164</v>
      </c>
      <c r="B1" s="149"/>
      <c r="C1" s="107"/>
    </row>
    <row r="2" spans="1:3" x14ac:dyDescent="0.25">
      <c r="A2" s="105" t="s">
        <v>165</v>
      </c>
      <c r="B2" s="106" t="s">
        <v>167</v>
      </c>
      <c r="C2" s="87"/>
    </row>
    <row r="3" spans="1:3" x14ac:dyDescent="0.25">
      <c r="A3" s="70"/>
      <c r="B3" s="70"/>
      <c r="C3" s="70"/>
    </row>
    <row r="4" spans="1:3" x14ac:dyDescent="0.25">
      <c r="A4" s="70" t="s">
        <v>105</v>
      </c>
      <c r="B4" s="70"/>
      <c r="C4" s="70"/>
    </row>
    <row r="5" spans="1:3" x14ac:dyDescent="0.25">
      <c r="A5" s="70">
        <v>1</v>
      </c>
      <c r="B5" s="70"/>
      <c r="C5" s="70"/>
    </row>
    <row r="6" spans="1:3" x14ac:dyDescent="0.25">
      <c r="A6" s="70"/>
      <c r="B6" s="70"/>
      <c r="C6" s="70"/>
    </row>
    <row r="22" spans="4:16" x14ac:dyDescent="0.25">
      <c r="E22" s="144">
        <v>2023</v>
      </c>
      <c r="F22" s="145"/>
      <c r="G22" s="144">
        <v>2024</v>
      </c>
      <c r="H22" s="145"/>
      <c r="I22" s="150">
        <v>2025</v>
      </c>
      <c r="J22" s="151"/>
      <c r="K22" s="152">
        <v>2025</v>
      </c>
      <c r="L22" s="153"/>
      <c r="M22" s="144">
        <v>2025</v>
      </c>
      <c r="N22" s="145"/>
      <c r="O22" s="146" t="s">
        <v>168</v>
      </c>
      <c r="P22" s="147"/>
    </row>
    <row r="23" spans="4:16" ht="30" x14ac:dyDescent="0.25">
      <c r="D23" s="89"/>
      <c r="E23" s="2" t="s">
        <v>73</v>
      </c>
      <c r="F23" s="2" t="s">
        <v>169</v>
      </c>
      <c r="G23" s="2" t="s">
        <v>73</v>
      </c>
      <c r="H23" s="2" t="s">
        <v>169</v>
      </c>
      <c r="I23" s="2" t="s">
        <v>73</v>
      </c>
      <c r="J23" s="2" t="s">
        <v>169</v>
      </c>
      <c r="K23" s="2" t="s">
        <v>73</v>
      </c>
      <c r="L23" s="2" t="s">
        <v>169</v>
      </c>
      <c r="M23" s="2" t="s">
        <v>73</v>
      </c>
      <c r="N23" s="2" t="s">
        <v>169</v>
      </c>
      <c r="O23" s="2" t="s">
        <v>73</v>
      </c>
      <c r="P23" s="2" t="s">
        <v>169</v>
      </c>
    </row>
    <row r="24" spans="4:16" x14ac:dyDescent="0.25">
      <c r="D24" s="90" t="s">
        <v>35</v>
      </c>
      <c r="E24" s="3">
        <f>SUMIFS(tabSuperdettagli[ORE_],tabSuperdettagli[da considerare?_],"sì",tabSuperdettagli[Anno_],$E$22,tabSuperdettagli[BussinessArea Cluster],$D24)/1000</f>
        <v>0</v>
      </c>
      <c r="F24" s="4"/>
      <c r="G24" s="4">
        <f>SUMIFS(tabSuperdettagli[ORE_],tabSuperdettagli[da considerare?_],"sì",tabSuperdettagli[Anno_],G$22,tabSuperdettagli[BussinessArea Cluster],$D24)/1000</f>
        <v>0</v>
      </c>
      <c r="H24" s="4"/>
      <c r="I24" s="4">
        <f>SUMIFS(tblBudget[BDG_],tblBudget[da considerare?_],"sì",tblBudget[BusinessArea_],$D24)/1000</f>
        <v>0</v>
      </c>
      <c r="J24" s="4"/>
      <c r="K24" s="4">
        <v>0.51300000000000001</v>
      </c>
      <c r="L24" s="4"/>
      <c r="M24" s="4">
        <f>SUMIFS(tabSuperdettagli[ORE_],tabSuperdettagli[da considerare?_],"sì",tabSuperdettagli[Anno_],M$22,tabSuperdettagli[BussinessArea Cluster],$D24)/1000</f>
        <v>0</v>
      </c>
      <c r="N24" s="4"/>
      <c r="O24" s="4">
        <f>SUMIFS(tblForecast[FORECAST Totale_],tblForecast[da considerare?],"sì",tblForecast[Business],D24)/1000</f>
        <v>0</v>
      </c>
      <c r="P24" s="5"/>
    </row>
    <row r="25" spans="4:16" x14ac:dyDescent="0.25">
      <c r="D25" s="91" t="s">
        <v>170</v>
      </c>
      <c r="E25" s="6">
        <f>SUMIFS(tabSuperdettagli[ORE_],tabSuperdettagli[da considerare?_],"sì",tabSuperdettagli[Anno_],$E$22,tabSuperdettagli[BussinessArea Cluster],$D25)/1000</f>
        <v>0</v>
      </c>
      <c r="F25" s="7"/>
      <c r="G25" s="7">
        <f>SUMIFS(tabSuperdettagli[ORE_],tabSuperdettagli[da considerare?_],"sì",tabSuperdettagli[Anno_],G$22,tabSuperdettagli[BussinessArea Cluster],$D25)/1000</f>
        <v>0</v>
      </c>
      <c r="H25" s="7"/>
      <c r="I25" s="7">
        <f>SUMIFS(tblBudget[BDG_],tblBudget[da considerare?_],"sì",tblBudget[BusinessArea_],$D25)/1000</f>
        <v>0</v>
      </c>
      <c r="J25" s="7"/>
      <c r="K25" s="7">
        <f t="shared" ref="K25:K29" si="0">M25/cell_perc_RR</f>
        <v>0</v>
      </c>
      <c r="L25" s="7"/>
      <c r="M25" s="7">
        <f>SUMIFS(tabSuperdettagli[ORE_],tabSuperdettagli[da considerare?_],"sì",tabSuperdettagli[Anno_],M$22,tabSuperdettagli[BussinessArea Cluster],$D25)/1000</f>
        <v>0</v>
      </c>
      <c r="N25" s="7"/>
      <c r="O25" s="7">
        <f>SUMIFS(tblForecast[FORECAST Totale_],tblForecast[da considerare?],"sì",tblForecast[Business],D25)/1000</f>
        <v>0</v>
      </c>
      <c r="P25" s="8"/>
    </row>
    <row r="26" spans="4:16" x14ac:dyDescent="0.25">
      <c r="D26" s="92" t="s">
        <v>171</v>
      </c>
      <c r="E26" s="9">
        <f>SUMIFS(tabSuperdettagli[ORE_],tabSuperdettagli[da considerare?_],"sì",tabSuperdettagli[Anno_],$E$22,tabSuperdettagli[BussinessArea Cluster],$D26)/1000</f>
        <v>0</v>
      </c>
      <c r="F26" s="10"/>
      <c r="G26" s="10">
        <f>SUMIFS(tabSuperdettagli[ORE_],tabSuperdettagli[da considerare?_],"sì",tabSuperdettagli[Anno_],G$22,tabSuperdettagli[BussinessArea Cluster],$D26)/1000</f>
        <v>0</v>
      </c>
      <c r="H26" s="10"/>
      <c r="I26" s="10">
        <f>SUMIFS(tblBudget[BDG_],tblBudget[da considerare?_],"sì",tblBudget[BusinessArea_],$D26)/1000</f>
        <v>0</v>
      </c>
      <c r="J26" s="10"/>
      <c r="K26" s="10">
        <f t="shared" si="0"/>
        <v>0</v>
      </c>
      <c r="L26" s="10"/>
      <c r="M26" s="10">
        <f>SUMIFS(tabSuperdettagli[ORE_],tabSuperdettagli[da considerare?_],"sì",tabSuperdettagli[Anno_],M$22,tabSuperdettagli[BussinessArea Cluster],$D26)/1000</f>
        <v>0</v>
      </c>
      <c r="N26" s="10"/>
      <c r="O26" s="10">
        <f>SUMIFS(tblForecast[FORECAST Totale_],tblForecast[da considerare?],"sì",tblForecast[Business],D26)/1000</f>
        <v>0</v>
      </c>
      <c r="P26" s="11"/>
    </row>
    <row r="27" spans="4:16" x14ac:dyDescent="0.25">
      <c r="D27" s="93" t="s">
        <v>172</v>
      </c>
      <c r="E27" s="12">
        <f>SUMIFS(tabSuperdettagli[ORE_],tabSuperdettagli[da considerare?_],"sì",tabSuperdettagli[Anno_],E$22,tabSuperdettagli[BussinessArea Cluster],$D27)/1000</f>
        <v>0</v>
      </c>
      <c r="F27" s="13"/>
      <c r="G27" s="13">
        <f>SUMIFS(tabSuperdettagli[ORE_],tabSuperdettagli[da considerare?_],"sì",tabSuperdettagli[Anno_],G$22,tabSuperdettagli[BussinessArea Cluster],$D27)/1000</f>
        <v>0</v>
      </c>
      <c r="H27" s="13"/>
      <c r="I27" s="13">
        <f>SUMIFS(tblBudget[BDG_],tblBudget[da considerare?_],"sì",tblBudget[BusinessArea_],$D27)/1000</f>
        <v>0</v>
      </c>
      <c r="J27" s="13"/>
      <c r="K27" s="13">
        <f t="shared" si="0"/>
        <v>0</v>
      </c>
      <c r="L27" s="13"/>
      <c r="M27" s="13">
        <f>SUMIFS(tabSuperdettagli[ORE_],tabSuperdettagli[da considerare?_],"sì",tabSuperdettagli[Anno_],M$22,tabSuperdettagli[BussinessArea Cluster],$D27)/1000</f>
        <v>0</v>
      </c>
      <c r="N27" s="13"/>
      <c r="O27" s="13">
        <f>SUMIFS(tblForecast[FORECAST Totale_],tblForecast[da considerare?],"sì",tblForecast[Business],D27)/1000</f>
        <v>0</v>
      </c>
      <c r="P27" s="14"/>
    </row>
    <row r="28" spans="4:16" x14ac:dyDescent="0.25">
      <c r="D28" s="94" t="s">
        <v>173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6"/>
    </row>
    <row r="29" spans="4:16" x14ac:dyDescent="0.25">
      <c r="D29" s="95" t="s">
        <v>174</v>
      </c>
      <c r="E29" s="17">
        <f>SUM(E$24:E$28)</f>
        <v>0</v>
      </c>
      <c r="F29" s="17"/>
      <c r="G29" s="17">
        <f>SUM(G$24:G$28)</f>
        <v>0</v>
      </c>
      <c r="H29" s="17"/>
      <c r="I29" s="17">
        <f>SUM(I$24:I$28)</f>
        <v>0</v>
      </c>
      <c r="J29" s="17"/>
      <c r="K29" s="17">
        <f t="shared" si="0"/>
        <v>0</v>
      </c>
      <c r="L29" s="17"/>
      <c r="M29" s="17">
        <f>SUM(M$24:M$28)</f>
        <v>0</v>
      </c>
      <c r="N29" s="17"/>
      <c r="O29" s="17">
        <f>SUM(O24:O28)</f>
        <v>0</v>
      </c>
      <c r="P29" s="18"/>
    </row>
    <row r="30" spans="4:16" x14ac:dyDescent="0.25">
      <c r="E30" s="60"/>
      <c r="F30" s="60"/>
      <c r="G30" s="60"/>
      <c r="H30" s="60"/>
      <c r="I30" s="60"/>
      <c r="J30" s="60"/>
      <c r="K30" s="60"/>
      <c r="L30" s="60"/>
      <c r="M30" s="60"/>
      <c r="N30" s="60"/>
    </row>
    <row r="31" spans="4:16" x14ac:dyDescent="0.25">
      <c r="D31" s="96" t="s">
        <v>89</v>
      </c>
      <c r="E31" s="19"/>
      <c r="F31" s="20">
        <f>SUMIFS(tabSuperdettagli[ORE_],tabSuperdettagli[da considerare?_],"sì",tabSuperdettagli[Anno_],E$22,tabSuperdettagli[ProjType Cluster2],$D31)/1000</f>
        <v>0</v>
      </c>
      <c r="G31" s="20"/>
      <c r="H31" s="20">
        <f>SUMIFS(tabSuperdettagli[ORE_],tabSuperdettagli[da considerare?_],"sì",tabSuperdettagli[Anno_],G$22,tabSuperdettagli[ProjType Cluster2],$D31)/1000</f>
        <v>0</v>
      </c>
      <c r="I31" s="21"/>
      <c r="J31" s="20">
        <f>SUMIFS(tblBudget[BDG_],tblBudget[da considerare?_],"sì",tblBudget[ProjType Cluster 2_],$D31)/1000</f>
        <v>0</v>
      </c>
      <c r="K31" s="20"/>
      <c r="L31" s="20">
        <f t="shared" ref="L31:L39" si="1">N31/cell_perc_RR</f>
        <v>0</v>
      </c>
      <c r="M31" s="20"/>
      <c r="N31" s="20">
        <f>SUMIFS(tabSuperdettagli[ORE_],tabSuperdettagli[da considerare?_],"sì",tabSuperdettagli[Anno_],M$22,tabSuperdettagli[ProjType Cluster2],$D31)/1000</f>
        <v>0</v>
      </c>
      <c r="O31" s="21"/>
      <c r="P31" s="22">
        <f>SUMIFS(tblForecast[FORECAST Totale_],tblForecast[da considerare?],"sì",tblForecast[Proj type cluster 2],D31)/1000</f>
        <v>0</v>
      </c>
    </row>
    <row r="32" spans="4:16" x14ac:dyDescent="0.25">
      <c r="D32" s="97" t="s">
        <v>175</v>
      </c>
      <c r="E32" s="23"/>
      <c r="F32" s="24">
        <f>SUMIFS(tabSuperdettagli[ORE_],tabSuperdettagli[da considerare?_],"sì",tabSuperdettagli[Anno_],E$22,tabSuperdettagli[ProjType Cluster2],$D32)/1000</f>
        <v>0</v>
      </c>
      <c r="G32" s="24"/>
      <c r="H32" s="24">
        <f>SUMIFS(tabSuperdettagli[ORE_],tabSuperdettagli[da considerare?_],"sì",tabSuperdettagli[Anno_],G$22,tabSuperdettagli[ProjType Cluster2],$D32)/1000</f>
        <v>0</v>
      </c>
      <c r="I32" s="25"/>
      <c r="J32" s="24">
        <f>SUMIFS(tblBudget[BDG_],tblBudget[da considerare?_],"sì",tblBudget[ProjType Cluster 2_],$D32)/1000</f>
        <v>0</v>
      </c>
      <c r="K32" s="24"/>
      <c r="L32" s="24">
        <f>N32/cell_perc_RR</f>
        <v>0</v>
      </c>
      <c r="M32" s="24"/>
      <c r="N32" s="24">
        <f>SUMIFS(tabSuperdettagli[ORE_],tabSuperdettagli[da considerare?_],"sì",tabSuperdettagli[Anno_],M$22,tabSuperdettagli[ProjType Cluster2],$D32)/1000</f>
        <v>0</v>
      </c>
      <c r="O32" s="25"/>
      <c r="P32" s="26">
        <f>SUMIFS(tblForecast[FORECAST Totale_],tblForecast[da considerare?],"sì",tblForecast[Proj type cluster 2],D32)/1000</f>
        <v>0</v>
      </c>
    </row>
    <row r="33" spans="4:16" x14ac:dyDescent="0.25">
      <c r="D33" s="98" t="s">
        <v>176</v>
      </c>
      <c r="E33" s="27"/>
      <c r="F33" s="28">
        <f>SUMIFS(tabSuperdettagli[ORE_],tabSuperdettagli[da considerare?_],"sì",tabSuperdettagli[Anno_],E$22,tabSuperdettagli[ProjType Cluster],$D33)/1000</f>
        <v>0</v>
      </c>
      <c r="G33" s="28"/>
      <c r="H33" s="28">
        <f>SUMIFS(tabSuperdettagli[ORE_],tabSuperdettagli[da considerare?_],"sì",tabSuperdettagli[Anno_],G$22,tabSuperdettagli[ProjType Cluster],$D33)/1000</f>
        <v>0</v>
      </c>
      <c r="I33" s="29"/>
      <c r="J33" s="28">
        <f>SUMIFS(tblBudget[BDG_],tblBudget[da considerare?_],"sì",tblBudget[ProjType Cluster 1_],$D33)/1000</f>
        <v>0</v>
      </c>
      <c r="K33" s="28"/>
      <c r="L33" s="28">
        <f t="shared" si="1"/>
        <v>0</v>
      </c>
      <c r="M33" s="28"/>
      <c r="N33" s="28">
        <f>SUMIFS(tabSuperdettagli[ORE_],tabSuperdettagli[da considerare?_],"sì",tabSuperdettagli[Anno_],M$22,tabSuperdettagli[ProjType Cluster],$D33)/1000</f>
        <v>0</v>
      </c>
      <c r="O33" s="29"/>
      <c r="P33" s="30">
        <f>SUMIFS(tblForecast[FORECAST Totale_],tblForecast[da considerare?],"sì",tblForecast[Proj type cluster 1],D33)/1000</f>
        <v>0</v>
      </c>
    </row>
    <row r="34" spans="4:16" x14ac:dyDescent="0.25">
      <c r="D34" s="99" t="s">
        <v>90</v>
      </c>
      <c r="E34" s="31"/>
      <c r="F34" s="32">
        <f>SUMIFS(tabSuperdettagli[ORE_],tabSuperdettagli[da considerare?_],"sì",tabSuperdettagli[Anno_],E$22,tabSuperdettagli[ProjType Cluster],$D34)/1000</f>
        <v>0</v>
      </c>
      <c r="G34" s="32"/>
      <c r="H34" s="32">
        <f>SUMIFS(tabSuperdettagli[ORE_],tabSuperdettagli[da considerare?_],"sì",tabSuperdettagli[Anno_],G$22,tabSuperdettagli[ProjType Cluster],$D34)/1000</f>
        <v>0</v>
      </c>
      <c r="I34" s="33"/>
      <c r="J34" s="32">
        <f>SUMIFS(tblBudget[BDG_],tblBudget[da considerare?_],"sì",tblBudget[ProjType Cluster 1_],$D34)/1000</f>
        <v>0</v>
      </c>
      <c r="K34" s="32"/>
      <c r="L34" s="32">
        <f t="shared" si="1"/>
        <v>0</v>
      </c>
      <c r="M34" s="32"/>
      <c r="N34" s="32">
        <f>SUMIFS(tabSuperdettagli[ORE_],tabSuperdettagli[da considerare?_],"sì",tabSuperdettagli[Anno_],M$22,tabSuperdettagli[ProjType Cluster],$D34)/1000</f>
        <v>0</v>
      </c>
      <c r="O34" s="33"/>
      <c r="P34" s="34">
        <f>SUMIFS(tblForecast[FORECAST Totale_],tblForecast[da considerare?],"sì",tblForecast[Proj type cluster 1],D34)/1000</f>
        <v>0</v>
      </c>
    </row>
    <row r="35" spans="4:16" x14ac:dyDescent="0.25">
      <c r="D35" s="100" t="s">
        <v>177</v>
      </c>
      <c r="E35" s="35"/>
      <c r="F35" s="36">
        <f>SUMIFS(tabSuperdettagli[ORE_],tabSuperdettagli[da considerare?_],"sì",tabSuperdettagli[Anno_],E$22,tabSuperdettagli[ProjType Cluster],$D35)/1000</f>
        <v>0</v>
      </c>
      <c r="G35" s="36"/>
      <c r="H35" s="36">
        <f>SUMIFS(tabSuperdettagli[ORE_],tabSuperdettagli[da considerare?_],"sì",tabSuperdettagli[Anno_],G$22,tabSuperdettagli[ProjType Cluster],$D35)/1000</f>
        <v>0</v>
      </c>
      <c r="I35" s="37"/>
      <c r="J35" s="36">
        <f>SUMIFS(tblBudget[BDG_],tblBudget[da considerare?_],"sì",tblBudget[ProjType Cluster 1_],$D35)/1000</f>
        <v>0</v>
      </c>
      <c r="K35" s="36"/>
      <c r="L35" s="36">
        <f t="shared" si="1"/>
        <v>0</v>
      </c>
      <c r="M35" s="36"/>
      <c r="N35" s="36">
        <f>SUMIFS(tabSuperdettagli[ORE_],tabSuperdettagli[da considerare?_],"sì",tabSuperdettagli[Anno_],M$22,tabSuperdettagli[ProjType Cluster],$D35)/1000</f>
        <v>0</v>
      </c>
      <c r="O35" s="37"/>
      <c r="P35" s="38">
        <f>SUMIFS(tblForecast[FORECAST Totale_],tblForecast[da considerare?],"sì",tblForecast[Proj type cluster 1],D35)/1000</f>
        <v>0</v>
      </c>
    </row>
    <row r="36" spans="4:16" x14ac:dyDescent="0.25">
      <c r="D36" s="101" t="s">
        <v>178</v>
      </c>
      <c r="E36" s="39"/>
      <c r="F36" s="40">
        <f>SUMIFS(tabSuperdettagli[ORE_],tabSuperdettagli[da considerare?_],"sì",tabSuperdettagli[Anno_],E$22,tabSuperdettagli[ProjType Cluster],$D36)/1000</f>
        <v>0</v>
      </c>
      <c r="G36" s="40"/>
      <c r="H36" s="40">
        <f>SUMIFS(tabSuperdettagli[ORE_],tabSuperdettagli[da considerare?_],"sì",tabSuperdettagli[Anno_],G$22,tabSuperdettagli[ProjType Cluster],$D36)/1000</f>
        <v>0</v>
      </c>
      <c r="I36" s="41"/>
      <c r="J36" s="40">
        <f>SUMIFS(tblBudget[BDG_],tblBudget[da considerare?_],"sì",tblBudget[ProjType Cluster 1_],$D36)/1000</f>
        <v>0</v>
      </c>
      <c r="K36" s="40"/>
      <c r="L36" s="40">
        <f t="shared" si="1"/>
        <v>0</v>
      </c>
      <c r="M36" s="40"/>
      <c r="N36" s="40">
        <f>SUMIFS(tabSuperdettagli[ORE_],tabSuperdettagli[da considerare?_],"sì",tabSuperdettagli[Anno_],M$22,tabSuperdettagli[ProjType Cluster],$D36)/1000</f>
        <v>0</v>
      </c>
      <c r="O36" s="41"/>
      <c r="P36" s="42">
        <f>SUMIFS(tblForecast[FORECAST Totale_],tblForecast[da considerare?],"sì",tblForecast[Proj type cluster 1],D36)/1000</f>
        <v>0</v>
      </c>
    </row>
    <row r="37" spans="4:16" x14ac:dyDescent="0.25">
      <c r="D37" s="102" t="s">
        <v>179</v>
      </c>
      <c r="E37" s="43"/>
      <c r="F37" s="44">
        <f>SUMIFS(tabSuperdettagli[ORE_],tabSuperdettagli[da considerare?_],"sì",tabSuperdettagli[Anno_],E$22,tabSuperdettagli[ProjType Cluster],$D37)/1000</f>
        <v>0</v>
      </c>
      <c r="G37" s="44"/>
      <c r="H37" s="44">
        <f>SUMIFS(tabSuperdettagli[ORE_],tabSuperdettagli[da considerare?_],"sì",tabSuperdettagli[Anno_],G$22,tabSuperdettagli[ProjType Cluster],$D37)/1000</f>
        <v>0</v>
      </c>
      <c r="I37" s="45"/>
      <c r="J37" s="44">
        <f>SUMIFS(tblBudget[BDG_],tblBudget[da considerare?_],"sì",tblBudget[ProjType Cluster 1_],$D37)/1000</f>
        <v>0</v>
      </c>
      <c r="K37" s="44"/>
      <c r="L37" s="44">
        <f t="shared" si="1"/>
        <v>0</v>
      </c>
      <c r="M37" s="44"/>
      <c r="N37" s="44">
        <f>SUMIFS(tabSuperdettagli[ORE_],tabSuperdettagli[da considerare?_],"sì",tabSuperdettagli[Anno_],M$22,tabSuperdettagli[ProjType Cluster],$D37)/1000</f>
        <v>0</v>
      </c>
      <c r="O37" s="45"/>
      <c r="P37" s="46">
        <f>SUMIFS(tblForecast[FORECAST Totale_],tblForecast[da considerare?],"sì",tblForecast[Proj type cluster 1],D37)/1000</f>
        <v>0</v>
      </c>
    </row>
    <row r="38" spans="4:16" x14ac:dyDescent="0.25">
      <c r="D38" s="103" t="s">
        <v>180</v>
      </c>
      <c r="E38" s="47"/>
      <c r="F38" s="48">
        <f>ROUND(SUMIFS(tabSuperdettagli[ORE_],tabSuperdettagli[da considerare?_],"sì",tabSuperdettagli[Anno_],E$22)/1000-SUM(F31:F37),0)</f>
        <v>0</v>
      </c>
      <c r="G38" s="48"/>
      <c r="H38" s="48">
        <f>ROUND(SUMIFS(tabSuperdettagli[ORE_],tabSuperdettagli[da considerare?_],"sì",tabSuperdettagli[Anno_],G$28)/1000-SUM(H31:H37),0)</f>
        <v>0</v>
      </c>
      <c r="I38" s="49"/>
      <c r="J38" s="48">
        <f>ROUND(SUMIFS(tblBudget[BDG_],tblBudget[da considerare?_],"sì")/1000-SUM(J$31:J$37),0)</f>
        <v>0</v>
      </c>
      <c r="K38" s="48"/>
      <c r="L38" s="48">
        <f t="shared" si="1"/>
        <v>0</v>
      </c>
      <c r="M38" s="48"/>
      <c r="N38" s="48">
        <f>ROUND(SUMIFS(tabSuperdettagli[ORE_],tabSuperdettagli[da considerare?_],"sì",tabSuperdettagli[Anno_],M$28)/1000-SUM(N31:N37),0)</f>
        <v>0</v>
      </c>
      <c r="O38" s="49"/>
      <c r="P38" s="50">
        <f>SUMIFS(tblForecast[FORECAST Totale_],tblForecast[da considerare?],"sì")/1000-SUM(P31:P37)</f>
        <v>0.08</v>
      </c>
    </row>
    <row r="39" spans="4:16" x14ac:dyDescent="0.25">
      <c r="D39" s="104" t="s">
        <v>181</v>
      </c>
      <c r="E39" s="52"/>
      <c r="F39" s="52">
        <f>SUM(F31:F38)</f>
        <v>0</v>
      </c>
      <c r="G39" s="52"/>
      <c r="H39" s="52">
        <f>SUM(H31:H38)</f>
        <v>0</v>
      </c>
      <c r="I39" s="52"/>
      <c r="J39" s="52">
        <f>SUM(J31:J38)</f>
        <v>0</v>
      </c>
      <c r="K39" s="52"/>
      <c r="L39" s="52">
        <f t="shared" si="1"/>
        <v>0</v>
      </c>
      <c r="M39" s="52"/>
      <c r="N39" s="52">
        <f>SUM(N31:N38)</f>
        <v>0</v>
      </c>
      <c r="O39" s="51"/>
      <c r="P39" s="52">
        <f>SUM(P31:P38)</f>
        <v>0.08</v>
      </c>
    </row>
  </sheetData>
  <mergeCells count="7">
    <mergeCell ref="M22:N22"/>
    <mergeCell ref="O22:P22"/>
    <mergeCell ref="A1:B1"/>
    <mergeCell ref="E22:F22"/>
    <mergeCell ref="G22:H22"/>
    <mergeCell ref="I22:J22"/>
    <mergeCell ref="K22:L22"/>
  </mergeCells>
  <pageMargins left="0.7" right="0.7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8"/>
  <sheetViews>
    <sheetView zoomScaleNormal="100" workbookViewId="0">
      <selection activeCell="D5" sqref="D5"/>
    </sheetView>
  </sheetViews>
  <sheetFormatPr defaultRowHeight="15" x14ac:dyDescent="0.25"/>
  <cols>
    <col min="1" max="2" width="15.7109375" customWidth="1"/>
    <col min="4" max="4" width="14.42578125" bestFit="1" customWidth="1"/>
    <col min="5" max="5" width="53.5703125" bestFit="1" customWidth="1"/>
    <col min="6" max="10" width="4.85546875" bestFit="1" customWidth="1"/>
    <col min="11" max="11" width="6.7109375" bestFit="1" customWidth="1"/>
    <col min="12" max="12" width="10.7109375" bestFit="1" customWidth="1"/>
  </cols>
  <sheetData>
    <row r="1" spans="1:4" ht="15.75" x14ac:dyDescent="0.25">
      <c r="A1" s="148" t="s">
        <v>164</v>
      </c>
      <c r="B1" s="149"/>
    </row>
    <row r="2" spans="1:4" x14ac:dyDescent="0.25">
      <c r="A2" s="105" t="s">
        <v>165</v>
      </c>
      <c r="B2" s="106" t="s">
        <v>183</v>
      </c>
    </row>
    <row r="5" spans="1:4" x14ac:dyDescent="0.25">
      <c r="D5" s="109" t="s">
        <v>239</v>
      </c>
    </row>
    <row r="6" spans="1:4" x14ac:dyDescent="0.25">
      <c r="D6" s="70">
        <v>2020</v>
      </c>
    </row>
    <row r="7" spans="1:4" x14ac:dyDescent="0.25">
      <c r="D7" s="110" t="s">
        <v>242</v>
      </c>
    </row>
    <row r="8" spans="1:4" x14ac:dyDescent="0.25">
      <c r="D8" s="70" t="s">
        <v>240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182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183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184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185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183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183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183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183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183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183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183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183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183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183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6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183</v>
      </c>
    </row>
    <row r="3" spans="1:2" x14ac:dyDescent="0.25">
      <c r="A3" s="73"/>
      <c r="B3" s="70"/>
    </row>
    <row r="4" spans="1:2" x14ac:dyDescent="0.25">
      <c r="A4" s="74"/>
      <c r="B4" s="75"/>
    </row>
    <row r="5" spans="1:2" x14ac:dyDescent="0.25">
      <c r="A5" s="73"/>
      <c r="B5" s="70"/>
    </row>
    <row r="6" spans="1:2" x14ac:dyDescent="0.25">
      <c r="A6" s="73"/>
      <c r="B6" s="70"/>
    </row>
  </sheetData>
  <mergeCells count="1">
    <mergeCell ref="A1:B1"/>
  </mergeCells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Budget</vt:lpstr>
      <vt:lpstr>Forecast</vt:lpstr>
      <vt:lpstr>RunRate</vt:lpstr>
      <vt:lpstr>Superdetails</vt:lpstr>
      <vt:lpstr>CN43N</vt:lpstr>
      <vt:lpstr>pivot di appoggio</vt:lpstr>
      <vt:lpstr>table_tabProjType</vt:lpstr>
      <vt:lpstr>table_tabProjTypeCluster</vt:lpstr>
      <vt:lpstr>table_CommonTable</vt:lpstr>
      <vt:lpstr>table_tabProgettiD</vt:lpstr>
      <vt:lpstr>Powerpoint Configuration</vt:lpstr>
      <vt:lpstr>Alias-Business</vt:lpstr>
      <vt:lpstr>Alias-Categoria</vt:lpstr>
      <vt:lpstr>PP_Template</vt:lpstr>
      <vt:lpstr>PP_01</vt:lpstr>
      <vt:lpstr>PP_02</vt:lpstr>
      <vt:lpstr>PP_03</vt:lpstr>
      <vt:lpstr>PP_04</vt:lpstr>
      <vt:lpstr>PP_05</vt:lpstr>
      <vt:lpstr>PP_06</vt:lpstr>
      <vt:lpstr>PP_07</vt:lpstr>
      <vt:lpstr>PP_08</vt:lpstr>
      <vt:lpstr>PP_09</vt:lpstr>
      <vt:lpstr>PP_10</vt:lpstr>
      <vt:lpstr>PP_11</vt:lpstr>
      <vt:lpstr>PP_12</vt:lpstr>
      <vt:lpstr>PP_13</vt:lpstr>
      <vt:lpstr>PP_14</vt:lpstr>
      <vt:lpstr>PP_15</vt:lpstr>
      <vt:lpstr>PP_16</vt:lpstr>
      <vt:lpstr>PP_17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Perrino, Francesco</dc:creator>
  <cp:lastModifiedBy>Michele Fosco</cp:lastModifiedBy>
  <dcterms:created xsi:type="dcterms:W3CDTF">2015-06-05T18:17:20Z</dcterms:created>
  <dcterms:modified xsi:type="dcterms:W3CDTF">2025-12-04T11:16:37Z</dcterms:modified>
</cp:coreProperties>
</file>