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40EF5B40-BE92-42AF-A6CF-C6DA07123D67}" xr6:coauthVersionLast="47" xr6:coauthVersionMax="47" xr10:uidLastSave="{00000000-0000-0000-0000-000000000000}"/>
  <bookViews>
    <workbookView xWindow="-120" yWindow="-120" windowWidth="38640" windowHeight="21120" tabRatio="924" activeTab="4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CN43N" sheetId="34" r:id="rId5"/>
    <sheet name="pivot di appoggio" sheetId="33" r:id="rId6"/>
    <sheet name="table_tabProjType" sheetId="8" r:id="rId7"/>
    <sheet name="table_tabProjTypeCluster" sheetId="9" r:id="rId8"/>
    <sheet name="table_CommonTable" sheetId="10" r:id="rId9"/>
    <sheet name="table_tabProgettiD" sheetId="11" r:id="rId10"/>
    <sheet name="Powerpoint Configuration" sheetId="32" r:id="rId11"/>
    <sheet name="Alias-Business" sheetId="30" r:id="rId12"/>
    <sheet name="Alias-Categoria" sheetId="31" r:id="rId13"/>
    <sheet name="PP_Template" sheetId="12" r:id="rId14"/>
    <sheet name="PP_01" sheetId="2" r:id="rId15"/>
    <sheet name="PP_02" sheetId="13" r:id="rId16"/>
    <sheet name="PP_03" sheetId="14" r:id="rId17"/>
    <sheet name="PP_04" sheetId="16" r:id="rId18"/>
    <sheet name="PP_05" sheetId="17" r:id="rId19"/>
    <sheet name="PP_06" sheetId="18" r:id="rId20"/>
    <sheet name="PP_07" sheetId="19" r:id="rId21"/>
    <sheet name="PP_08" sheetId="20" r:id="rId22"/>
    <sheet name="PP_09" sheetId="21" r:id="rId23"/>
    <sheet name="PP_10" sheetId="22" r:id="rId24"/>
    <sheet name="PP_11" sheetId="23" r:id="rId25"/>
    <sheet name="PP_12" sheetId="24" r:id="rId26"/>
    <sheet name="PP_13" sheetId="25" r:id="rId27"/>
    <sheet name="PP_14" sheetId="26" r:id="rId28"/>
    <sheet name="PP_15" sheetId="27" r:id="rId29"/>
    <sheet name="PP_16" sheetId="28" r:id="rId30"/>
    <sheet name="PP_17" sheetId="29" r:id="rId31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5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D4" i="1"/>
  <c r="C4" i="1" s="1"/>
  <c r="E4" i="1"/>
  <c r="AC4" i="1" s="1"/>
  <c r="F4" i="1"/>
  <c r="J4" i="1"/>
  <c r="K4" i="1"/>
  <c r="L4" i="1"/>
  <c r="W4" i="1"/>
  <c r="X4" i="1"/>
  <c r="Y4" i="1"/>
  <c r="Z4" i="1"/>
  <c r="AA4" i="1"/>
  <c r="AD4" i="1"/>
  <c r="A5" i="1"/>
  <c r="D5" i="1"/>
  <c r="C5" i="1" s="1"/>
  <c r="E5" i="1"/>
  <c r="AC5" i="1" s="1"/>
  <c r="F5" i="1"/>
  <c r="G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D5" i="1"/>
  <c r="V9" i="1"/>
  <c r="U9" i="1"/>
  <c r="T9" i="1"/>
  <c r="S9" i="1"/>
  <c r="R9" i="1"/>
  <c r="Q9" i="1"/>
  <c r="P9" i="1"/>
  <c r="O9" i="1"/>
  <c r="N9" i="1"/>
  <c r="M9" i="1"/>
  <c r="L9" i="1"/>
  <c r="K9" i="1"/>
  <c r="V8" i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3" i="1"/>
  <c r="U3" i="1"/>
  <c r="T3" i="1"/>
  <c r="S3" i="1"/>
  <c r="R3" i="1"/>
  <c r="Q3" i="1"/>
  <c r="P3" i="1"/>
  <c r="O3" i="1"/>
  <c r="N3" i="1"/>
  <c r="M3" i="1"/>
  <c r="L3" i="1"/>
  <c r="K3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7" i="1"/>
  <c r="A9" i="10"/>
  <c r="A8" i="10"/>
  <c r="A7" i="10"/>
  <c r="A6" i="10"/>
  <c r="A5" i="10"/>
  <c r="A4" i="10"/>
  <c r="A3" i="10"/>
  <c r="A2" i="10"/>
  <c r="AD9" i="1"/>
  <c r="AA9" i="1"/>
  <c r="Z9" i="1"/>
  <c r="Y9" i="1"/>
  <c r="X9" i="1"/>
  <c r="W9" i="1"/>
  <c r="J9" i="1"/>
  <c r="F9" i="1"/>
  <c r="E9" i="1"/>
  <c r="G9" i="1" s="1"/>
  <c r="AC9" i="1"/>
  <c r="D9" i="1"/>
  <c r="C9" i="1" s="1"/>
  <c r="A9" i="1"/>
  <c r="AD8" i="1"/>
  <c r="AA8" i="1"/>
  <c r="Z8" i="1"/>
  <c r="X8" i="1"/>
  <c r="W8" i="1"/>
  <c r="J8" i="1"/>
  <c r="E8" i="1"/>
  <c r="AC8" i="1" s="1"/>
  <c r="G8" i="1"/>
  <c r="F8" i="1"/>
  <c r="D8" i="1"/>
  <c r="C8" i="1" s="1"/>
  <c r="A8" i="1"/>
  <c r="AD7" i="1"/>
  <c r="AA7" i="1"/>
  <c r="Z7" i="1"/>
  <c r="X7" i="1"/>
  <c r="W7" i="1"/>
  <c r="J7" i="1"/>
  <c r="F7" i="1"/>
  <c r="E7" i="1"/>
  <c r="G7" i="1" s="1"/>
  <c r="D7" i="1"/>
  <c r="C7" i="1" s="1"/>
  <c r="A7" i="1"/>
  <c r="AD6" i="1"/>
  <c r="E6" i="1"/>
  <c r="AA6" i="1"/>
  <c r="Z6" i="1"/>
  <c r="X6" i="1"/>
  <c r="W6" i="1"/>
  <c r="J6" i="1"/>
  <c r="F6" i="1"/>
  <c r="D6" i="1"/>
  <c r="C6" i="1" s="1"/>
  <c r="A6" i="1"/>
  <c r="AD3" i="1"/>
  <c r="AA3" i="1"/>
  <c r="Z3" i="1"/>
  <c r="X3" i="1"/>
  <c r="W3" i="1"/>
  <c r="J3" i="1"/>
  <c r="F3" i="1"/>
  <c r="E3" i="1"/>
  <c r="AC3" i="1" s="1"/>
  <c r="A3" i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6" i="1"/>
  <c r="Y3" i="1"/>
  <c r="I27" i="2"/>
  <c r="I25" i="2"/>
  <c r="Y8" i="1"/>
  <c r="G4" i="1" l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6" i="1"/>
  <c r="AC6" i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AC7" i="1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 l="1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N39" i="2" l="1"/>
  <c r="L39" i="2" s="1"/>
  <c r="P38" i="2"/>
  <c r="P39" i="2" s="1"/>
</calcChain>
</file>

<file path=xl/sharedStrings.xml><?xml version="1.0" encoding="utf-8"?>
<sst xmlns="http://schemas.openxmlformats.org/spreadsheetml/2006/main" count="1611" uniqueCount="327">
  <si>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</si>
  <si>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</si>
  <si>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</si>
  <si>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</si>
  <si>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</si>
  <si>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</si>
  <si>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</si>
  <si>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</si>
  <si>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</si>
  <si>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</si>
  <si>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</si>
  <si>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</si>
  <si>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</si>
  <si>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</si>
  <si>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</si>
  <si>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</si>
  <si>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</si>
  <si>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</si>
  <si>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</si>
  <si>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</si>
  <si>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</si>
  <si>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</si>
  <si>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</si>
  <si>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</si>
  <si>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</si>
  <si>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</si>
  <si>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</si>
  <si>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</si>
  <si>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</si>
  <si>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</si>
  <si>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</si>
  <si>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</si>
  <si>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</si>
  <si>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</si>
  <si>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</si>
  <si>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</si>
  <si>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</si>
  <si>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</si>
  <si>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</si>
  <si>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</si>
  <si>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</si>
  <si>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</si>
  <si>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</si>
  <si>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</si>
  <si>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</si>
  <si>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</si>
  <si>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</si>
  <si>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</si>
  <si>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</si>
  <si>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</si>
  <si>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</si>
  <si>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</si>
  <si>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</si>
  <si>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</si>
  <si>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</si>
  <si>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</si>
  <si>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</si>
  <si>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</si>
  <si>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</si>
  <si>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</si>
  <si>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</si>
  <si>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</si>
  <si>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</si>
  <si>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</si>
  <si>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</si>
  <si>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</si>
  <si>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</si>
  <si>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</si>
  <si>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</si>
  <si>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</si>
  <si>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</si>
  <si>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</si>
  <si>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</si>
  <si>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</si>
  <si>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</si>
  <si>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</si>
  <si>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</si>
  <si>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</si>
  <si>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</si>
  <si>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</si>
  <si>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</si>
  <si>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</si>
  <si>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</si>
  <si>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</si>
  <si>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</si>
  <si>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</si>
  <si>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</si>
  <si>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</si>
  <si>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</si>
  <si>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</si>
  <si>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</si>
  <si>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</si>
  <si>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</si>
  <si>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</si>
  <si>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</si>
  <si>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</si>
  <si>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</si>
  <si>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</si>
  <si>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</si>
  <si>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</si>
  <si>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</si>
  <si>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</si>
  <si>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</si>
  <si>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</si>
  <si>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</si>
  <si>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</si>
  <si>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</si>
  <si>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</si>
  <si>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</si>
  <si>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</si>
  <si>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</si>
  <si>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</si>
  <si>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</si>
  <si>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</si>
  <si>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</si>
  <si>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</si>
  <si>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</si>
  <si>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</si>
  <si>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</si>
  <si>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</si>
  <si>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</si>
  <si>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</si>
  <si>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</si>
  <si>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</si>
  <si>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</si>
  <si>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</si>
  <si>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</si>
  <si>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</si>
  <si>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</si>
  <si>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</si>
  <si>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</si>
  <si>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</si>
  <si>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</si>
  <si>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</si>
  <si>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</si>
  <si>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</si>
  <si>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</si>
  <si>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</si>
  <si>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</si>
  <si>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</si>
  <si>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</si>
  <si>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</si>
  <si>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</si>
  <si>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</si>
  <si>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</si>
  <si>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</si>
  <si>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</si>
  <si>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</si>
  <si>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</si>
  <si>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</si>
  <si>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</si>
  <si>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</si>
  <si>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</si>
  <si>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</si>
  <si>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</si>
  <si>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</si>
  <si>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</si>
  <si>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</si>
  <si>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</si>
  <si>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</si>
  <si>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</si>
  <si>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</si>
  <si>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</si>
  <si>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</si>
  <si>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</si>
  <si>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</si>
  <si>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</si>
  <si>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</si>
  <si>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</si>
  <si>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</si>
  <si>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</si>
  <si>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</si>
  <si>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</si>
  <si>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</si>
  <si>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</si>
  <si>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</si>
  <si>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</si>
  <si>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</si>
  <si>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</si>
  <si>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</si>
  <si>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</si>
  <si>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</si>
  <si>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</si>
  <si>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</si>
  <si>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</si>
  <si>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</si>
  <si>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</si>
  <si>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D1:P20</t>
  </si>
  <si>
    <t>D1:P30</t>
  </si>
  <si>
    <t>D1:H30</t>
  </si>
  <si>
    <t>D1:M30</t>
  </si>
  <si>
    <t>PP_17</t>
  </si>
  <si>
    <t>234</t>
  </si>
  <si>
    <t>C005RD319</t>
  </si>
  <si>
    <t>MIL ANTONY</t>
  </si>
  <si>
    <t>ANALISI RICHIESTE MINORI KIT+QUOT. TOB</t>
  </si>
  <si>
    <t>5320326</t>
  </si>
  <si>
    <t>SW ANALISI E STESURA SPECIFICHE</t>
  </si>
  <si>
    <t>K005.01001</t>
  </si>
  <si>
    <t>Int.</t>
  </si>
  <si>
    <t>CONV NGP PLATFORM ENG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</si>
  <si>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</si>
  <si>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</si>
  <si>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</si>
  <si>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</si>
  <si>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</si>
  <si>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</si>
  <si>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</si>
  <si>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</si>
  <si>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</si>
  <si>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</si>
  <si>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</si>
  <si>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</si>
  <si>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5447634</t>
  </si>
  <si>
    <t>LAYOUT - PROPOSTE E DEFINIZIONE</t>
  </si>
  <si>
    <t>K005.00012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</si>
  <si>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</si>
  <si>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</si>
  <si>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</si>
  <si>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</si>
  <si>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</si>
  <si>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</si>
  <si>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</si>
  <si>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</si>
  <si>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</si>
  <si>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</si>
  <si>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</si>
  <si>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</si>
  <si>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</si>
  <si>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</si>
  <si>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</si>
  <si>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</si>
  <si>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</si>
  <si>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</si>
  <si>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</si>
  <si>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</si>
  <si>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</si>
  <si>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</si>
  <si>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</si>
  <si>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</si>
  <si>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</si>
  <si>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</si>
  <si>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</si>
  <si>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</si>
  <si>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</si>
  <si>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</si>
  <si>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</si>
  <si>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</si>
  <si>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</si>
  <si>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</si>
  <si>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</si>
  <si>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</si>
  <si>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</si>
  <si>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</si>
  <si>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</si>
  <si>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</si>
  <si>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Go</t>
  </si>
  <si>
    <t>Business Sample</t>
  </si>
  <si>
    <t>Categoria A</t>
  </si>
  <si>
    <t>Int</t>
  </si>
  <si>
    <t>Est.</t>
  </si>
  <si>
    <t>Row Labels</t>
  </si>
  <si>
    <t>Grand Total</t>
  </si>
  <si>
    <t>Min of Anno_</t>
  </si>
  <si>
    <t>AAAA.0001</t>
  </si>
  <si>
    <t>pippo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</si>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</sst>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</fills>
  <borders count="6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</cellStyleXfs>
  <cellXfs count="155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</cellXfs>
  <cellStyles count="6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70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5989.874549537039" createdVersion="8" refreshedVersion="8" minRefreshableVersion="3" recordCount="7" xr:uid="{CB458B9C-2737-4B20-917D-2647C9E1155E}">
  <cacheSource type="worksheet">
    <worksheetSource name="tabSuperdettagli"/>
  </cacheSource>
  <cacheFields count="82">
    <cacheField name="da considerare?_" numFmtId="0">
      <sharedItems/>
    </cacheField>
    <cacheField name="Anno_" numFmtId="0">
      <sharedItems containsSemiMixedTypes="0" containsString="0" containsNumber="1" containsInteger="1" minValue="2000" maxValue="2026"/>
    </cacheField>
    <cacheField name="Anno di prima marcatura (=anno di apertura progetto)" numFmtId="0">
      <sharedItems containsSemiMixedTypes="0" containsString="0" containsNumber="1" containsInteger="1" minValue="2000" maxValue="2026" count="3">
        <n v="2000"/>
        <n v="2023"/>
        <n v="2026"/>
      </sharedItems>
    </cacheField>
    <cacheField name="WBS_" numFmtId="0">
      <sharedItems count="4">
        <s v="AAAA.0001"/>
        <s v="5447634"/>
        <s v="5320326"/>
        <s v="" u="1"/>
      </sharedItems>
    </cacheField>
    <cacheField name="ProjType_" numFmtId="0">
      <sharedItems/>
    </cacheField>
    <cacheField name="U ProjType_" numFmtId="0">
      <sharedItems/>
    </cacheField>
    <cacheField name="ProjType Cluster" numFmtId="0">
      <sharedItems/>
    </cacheField>
    <cacheField name="ProjType Cluster2" numFmtId="0">
      <sharedItems containsNonDate="0" containsString="0" containsBlank="1"/>
    </cacheField>
    <cacheField name="BussinessArea Cluster" numFmtId="0">
      <sharedItems/>
    </cacheField>
    <cacheField name="ORE_" numFmtId="0">
      <sharedItems containsMixedTypes="1" containsNumber="1" containsInteger="1" minValue="0" maxValue="0"/>
    </cacheField>
    <cacheField name="gen_" numFmtId="0">
      <sharedItems containsSemiMixedTypes="0" containsString="0" containsNumber="1" containsInteger="1" minValue="0" maxValue="0"/>
    </cacheField>
    <cacheField name="feb_" numFmtId="0">
      <sharedItems containsSemiMixedTypes="0" containsString="0" containsNumber="1" containsInteger="1" minValue="0" maxValue="1"/>
    </cacheField>
    <cacheField name="mar_" numFmtId="0">
      <sharedItems containsString="0" containsBlank="1" containsNumber="1" containsInteger="1" minValue="0" maxValue="0"/>
    </cacheField>
    <cacheField name="apr_" numFmtId="0">
      <sharedItems containsString="0" containsBlank="1" containsNumber="1" containsInteger="1" minValue="0" maxValue="0"/>
    </cacheField>
    <cacheField name="mag_" numFmtId="0">
      <sharedItems containsString="0" containsBlank="1" containsNumber="1" containsInteger="1" minValue="0" maxValue="0"/>
    </cacheField>
    <cacheField name="giu_" numFmtId="0">
      <sharedItems containsString="0" containsBlank="1" containsNumber="1" containsInteger="1" minValue="0" maxValue="0"/>
    </cacheField>
    <cacheField name="lug_" numFmtId="0">
      <sharedItems containsString="0" containsBlank="1" containsNumber="1" containsInteger="1" minValue="0" maxValue="0"/>
    </cacheField>
    <cacheField name="ago_" numFmtId="0">
      <sharedItems containsString="0" containsBlank="1" containsNumber="1" containsInteger="1" minValue="0" maxValue="0"/>
    </cacheField>
    <cacheField name="set_" numFmtId="0">
      <sharedItems containsString="0" containsBlank="1" containsNumber="1" containsInteger="1" minValue="0" maxValue="0"/>
    </cacheField>
    <cacheField name="ott_" numFmtId="0">
      <sharedItems containsString="0" containsBlank="1" containsNumber="1" containsInteger="1" minValue="0" maxValue="0"/>
    </cacheField>
    <cacheField name="nov_" numFmtId="0">
      <sharedItems containsString="0" containsBlank="1" containsNumber="1" containsInteger="1" minValue="0" maxValue="0"/>
    </cacheField>
    <cacheField name="dic_" numFmtId="0">
      <sharedItems containsString="0" containsBlank="1" containsNumber="1" containsInteger="1" minValue="1" maxValue="84"/>
    </cacheField>
    <cacheField name="tipo risorsa_" numFmtId="0">
      <sharedItems containsMixedTypes="1" containsNumber="1" containsInteger="1" minValue="0" maxValue="0"/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 containsMixedTypes="1" containsNumber="1" containsInteger="1" minValue="0" maxValue="0"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" numFmtId="0">
      <sharedItems containsBlank="1"/>
    </cacheField>
    <cacheField name="Personnel Number" numFmtId="0">
      <sharedItems containsBlank="1"/>
    </cacheField>
    <cacheField name="Last name First name" numFmtId="0">
      <sharedItems/>
    </cacheField>
    <cacheField name="Project Description" numFmtId="0">
      <sharedItems containsBlank="1"/>
    </cacheField>
    <cacheField name="WBS Element" numFmtId="0">
      <sharedItems containsBlank="1"/>
    </cacheField>
    <cacheField name="Network" numFmtId="0">
      <sharedItems/>
    </cacheField>
    <cacheField name="Operation/Activity" numFmtId="0">
      <sharedItems containsString="0" containsBlank="1" containsNumber="1" containsInteger="1" minValue="2023" maxValue="2025"/>
    </cacheField>
    <cacheField name="Acct assgnt text" numFmtId="0">
      <sharedItems containsBlank="1"/>
    </cacheField>
    <cacheField name="WBS Element - Project Definition (Text)" numFmtId="0">
      <sharedItems containsBlank="1"/>
    </cacheField>
    <cacheField name="Network descr" numFmtId="0">
      <sharedItems containsBlank="1"/>
    </cacheField>
    <cacheField name="PROJ CODE" numFmtId="0">
      <sharedItems containsBlank="1"/>
    </cacheField>
    <cacheField name="INT/EST" numFmtId="0">
      <sharedItems containsBlank="1"/>
    </cacheField>
    <cacheField name="Raggr. X Struttura" numFmtId="0">
      <sharedItems containsBlank="1"/>
    </cacheField>
    <cacheField name="MESE" numFmtId="0">
      <sharedItems containsBlank="1"/>
    </cacheField>
    <cacheField name="Resp 2°liv" numFmtId="0">
      <sharedItems containsBlank="1"/>
    </cacheField>
    <cacheField name="CDC bdg" numFmtId="0">
      <sharedItems containsBlank="1"/>
    </cacheField>
    <cacheField name="Resp 1°liv" numFmtId="0">
      <sharedItems containsBlank="1"/>
    </cacheField>
    <cacheField name="Resp DT" numFmtId="0">
      <sharedItems containsBlank="1"/>
    </cacheField>
    <cacheField name="TIPO REP" numFmtId="0">
      <sharedItems containsBlank="1"/>
    </cacheField>
    <cacheField name="Bus Area GDLT" numFmtId="0">
      <sharedItems containsBlank="1"/>
    </cacheField>
    <cacheField name="Bus Area_2" numFmtId="0">
      <sharedItems containsBlank="1"/>
    </cacheField>
    <cacheField name="tipo progetto" numFmtId="0">
      <sharedItems containsBlank="1"/>
    </cacheField>
    <cacheField name="Proj name" numFmtId="0">
      <sharedItems containsBlank="1"/>
    </cacheField>
    <cacheField name="machine code" numFmtId="0">
      <sharedItems containsBlank="1"/>
    </cacheField>
    <cacheField name="product area" numFmtId="0">
      <sharedItems containsString="0" containsBlank="1" containsNumber="1" containsInteger="1" minValue="0" maxValue="84"/>
    </cacheField>
    <cacheField name="Resp del Prodotto" numFmtId="0">
      <sharedItems containsString="0" containsBlank="1" containsNumber="1" containsInteger="1" minValue="0" maxValue="0"/>
    </cacheField>
    <cacheField name="Area di bdg" numFmtId="0">
      <sharedItems containsString="0" containsBlank="1" containsNumber="1" containsInteger="1" minValue="0" maxValue="1"/>
    </cacheField>
    <cacheField name="Macchina" numFmtId="0">
      <sharedItems containsString="0" containsBlank="1" containsNumber="1" containsInteger="1" minValue="0" maxValue="0"/>
    </cacheField>
    <cacheField name="Sottotipo" numFmtId="0">
      <sharedItems containsString="0" containsBlank="1" containsNumber="1" containsInteger="1" minValue="0" maxValue="0"/>
    </cacheField>
    <cacheField name="Cluster" numFmtId="0">
      <sharedItems containsString="0" containsBlank="1" containsNumber="1" containsInteger="1" minValue="0" maxValue="0"/>
    </cacheField>
    <cacheField name="Quadrante" numFmtId="0">
      <sharedItems containsString="0" containsBlank="1" containsNumber="1" containsInteger="1" minValue="0" maxValue="0"/>
    </cacheField>
    <cacheField name="01.2025" numFmtId="0">
      <sharedItems containsString="0" containsBlank="1" containsNumber="1" containsInteger="1" minValue="0" maxValue="0"/>
    </cacheField>
    <cacheField name="02.2025" numFmtId="0">
      <sharedItems containsString="0" containsBlank="1" containsNumber="1" containsInteger="1" minValue="0" maxValue="0"/>
    </cacheField>
    <cacheField name="03.2025" numFmtId="0">
      <sharedItems containsString="0" containsBlank="1" containsNumber="1" containsInteger="1" minValue="0" maxValue="0"/>
    </cacheField>
    <cacheField name="04.2025" numFmtId="0">
      <sharedItems containsString="0" containsBlank="1" containsNumber="1" containsInteger="1" minValue="0" maxValue="0"/>
    </cacheField>
    <cacheField name="05.2025" numFmtId="0">
      <sharedItems containsString="0" containsBlank="1" containsNumber="1" containsInteger="1" minValue="0" maxValue="0"/>
    </cacheField>
    <cacheField name="06.2025" numFmtId="0">
      <sharedItems containsString="0" containsBlank="1" containsNumber="1" containsInteger="1" minValue="1" maxValue="84"/>
    </cacheField>
    <cacheField name="07.2025" numFmtId="0">
      <sharedItems containsBlank="1"/>
    </cacheField>
    <cacheField name="08.2025" numFmtId="0">
      <sharedItems containsBlank="1"/>
    </cacheField>
    <cacheField name="09.2025" numFmtId="0">
      <sharedItems containsBlank="1"/>
    </cacheField>
    <cacheField name="10.2025" numFmtId="0">
      <sharedItems containsBlank="1"/>
    </cacheField>
    <cacheField name="11.2025" numFmtId="0">
      <sharedItems containsBlank="1"/>
    </cacheField>
    <cacheField name="12.2025" numFmtId="0">
      <sharedItems containsBlank="1"/>
    </cacheField>
    <cacheField name="Total" numFmtId="0">
      <sharedItems containsBlank="1"/>
    </cacheField>
    <cacheField name="WBE Status" numFmtId="0">
      <sharedItems containsBlank="1"/>
    </cacheField>
    <cacheField name="competence date " numFmtId="0">
      <sharedItems containsBlank="1"/>
    </cacheField>
    <cacheField name="Proj. Type " numFmtId="0">
      <sharedItems containsNonDate="0" containsString="0" containsBlank="1"/>
    </cacheField>
    <cacheField name="WBE Name" numFmtId="0">
      <sharedItems containsBlank="1"/>
    </cacheField>
    <cacheField name="Engineering Area" numFmtId="0">
      <sharedItems containsNonDate="0" containsString="0" containsBlank="1"/>
    </cacheField>
    <cacheField name="Data Accettazione" numFmtId="0">
      <sharedItems containsBlank="1"/>
    </cacheField>
    <cacheField name="Data Uscita GD" numFmtId="0">
      <sharedItems containsNonDate="0" containsString="0" containsBlank="1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no"/>
    <n v="2000"/>
    <x v="0"/>
    <x v="0"/>
    <s v="A"/>
    <s v=""/>
    <s v="C A R E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Stay"/>
    <s v="319"/>
    <s v=""/>
    <s v=""/>
    <s v="AAAA.0001"/>
    <s v="C005RD319"/>
    <s v="MIL ANTONY"/>
    <s v="pippo"/>
    <s v="ANALISI RICHIESTE MINORI KIT+QUOT. TOB"/>
    <s v="Stay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s v="Int"/>
    <n v="0"/>
    <n v="0"/>
    <n v="0"/>
    <m/>
    <m/>
    <m/>
    <m/>
    <m/>
    <m/>
    <m/>
    <m/>
    <m/>
    <m/>
    <n v="0"/>
    <s v=""/>
    <e v="#N/A"/>
    <s v=""/>
    <n v="0"/>
    <m/>
    <s v=""/>
    <s v="AAAA.0001"/>
    <m/>
    <m/>
    <s v="pippo"/>
    <m/>
    <m/>
    <s v="AAAA.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no"/>
    <n v="2023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63"/>
    <s v="ENG PK"/>
    <s v="Gamberini G."/>
    <e v="#N/A"/>
    <s v="Stay"/>
    <s v="234"/>
    <s v=""/>
    <s v=""/>
    <s v="5447634"/>
    <s v="C005RD234"/>
    <s v="ROSSI MARIO"/>
    <s v="pippo"/>
    <s v="FATTIBILITA' DEL 2025 TOBACCO"/>
    <s v="Stay"/>
    <s v="5447634"/>
    <n v="2023"/>
    <s v="LAYOUT - PROPOSTE E DEFINIZIONE"/>
    <s v="K005.00012"/>
    <s v="Int."/>
    <s v="ENG PK"/>
    <s v="In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63"/>
    <n v="0"/>
    <n v="0"/>
    <n v="0"/>
    <n v="0"/>
    <n v="0"/>
    <n v="0"/>
    <n v="0"/>
    <n v="0"/>
    <n v="0"/>
    <n v="0"/>
    <n v="0"/>
    <n v="63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4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84"/>
    <s v="CONV NGP PLATFORM ENG"/>
    <s v="Gamberini G."/>
    <e v="#N/A"/>
    <s v="Stay"/>
    <s v="234"/>
    <s v=""/>
    <s v=""/>
    <s v="5447634"/>
    <s v="C005RD234"/>
    <s v="SMEI LUCA"/>
    <s v="pippo"/>
    <s v="FATTIBILITA' DEL 2025 TOBACCO"/>
    <s v="Stay"/>
    <s v="5447634"/>
    <n v="2024"/>
    <s v="LAYOUT - PROPOSTE E DEFINIZIONE"/>
    <s v="K005.00012"/>
    <s v="Int."/>
    <s v="CONV NGP PLATFORM ENG"/>
    <s v="In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84"/>
    <n v="0"/>
    <n v="0"/>
    <n v="0"/>
    <n v="0"/>
    <n v="0"/>
    <n v="0"/>
    <n v="0"/>
    <n v="0"/>
    <n v="0"/>
    <n v="0"/>
    <n v="0"/>
    <n v="84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5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63"/>
    <s v="ENG PK"/>
    <s v="Gamberini G."/>
    <e v="#N/A"/>
    <s v="Go"/>
    <s v="234"/>
    <s v=""/>
    <s v=""/>
    <s v="5447634"/>
    <s v="C005RD234"/>
    <s v="ROSSI MARIO"/>
    <s v="pippo"/>
    <s v="FATTIBILITA' DEL 2025 TOBACCO"/>
    <s v="Go"/>
    <s v="5447634"/>
    <n v="2024"/>
    <s v="LAYOUT - PROPOSTE E DEFINIZIONE"/>
    <s v="K005.00012"/>
    <s v="Int."/>
    <s v="ENG PK"/>
    <s v="Es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63"/>
    <n v="0"/>
    <n v="0"/>
    <n v="0"/>
    <n v="0"/>
    <n v="0"/>
    <n v="0"/>
    <n v="0"/>
    <n v="0"/>
    <n v="0"/>
    <n v="0"/>
    <n v="0"/>
    <n v="63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5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84"/>
    <s v="CONV NGP PLATFORM ENG"/>
    <s v="Gamberini G."/>
    <e v="#N/A"/>
    <s v="Go"/>
    <s v="234"/>
    <s v=""/>
    <s v=""/>
    <s v="5447634"/>
    <s v="C005RD234"/>
    <s v="SMEI LUCA"/>
    <s v="pippo"/>
    <s v="FATTIBILITA' DEL 2025 TOBACCO"/>
    <s v="Go"/>
    <s v="5447634"/>
    <n v="2025"/>
    <s v="LAYOUT - PROPOSTE E DEFINIZIONE"/>
    <s v="K005.00012"/>
    <s v="Int."/>
    <s v="CONV NGP PLATFORM ENG"/>
    <s v="Es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84"/>
    <n v="0"/>
    <n v="0"/>
    <n v="0"/>
    <n v="0"/>
    <n v="0"/>
    <n v="0"/>
    <n v="0"/>
    <n v="0"/>
    <n v="0"/>
    <n v="0"/>
    <n v="0"/>
    <n v="84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6"/>
    <x v="2"/>
    <x v="2"/>
    <s v="5"/>
    <s v=""/>
    <s v="5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Stay"/>
    <s v="319"/>
    <s v=""/>
    <s v=""/>
    <s v="5320326"/>
    <s v="C005RD319"/>
    <s v="MIL ANTONY"/>
    <s v="pippo"/>
    <s v="ANALISI RICHIESTE MINORI KIT+QUOT. TOB"/>
    <s v="Stay"/>
    <s v="5320326"/>
    <n v="2025"/>
    <s v="SW ANALISI E STESURA SPECIFICHE"/>
    <s v="K005.01001"/>
    <s v="Int."/>
    <s v="CONV NGP PLATFORM ENG"/>
    <s v="Es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m="1"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4A62-7ED5-4AFF-A8FC-4DBDCFB8828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D12" firstHeaderRow="1" firstDataRow="1" firstDataCol="1"/>
  <pivotFields count="82"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>
      <items count="5">
        <item m="1"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3"/>
  </rowFields>
  <rowItems count="7">
    <i>
      <x/>
    </i>
    <i r="1">
      <x v="3"/>
    </i>
    <i>
      <x v="1"/>
    </i>
    <i r="1">
      <x v="2"/>
    </i>
    <i>
      <x v="2"/>
    </i>
    <i r="1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9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8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7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6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5"/>
    <tableColumn id="7" xr3:uid="{00000000-0010-0000-0000-000007000000}" name="EngUnit area cluster 1_" dataDxfId="64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3">
      <calculatedColumnFormula>tblBudget[[#This Row],[EST]]+tblBudget[[#This Row],[EST3]]</calculatedColumnFormula>
    </tableColumn>
    <tableColumn id="9" xr3:uid="{00000000-0010-0000-0000-000009000000}" name="BDG int_" dataDxfId="62">
      <calculatedColumnFormula>tblBudget[[#This Row],[INT]]+tblBudget[[#This Row],[INT2]]</calculatedColumnFormula>
    </tableColumn>
    <tableColumn id="10" xr3:uid="{00000000-0010-0000-0000-00000A000000}" name="BDG_" dataDxfId="61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60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9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8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7">
      <calculatedColumnFormula>IF(tblForecast[[#This Row],[Business ]]&gt;"",    tblForecast[[#This Row],[Business ]],D2)</calculatedColumnFormula>
    </tableColumn>
    <tableColumn id="5" xr3:uid="{00000000-0010-0000-0100-000005000000}" name="CATEGORIA_" dataDxfId="56">
      <calculatedColumnFormula>tblForecast[[#This Row],[CATEGORIA TMP]]&amp;""</calculatedColumnFormula>
    </tableColumn>
    <tableColumn id="6" xr3:uid="{00000000-0010-0000-0100-000006000000}" name="ENG TOB - INT_" dataDxfId="55">
      <calculatedColumnFormula>tblForecast[[#This Row],[INT]]</calculatedColumnFormula>
    </tableColumn>
    <tableColumn id="7" xr3:uid="{00000000-0010-0000-0100-000007000000}" name="ENG TOB - EST_" dataDxfId="54">
      <calculatedColumnFormula>tblForecast[[#This Row],[EST]]</calculatedColumnFormula>
    </tableColumn>
    <tableColumn id="8" xr3:uid="{00000000-0010-0000-0100-000008000000}" name="ENG TOB Totale_" dataDxfId="53">
      <calculatedColumnFormula>tblForecast[[#This Row],[totale Gamberini]]</calculatedColumnFormula>
    </tableColumn>
    <tableColumn id="9" xr3:uid="{00000000-0010-0000-0100-000009000000}" name="ENG LPP - INT_" dataDxfId="52">
      <calculatedColumnFormula>tblForecast[[#This Row],[INT2]]</calculatedColumnFormula>
    </tableColumn>
    <tableColumn id="10" xr3:uid="{00000000-0010-0000-0100-00000A000000}" name="ENG LPP - EST_" dataDxfId="51">
      <calculatedColumnFormula>tblForecast[[#This Row],[EST3]]</calculatedColumnFormula>
    </tableColumn>
    <tableColumn id="11" xr3:uid="{00000000-0010-0000-0100-00000B000000}" name="ENG LPP Totale_" dataDxfId="50">
      <calculatedColumnFormula>tblForecast[[#This Row],[totale Lanzarini]]</calculatedColumnFormula>
    </tableColumn>
    <tableColumn id="12" xr3:uid="{00000000-0010-0000-0100-00000C000000}" name="int FORECAST_" dataDxfId="49">
      <calculatedColumnFormula>tblForecast[[#This Row],[INT]]+tblForecast[[#This Row],[INT2]]</calculatedColumnFormula>
    </tableColumn>
    <tableColumn id="13" xr3:uid="{00000000-0010-0000-0100-00000D000000}" name="ext FORECAST_" dataDxfId="48">
      <calculatedColumnFormula>tblForecast[[#This Row],[EST]]+tblForecast[[#This Row],[EST3]]</calculatedColumnFormula>
    </tableColumn>
    <tableColumn id="14" xr3:uid="{00000000-0010-0000-0100-00000E000000}" name="FORECAST Totale_" dataDxfId="47">
      <calculatedColumnFormula>tblForecast[[#This Row],[TOTALE TOT]]</calculatedColumnFormula>
    </tableColumn>
    <tableColumn id="15" xr3:uid="{00000000-0010-0000-0100-00000F000000}" name="CATEGORIA TMP" dataDxfId="46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5">
  <autoFilter ref="A1:L2" xr:uid="{00000000-0009-0000-0100-000004000000}"/>
  <tableColumns count="12">
    <tableColumn id="1" xr3:uid="{00000000-0010-0000-0200-000001000000}" name="01" dataDxfId="44"/>
    <tableColumn id="2" xr3:uid="{00000000-0010-0000-0200-000002000000}" name="02" dataDxfId="43"/>
    <tableColumn id="3" xr3:uid="{00000000-0010-0000-0200-000003000000}" name="03" dataDxfId="42"/>
    <tableColumn id="4" xr3:uid="{00000000-0010-0000-0200-000004000000}" name="04" dataDxfId="41"/>
    <tableColumn id="5" xr3:uid="{00000000-0010-0000-0200-000005000000}" name="05" dataDxfId="40"/>
    <tableColumn id="6" xr3:uid="{00000000-0010-0000-0200-000006000000}" name="06" dataDxfId="39"/>
    <tableColumn id="7" xr3:uid="{00000000-0010-0000-0200-000007000000}" name="07" dataDxfId="38"/>
    <tableColumn id="8" xr3:uid="{00000000-0010-0000-0200-000008000000}" name="08" dataDxfId="37"/>
    <tableColumn id="9" xr3:uid="{00000000-0010-0000-0200-000009000000}" name="09" dataDxfId="36"/>
    <tableColumn id="10" xr3:uid="{00000000-0010-0000-0200-00000A000000}" name="10" dataDxfId="35"/>
    <tableColumn id="11" xr3:uid="{00000000-0010-0000-0200-00000B000000}" name="11" dataDxfId="34"/>
    <tableColumn id="12" xr3:uid="{00000000-0010-0000-0200-00000C000000}" name="12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9" totalsRowShown="0" headerRowDxfId="32">
  <autoFilter ref="A2:CD9" xr:uid="{00000000-0009-0000-0100-000001000000}"/>
  <tableColumns count="82">
    <tableColumn id="1" xr3:uid="{00000000-0010-0000-0300-000001000000}" name="da considerare?_" dataDxfId="31">
      <calculatedColumnFormula>IF(  UPPER(LEFT( tabSuperdettagli[[#This Row],[WBE Status]],1) ) = "S",  "sì",  "no"   )</calculatedColumnFormula>
    </tableColumn>
    <tableColumn id="2" xr3:uid="{00000000-0010-0000-0300-000002000000}" name="Anno_" dataDxfId="30"/>
    <tableColumn id="3" xr3:uid="{00000000-0010-0000-0300-000003000000}" name="Anno di prima marcatura (=anno di apertura progetto)" dataDxfId="29">
      <calculatedColumnFormula>VLOOKUP(tabSuperdettagli[[#This Row],[WBS_]], 'pivot di appoggio'!A:B,2,FALSE)</calculatedColumnFormula>
    </tableColumn>
    <tableColumn id="4" xr3:uid="{00000000-0010-0000-0300-000004000000}" name="WBS_" dataDxfId="28">
      <calculatedColumnFormula>LEFT(tabSuperdettagli[[#This Row],[Network]], 10)</calculatedColumnFormula>
    </tableColumn>
    <tableColumn id="5" xr3:uid="{00000000-0010-0000-0300-000005000000}" name="ProjType_" dataDxfId="27">
      <calculatedColumnFormula>LEFT(tabSuperdettagli[[#This Row],[Network]],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24"/>
    <tableColumn id="9" xr3:uid="{00000000-0010-0000-0300-000009000000}" name="BussinessArea Cluster" dataDxfId="23">
      <calculatedColumnFormula>IF(  TRIM(#REF!)&gt; "", TRIM(#REF!), TRIM(tabSuperdettagli[[#This Row],[Resp DT]] ) )</calculatedColumnFormula>
    </tableColumn>
    <tableColumn id="10" xr3:uid="{00000000-0010-0000-0300-00000A000000}" name="ORE_" dataDxfId="22">
      <calculatedColumnFormula>tabSuperdettagli[[#This Row],[07.2025]]</calculatedColumnFormula>
    </tableColumn>
    <tableColumn id="11" xr3:uid="{00000000-0010-0000-0300-00000B000000}" name="gen_" dataDxfId="21">
      <calculatedColumnFormula>tabSuperdettagli[[#This Row],[Resp del Prodotto]]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CODE]]</calculatedColumnFormula>
    </tableColumn>
    <tableColumn id="24" xr3:uid="{00000000-0010-0000-0300-000018000000}" name="Resp 1°liv_" dataDxfId="19">
      <calculatedColumnFormula>tabSuperdettagli[[#This Row],[Resp 2°liv]]&amp;""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Element]]&amp;""</calculatedColumnFormula>
    </tableColumn>
    <tableColumn id="27" xr3:uid="{00000000-0010-0000-0300-00001B000000}" name="WBE description_" dataDxfId="16">
      <calculatedColumnFormula>tabSuperdettagli[[#This Row],[09.2025]]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20"/>
      <c r="K1" s="121" t="s">
        <v>1</v>
      </c>
      <c r="L1" s="122"/>
      <c r="M1" s="122"/>
      <c r="N1" s="122"/>
      <c r="O1" s="122"/>
      <c r="P1" s="122"/>
      <c r="Q1" s="122"/>
      <c r="R1" s="122"/>
      <c r="S1" s="122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225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257</v>
      </c>
      <c r="L3" t="s">
        <v>258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23" t="s">
        <v>1</v>
      </c>
      <c r="Q1" s="123"/>
      <c r="R1" s="123"/>
      <c r="S1" s="123"/>
      <c r="T1" s="123"/>
      <c r="U1" s="123"/>
      <c r="V1" s="123"/>
      <c r="W1" s="123"/>
      <c r="X1" s="124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225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257</v>
      </c>
      <c r="Q3" t="s">
        <v>258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/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D9"/>
  <sheetViews>
    <sheetView zoomScaleNormal="100" workbookViewId="0">
      <selection sqref="A1:AD1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22.710937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2.570312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20"/>
      <c r="AE1" s="125" t="s">
        <v>1</v>
      </c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  <c r="CD1" s="127"/>
    </row>
    <row r="2" spans="1:82" s="1" customFormat="1" ht="24" x14ac:dyDescent="0.25">
      <c r="A2" s="117" t="s">
        <v>2</v>
      </c>
      <c r="B2" s="117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301</v>
      </c>
      <c r="H2" s="117" t="s">
        <v>302</v>
      </c>
      <c r="I2" s="117" t="s">
        <v>303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17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266</v>
      </c>
      <c r="AF2" s="111" t="s">
        <v>267</v>
      </c>
      <c r="AG2" s="111" t="s">
        <v>268</v>
      </c>
      <c r="AH2" s="111" t="s">
        <v>269</v>
      </c>
      <c r="AI2" s="111" t="s">
        <v>270</v>
      </c>
      <c r="AJ2" s="111" t="s">
        <v>271</v>
      </c>
      <c r="AK2" s="111" t="s">
        <v>272</v>
      </c>
      <c r="AL2" s="111" t="s">
        <v>273</v>
      </c>
      <c r="AM2" s="112" t="s">
        <v>238</v>
      </c>
      <c r="AN2" s="111" t="s">
        <v>239</v>
      </c>
      <c r="AO2" s="111" t="s">
        <v>274</v>
      </c>
      <c r="AP2" s="111" t="s">
        <v>240</v>
      </c>
      <c r="AQ2" s="111" t="s">
        <v>275</v>
      </c>
      <c r="AR2" s="111" t="s">
        <v>241</v>
      </c>
      <c r="AS2" s="111" t="s">
        <v>276</v>
      </c>
      <c r="AT2" s="111" t="s">
        <v>277</v>
      </c>
      <c r="AU2" s="111" t="s">
        <v>278</v>
      </c>
      <c r="AV2" s="111" t="s">
        <v>279</v>
      </c>
      <c r="AW2" s="111" t="s">
        <v>280</v>
      </c>
      <c r="AX2" s="111" t="s">
        <v>242</v>
      </c>
      <c r="AY2" s="111" t="s">
        <v>281</v>
      </c>
      <c r="AZ2" s="113" t="s">
        <v>282</v>
      </c>
      <c r="BA2" s="111" t="s">
        <v>283</v>
      </c>
      <c r="BB2" s="111" t="s">
        <v>284</v>
      </c>
      <c r="BC2" s="111" t="s">
        <v>285</v>
      </c>
      <c r="BD2" s="111" t="s">
        <v>286</v>
      </c>
      <c r="BE2" s="111" t="s">
        <v>243</v>
      </c>
      <c r="BF2" s="113" t="s">
        <v>287</v>
      </c>
      <c r="BG2" s="111" t="s">
        <v>244</v>
      </c>
      <c r="BH2" s="111" t="s">
        <v>245</v>
      </c>
      <c r="BI2" s="111" t="s">
        <v>246</v>
      </c>
      <c r="BJ2" s="114" t="s">
        <v>288</v>
      </c>
      <c r="BK2" s="114" t="s">
        <v>289</v>
      </c>
      <c r="BL2" s="114" t="s">
        <v>290</v>
      </c>
      <c r="BM2" s="114" t="s">
        <v>291</v>
      </c>
      <c r="BN2" s="114" t="s">
        <v>292</v>
      </c>
      <c r="BO2" s="114" t="s">
        <v>293</v>
      </c>
      <c r="BP2" s="114" t="s">
        <v>294</v>
      </c>
      <c r="BQ2" s="114" t="s">
        <v>295</v>
      </c>
      <c r="BR2" s="111" t="s">
        <v>296</v>
      </c>
      <c r="BS2" s="111" t="s">
        <v>297</v>
      </c>
      <c r="BT2" s="111" t="s">
        <v>298</v>
      </c>
      <c r="BU2" s="111" t="s">
        <v>299</v>
      </c>
      <c r="BV2" s="111" t="s">
        <v>247</v>
      </c>
      <c r="BW2" s="111" t="s">
        <v>248</v>
      </c>
      <c r="BX2" s="111" t="s">
        <v>249</v>
      </c>
      <c r="BY2" s="111" t="s">
        <v>250</v>
      </c>
      <c r="BZ2" s="111" t="s">
        <v>251</v>
      </c>
      <c r="CA2" s="111" t="s">
        <v>252</v>
      </c>
      <c r="CB2" s="115" t="s">
        <v>253</v>
      </c>
      <c r="CC2" s="115" t="s">
        <v>254</v>
      </c>
      <c r="CD2" s="116" t="s">
        <v>300</v>
      </c>
    </row>
    <row r="3" spans="1:82" x14ac:dyDescent="0.25">
      <c r="A3" t="str">
        <f>IF(UPPER(LEFT(tabSuperdettagli[[#This Row],[WBE Status]],1))="S","sì","no")</f>
        <v>no</v>
      </c>
      <c r="B3">
        <v>2000</v>
      </c>
      <c r="C3">
        <f>VLOOKUP(tabSuperdettagli[[#This Row],[WBS_]], 'pivot di appoggio'!A:B,2,FALSE)</f>
        <v>2000</v>
      </c>
      <c r="D3" t="str">
        <f>LEFT(tabSuperdettagli[[#This Row],[Network]],10)</f>
        <v>AAAA.0001</v>
      </c>
      <c r="E3" t="str">
        <f>LEFT(tabSuperdettagli[[#This Row],[Network]],1)</f>
        <v>A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C A R E</v>
      </c>
      <c r="I3" t="s">
        <v>259</v>
      </c>
      <c r="J3" t="str">
        <f>tabSuperdettagli[[#This Row],[07.2025]]</f>
        <v>10</v>
      </c>
      <c r="K3">
        <f>tabSuperdettagli[[#This Row],[Resp del Prodotto]]</f>
        <v>0</v>
      </c>
      <c r="L3">
        <f>tabSuperdettagli[[#This Row],[Area di bdg]]</f>
        <v>1</v>
      </c>
      <c r="M3">
        <f>tabSuperdettagli[[#This Row],[Macchina]]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Row],[01.2025]]</f>
        <v>0</v>
      </c>
      <c r="R3">
        <f>tabSuperdettagli[[#This Row],[02.2025]]</f>
        <v>0</v>
      </c>
      <c r="S3">
        <f>tabSuperdettagli[[#This Row],[03.2025]]</f>
        <v>0</v>
      </c>
      <c r="T3">
        <f>tabSuperdettagli[[#This Row],[04.2025]]</f>
        <v>0</v>
      </c>
      <c r="U3">
        <f>tabSuperdettagli[[#This Row],[05.2025]]</f>
        <v>0</v>
      </c>
      <c r="V3">
        <f>tabSuperdettagli[[#This Row],[06.2025]]</f>
        <v>1</v>
      </c>
      <c r="W3" t="str">
        <f>tabSuperdettagli[[#This Row],[PROJ CODE]]</f>
        <v>CONV NGP PLATFORM ENG</v>
      </c>
      <c r="X3" t="str">
        <f>tabSuperdettagli[[#This Row],[Resp 2°liv]]&amp;""</f>
        <v>Gamberini G.</v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>Stay</v>
      </c>
      <c r="AA3" t="str">
        <f>tabSuperdettagli[[#This Row],[09.2025]]</f>
        <v>319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>AAAA.0001</v>
      </c>
      <c r="AE3" t="s">
        <v>193</v>
      </c>
      <c r="AF3" t="s">
        <v>194</v>
      </c>
      <c r="AG3" t="s">
        <v>265</v>
      </c>
      <c r="AH3" t="s">
        <v>195</v>
      </c>
      <c r="AI3" t="s">
        <v>255</v>
      </c>
      <c r="AJ3" t="s">
        <v>264</v>
      </c>
      <c r="AK3">
        <v>2023</v>
      </c>
      <c r="AL3" t="s">
        <v>197</v>
      </c>
      <c r="AM3" t="s">
        <v>198</v>
      </c>
      <c r="AN3" t="s">
        <v>199</v>
      </c>
      <c r="AO3" t="s">
        <v>200</v>
      </c>
      <c r="AP3" t="s">
        <v>199</v>
      </c>
      <c r="AQ3" t="s">
        <v>201</v>
      </c>
      <c r="AR3" t="s">
        <v>78</v>
      </c>
      <c r="AS3" t="s">
        <v>79</v>
      </c>
      <c r="AT3" t="s">
        <v>202</v>
      </c>
      <c r="AU3" t="s">
        <v>35</v>
      </c>
      <c r="AV3" t="s">
        <v>81</v>
      </c>
      <c r="AW3" t="s">
        <v>182</v>
      </c>
      <c r="AX3" t="s">
        <v>195</v>
      </c>
      <c r="AY3" t="s">
        <v>203</v>
      </c>
      <c r="AZ3" t="s">
        <v>204</v>
      </c>
      <c r="BA3" t="s">
        <v>205</v>
      </c>
      <c r="BB3" t="s">
        <v>206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207</v>
      </c>
      <c r="BR3" t="s">
        <v>208</v>
      </c>
      <c r="BS3" t="s">
        <v>78</v>
      </c>
      <c r="BT3" t="s">
        <v>182</v>
      </c>
      <c r="BU3" t="s">
        <v>209</v>
      </c>
      <c r="BV3" t="s">
        <v>210</v>
      </c>
      <c r="BW3" t="s">
        <v>74</v>
      </c>
      <c r="BX3" t="s">
        <v>74</v>
      </c>
      <c r="BZ3" t="s">
        <v>83</v>
      </c>
      <c r="CB3" t="s">
        <v>211</v>
      </c>
    </row>
    <row r="4" spans="1:82" x14ac:dyDescent="0.25">
      <c r="A4" t="str">
        <f>IF(  UPPER(LEFT( tabSuperdettagli[[#This Row],[WBE Status]],1) ) = "S",  "sì",  "no"   )</f>
        <v>no</v>
      </c>
      <c r="B4">
        <v>2024</v>
      </c>
      <c r="C4">
        <f>VLOOKUP(tabSuperdettagli[[#This Row],[WBS_]], 'pivot di appoggio'!A:B,2,FALSE)</f>
        <v>2000</v>
      </c>
      <c r="D4" t="str">
        <f>LEFT(tabSuperdettagli[[#This Row],[Network]], 10)</f>
        <v>AAAA.0001</v>
      </c>
      <c r="E4" t="str">
        <f>LEFT(tabSuperdettagli[[#This Row],[Network]], 1)</f>
        <v>A</v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" t="s">
        <v>259</v>
      </c>
      <c r="J4">
        <f>tabSuperdettagli[[#This Row],[07.2025]]</f>
        <v>0</v>
      </c>
      <c r="K4">
        <f>tabSuperdettagli[[#This Row],[Resp del Prodotto]]</f>
        <v>0</v>
      </c>
      <c r="L4">
        <f>tabSuperdettagli[[#This Row],[Area di bdg]]</f>
        <v>0</v>
      </c>
      <c r="W4">
        <f>tabSuperdettagli[[#This Row],[PROJ CODE]]</f>
        <v>0</v>
      </c>
      <c r="X4" t="str">
        <f>tabSuperdettagli[[#This Row],[Resp 2°liv]]&amp;""</f>
        <v/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/>
      </c>
      <c r="AA4">
        <f>tabSuperdettagli[[#This Row],[09.2025]]</f>
        <v>0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>AAAA.0001</v>
      </c>
      <c r="AG4" t="s">
        <v>265</v>
      </c>
      <c r="AJ4" t="s">
        <v>264</v>
      </c>
    </row>
    <row r="5" spans="1:82" x14ac:dyDescent="0.25">
      <c r="A5" t="str">
        <f>IF(UPPER(LEFT(tabSuperdettagli[[#This Row],[WBE Status]],1))="S","sì","no")</f>
        <v>no</v>
      </c>
      <c r="B5">
        <v>2023</v>
      </c>
      <c r="C5">
        <f>VLOOKUP(tabSuperdettagli[[#This Row],[WBS_]], 'pivot di appoggio'!A:B,2,FALSE)</f>
        <v>2023</v>
      </c>
      <c r="D5" t="str">
        <f>LEFT(tabSuperdettagli[[#This Row],[Network]],10)</f>
        <v>5447634</v>
      </c>
      <c r="E5" t="str">
        <f>LEFT(tabSuperdettagli[[#This Row],[Network]],1)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5" t="s">
        <v>259</v>
      </c>
      <c r="J5" t="str">
        <f>tabSuperdettagli[[#This Row],[07.2025]]</f>
        <v>10</v>
      </c>
      <c r="K5">
        <f>tabSuperdettagli[[#This Row],[Resp del Prodotto]]</f>
        <v>0</v>
      </c>
      <c r="L5">
        <f>tabSuperdettagli[[#This Row],[Area di bdg]]</f>
        <v>0</v>
      </c>
      <c r="M5">
        <f>tabSuperdettagli[[#This Row],[Macchina]]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Row],[01.2025]]</f>
        <v>0</v>
      </c>
      <c r="R5">
        <f>tabSuperdettagli[[#This Row],[02.2025]]</f>
        <v>0</v>
      </c>
      <c r="S5">
        <f>tabSuperdettagli[[#This Row],[03.2025]]</f>
        <v>0</v>
      </c>
      <c r="T5">
        <f>tabSuperdettagli[[#This Row],[04.2025]]</f>
        <v>0</v>
      </c>
      <c r="U5">
        <f>tabSuperdettagli[[#This Row],[05.2025]]</f>
        <v>0</v>
      </c>
      <c r="V5">
        <f>tabSuperdettagli[[#This Row],[06.2025]]</f>
        <v>63</v>
      </c>
      <c r="W5" t="str">
        <f>tabSuperdettagli[[#This Row],[PROJ CODE]]</f>
        <v>ENG PK</v>
      </c>
      <c r="X5" t="str">
        <f>tabSuperdettagli[[#This Row],[Resp 2°liv]]&amp;""</f>
        <v>Gamberini G.</v>
      </c>
      <c r="Y5" t="e">
        <f>INDEX(tab_resp1liv[EngUnit area cluster 1_],MATCH(SUBSTITUTE(tabSuperdettagli[[#This Row],[Resp 2°liv]]," ",""),tab_resp1liv[SearchKey],0))</f>
        <v>#N/A</v>
      </c>
      <c r="Z5" t="str">
        <f>tabSuperdettagli[[#This Row],[WBS Element]]&amp;""</f>
        <v>Stay</v>
      </c>
      <c r="AA5" t="str">
        <f>tabSuperdettagli[[#This Row],[09.2025]]</f>
        <v>234</v>
      </c>
      <c r="AB5" t="s">
        <v>74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Row],[Network]],18)</f>
        <v>5447634</v>
      </c>
      <c r="AE5" t="s">
        <v>75</v>
      </c>
      <c r="AF5" t="s">
        <v>76</v>
      </c>
      <c r="AG5" t="s">
        <v>265</v>
      </c>
      <c r="AH5" t="s">
        <v>212</v>
      </c>
      <c r="AI5" t="s">
        <v>255</v>
      </c>
      <c r="AJ5" t="s">
        <v>213</v>
      </c>
      <c r="AK5">
        <v>2023</v>
      </c>
      <c r="AL5" t="s">
        <v>214</v>
      </c>
      <c r="AM5" t="s">
        <v>215</v>
      </c>
      <c r="AN5" t="s">
        <v>199</v>
      </c>
      <c r="AO5" t="s">
        <v>77</v>
      </c>
      <c r="AP5" t="s">
        <v>199</v>
      </c>
      <c r="AQ5" t="s">
        <v>216</v>
      </c>
      <c r="AR5" t="s">
        <v>217</v>
      </c>
      <c r="AS5" t="s">
        <v>79</v>
      </c>
      <c r="AT5" t="s">
        <v>80</v>
      </c>
      <c r="AU5" t="s">
        <v>35</v>
      </c>
      <c r="AV5" t="s">
        <v>81</v>
      </c>
      <c r="AW5" t="s">
        <v>182</v>
      </c>
      <c r="AX5" t="s">
        <v>212</v>
      </c>
      <c r="AY5" t="s">
        <v>218</v>
      </c>
      <c r="AZ5" t="s">
        <v>219</v>
      </c>
      <c r="BA5" t="s">
        <v>220</v>
      </c>
      <c r="BB5" t="s">
        <v>84</v>
      </c>
      <c r="BC5">
        <v>63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63</v>
      </c>
      <c r="BP5" t="s">
        <v>45</v>
      </c>
      <c r="BQ5" t="s">
        <v>221</v>
      </c>
      <c r="BR5" t="s">
        <v>192</v>
      </c>
      <c r="BS5" t="s">
        <v>217</v>
      </c>
      <c r="BT5" t="s">
        <v>182</v>
      </c>
      <c r="BU5" t="s">
        <v>222</v>
      </c>
      <c r="BV5" t="s">
        <v>210</v>
      </c>
      <c r="BW5" t="s">
        <v>74</v>
      </c>
      <c r="BX5" t="s">
        <v>74</v>
      </c>
      <c r="BZ5" t="s">
        <v>223</v>
      </c>
      <c r="CB5" t="s">
        <v>74</v>
      </c>
    </row>
    <row r="6" spans="1:82" x14ac:dyDescent="0.25">
      <c r="A6" t="str">
        <f>IF(UPPER(LEFT(tabSuperdettagli[[#This Row],[WBE Status]],1))="S","sì","no")</f>
        <v>no</v>
      </c>
      <c r="B6">
        <v>2024</v>
      </c>
      <c r="C6">
        <f>VLOOKUP(tabSuperdettagli[[#This Row],[WBS_]], 'pivot di appoggio'!A:B,2,FALSE)</f>
        <v>2023</v>
      </c>
      <c r="D6" t="str">
        <f>LEFT(tabSuperdettagli[[#This Row],[Network]],10)</f>
        <v>5447634</v>
      </c>
      <c r="E6" t="str">
        <f>LEFT(tabSuperdettagli[[#This Row],[Network]],1)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6" t="s">
        <v>259</v>
      </c>
      <c r="J6" t="str">
        <f>tabSuperdettagli[[#This Row],[07.2025]]</f>
        <v>10</v>
      </c>
      <c r="K6">
        <f>tabSuperdettagli[[#This Row],[Resp del Prodotto]]</f>
        <v>0</v>
      </c>
      <c r="L6">
        <f>tabSuperdettagli[[#This Row],[Area di bdg]]</f>
        <v>0</v>
      </c>
      <c r="M6">
        <f>tabSuperdettagli[[#This Row],[Macchina]]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Row],[01.2025]]</f>
        <v>0</v>
      </c>
      <c r="R6">
        <f>tabSuperdettagli[[#This Row],[02.2025]]</f>
        <v>0</v>
      </c>
      <c r="S6">
        <f>tabSuperdettagli[[#This Row],[03.2025]]</f>
        <v>0</v>
      </c>
      <c r="T6">
        <f>tabSuperdettagli[[#This Row],[04.2025]]</f>
        <v>0</v>
      </c>
      <c r="U6">
        <f>tabSuperdettagli[[#This Row],[05.2025]]</f>
        <v>0</v>
      </c>
      <c r="V6">
        <f>tabSuperdettagli[[#This Row],[06.2025]]</f>
        <v>84</v>
      </c>
      <c r="W6" t="str">
        <f>tabSuperdettagli[[#This Row],[PROJ CODE]]</f>
        <v>CONV NGP PLATFORM ENG</v>
      </c>
      <c r="X6" t="str">
        <f>tabSuperdettagli[[#This Row],[Resp 2°liv]]&amp;""</f>
        <v>Gamberini G.</v>
      </c>
      <c r="Y6" t="e">
        <f>INDEX(tab_resp1liv[EngUnit area cluster 1_],MATCH(SUBSTITUTE(tabSuperdettagli[[#This Row],[Resp 2°liv]]," ",""),tab_resp1liv[SearchKey],0))</f>
        <v>#N/A</v>
      </c>
      <c r="Z6" t="str">
        <f>tabSuperdettagli[[#This Row],[WBS Element]]&amp;""</f>
        <v>Stay</v>
      </c>
      <c r="AA6" t="str">
        <f>tabSuperdettagli[[#This Row],[09.2025]]</f>
        <v>234</v>
      </c>
      <c r="AB6" t="s">
        <v>74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Row],[Network]],18)</f>
        <v>5447634</v>
      </c>
      <c r="AE6" t="s">
        <v>75</v>
      </c>
      <c r="AF6" t="s">
        <v>224</v>
      </c>
      <c r="AG6" t="s">
        <v>265</v>
      </c>
      <c r="AH6" t="s">
        <v>212</v>
      </c>
      <c r="AI6" t="s">
        <v>255</v>
      </c>
      <c r="AJ6" t="s">
        <v>213</v>
      </c>
      <c r="AK6">
        <v>2024</v>
      </c>
      <c r="AL6" t="s">
        <v>214</v>
      </c>
      <c r="AM6" t="s">
        <v>215</v>
      </c>
      <c r="AN6" t="s">
        <v>199</v>
      </c>
      <c r="AO6" t="s">
        <v>200</v>
      </c>
      <c r="AP6" t="s">
        <v>199</v>
      </c>
      <c r="AQ6" t="s">
        <v>216</v>
      </c>
      <c r="AR6" t="s">
        <v>217</v>
      </c>
      <c r="AS6" t="s">
        <v>79</v>
      </c>
      <c r="AT6" t="s">
        <v>80</v>
      </c>
      <c r="AU6" t="s">
        <v>35</v>
      </c>
      <c r="AV6" t="s">
        <v>81</v>
      </c>
      <c r="AW6" t="s">
        <v>182</v>
      </c>
      <c r="AX6" t="s">
        <v>212</v>
      </c>
      <c r="AY6" t="s">
        <v>218</v>
      </c>
      <c r="AZ6" t="s">
        <v>219</v>
      </c>
      <c r="BA6" t="s">
        <v>220</v>
      </c>
      <c r="BB6" t="s">
        <v>84</v>
      </c>
      <c r="BC6">
        <v>84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84</v>
      </c>
      <c r="BP6" t="s">
        <v>45</v>
      </c>
      <c r="BQ6" t="s">
        <v>221</v>
      </c>
      <c r="BR6" t="s">
        <v>192</v>
      </c>
      <c r="BS6" t="s">
        <v>217</v>
      </c>
      <c r="BT6" t="s">
        <v>182</v>
      </c>
      <c r="BU6" t="s">
        <v>222</v>
      </c>
      <c r="BV6" t="s">
        <v>210</v>
      </c>
      <c r="BW6" t="s">
        <v>74</v>
      </c>
      <c r="BX6" t="s">
        <v>74</v>
      </c>
      <c r="BZ6" t="s">
        <v>223</v>
      </c>
      <c r="CB6" t="s">
        <v>74</v>
      </c>
    </row>
    <row r="7" spans="1:82" x14ac:dyDescent="0.25">
      <c r="A7" t="str">
        <f>IF(UPPER(LEFT(tabSuperdettagli[[#This Row],[WBE Status]],1))="S","sì","no")</f>
        <v>no</v>
      </c>
      <c r="B7">
        <v>2025</v>
      </c>
      <c r="C7">
        <f>VLOOKUP(tabSuperdettagli[[#This Row],[WBS_]], 'pivot di appoggio'!A:B,2,FALSE)</f>
        <v>2023</v>
      </c>
      <c r="D7" t="str">
        <f>LEFT(tabSuperdettagli[[#This Row],[Network]],10)</f>
        <v>5447634</v>
      </c>
      <c r="E7" t="str">
        <f>LEFT(tabSuperdettagli[[#This Row],[Network]],1)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7" t="s">
        <v>259</v>
      </c>
      <c r="J7" t="str">
        <f>tabSuperdettagli[[#This Row],[07.2025]]</f>
        <v>10</v>
      </c>
      <c r="K7">
        <f>tabSuperdettagli[[#This Row],[Resp del Prodotto]]</f>
        <v>0</v>
      </c>
      <c r="L7">
        <f>tabSuperdettagli[[#This Row],[Area di bdg]]</f>
        <v>0</v>
      </c>
      <c r="M7">
        <f>tabSuperdettagli[[#This Row],[Macchina]]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Row],[01.2025]]</f>
        <v>0</v>
      </c>
      <c r="R7">
        <f>tabSuperdettagli[[#This Row],[02.2025]]</f>
        <v>0</v>
      </c>
      <c r="S7">
        <f>tabSuperdettagli[[#This Row],[03.2025]]</f>
        <v>0</v>
      </c>
      <c r="T7">
        <f>tabSuperdettagli[[#This Row],[04.2025]]</f>
        <v>0</v>
      </c>
      <c r="U7">
        <f>tabSuperdettagli[[#This Row],[05.2025]]</f>
        <v>0</v>
      </c>
      <c r="V7">
        <f>tabSuperdettagli[[#This Row],[06.2025]]</f>
        <v>63</v>
      </c>
      <c r="W7" t="str">
        <f>tabSuperdettagli[[#This Row],[PROJ CODE]]</f>
        <v>ENG PK</v>
      </c>
      <c r="X7" t="str">
        <f>tabSuperdettagli[[#This Row],[Resp 2°liv]]&amp;""</f>
        <v>Gamberini G.</v>
      </c>
      <c r="Y7" t="e">
        <f>INDEX(tab_resp1liv[EngUnit area cluster 1_],MATCH(SUBSTITUTE(tabSuperdettagli[[#This Row],[Resp 2°liv]]," ",""),tab_resp1liv[SearchKey],0))</f>
        <v>#N/A</v>
      </c>
      <c r="Z7" t="str">
        <f>tabSuperdettagli[[#This Row],[WBS Element]]&amp;""</f>
        <v>Go</v>
      </c>
      <c r="AA7" t="str">
        <f>tabSuperdettagli[[#This Row],[09.2025]]</f>
        <v>234</v>
      </c>
      <c r="AB7" t="s">
        <v>74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Row],[Network]],18)</f>
        <v>5447634</v>
      </c>
      <c r="AE7" t="s">
        <v>75</v>
      </c>
      <c r="AF7" t="s">
        <v>76</v>
      </c>
      <c r="AG7" t="s">
        <v>265</v>
      </c>
      <c r="AH7" t="s">
        <v>212</v>
      </c>
      <c r="AI7" t="s">
        <v>256</v>
      </c>
      <c r="AJ7" t="s">
        <v>213</v>
      </c>
      <c r="AK7">
        <v>2024</v>
      </c>
      <c r="AL7" t="s">
        <v>214</v>
      </c>
      <c r="AM7" t="s">
        <v>215</v>
      </c>
      <c r="AN7" t="s">
        <v>199</v>
      </c>
      <c r="AO7" t="s">
        <v>77</v>
      </c>
      <c r="AP7" t="s">
        <v>260</v>
      </c>
      <c r="AQ7" t="s">
        <v>216</v>
      </c>
      <c r="AR7" t="s">
        <v>217</v>
      </c>
      <c r="AS7" t="s">
        <v>79</v>
      </c>
      <c r="AT7" t="s">
        <v>80</v>
      </c>
      <c r="AU7" t="s">
        <v>35</v>
      </c>
      <c r="AV7" t="s">
        <v>81</v>
      </c>
      <c r="AW7" t="s">
        <v>182</v>
      </c>
      <c r="AX7" t="s">
        <v>212</v>
      </c>
      <c r="AY7" t="s">
        <v>218</v>
      </c>
      <c r="AZ7" t="s">
        <v>219</v>
      </c>
      <c r="BA7" t="s">
        <v>220</v>
      </c>
      <c r="BB7" t="s">
        <v>84</v>
      </c>
      <c r="BC7">
        <v>63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63</v>
      </c>
      <c r="BP7" t="s">
        <v>45</v>
      </c>
      <c r="BQ7" t="s">
        <v>221</v>
      </c>
      <c r="BR7" t="s">
        <v>192</v>
      </c>
      <c r="BS7" t="s">
        <v>217</v>
      </c>
      <c r="BT7" t="s">
        <v>182</v>
      </c>
      <c r="BU7" t="s">
        <v>222</v>
      </c>
      <c r="BV7" t="s">
        <v>210</v>
      </c>
      <c r="BW7" t="s">
        <v>74</v>
      </c>
      <c r="BX7" t="s">
        <v>74</v>
      </c>
      <c r="BZ7" t="s">
        <v>223</v>
      </c>
      <c r="CB7" t="s">
        <v>74</v>
      </c>
    </row>
    <row r="8" spans="1:82" x14ac:dyDescent="0.25">
      <c r="A8" t="str">
        <f>IF(UPPER(LEFT(tabSuperdettagli[[#This Row],[WBE Status]],1))="S","sì","no")</f>
        <v>no</v>
      </c>
      <c r="B8">
        <v>2025</v>
      </c>
      <c r="C8">
        <f>VLOOKUP(tabSuperdettagli[[#This Row],[WBS_]], 'pivot di appoggio'!A:B,2,FALSE)</f>
        <v>2023</v>
      </c>
      <c r="D8" t="str">
        <f>LEFT(tabSuperdettagli[[#This Row],[Network]],10)</f>
        <v>5447634</v>
      </c>
      <c r="E8" t="str">
        <f>LEFT(tabSuperdettagli[[#This Row],[Network]],1)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8" t="s">
        <v>259</v>
      </c>
      <c r="J8" t="str">
        <f>tabSuperdettagli[[#This Row],[07.2025]]</f>
        <v>10</v>
      </c>
      <c r="K8">
        <f>tabSuperdettagli[[#This Row],[Resp del Prodotto]]</f>
        <v>0</v>
      </c>
      <c r="L8">
        <f>tabSuperdettagli[[#This Row],[Area di bdg]]</f>
        <v>0</v>
      </c>
      <c r="M8">
        <f>tabSuperdettagli[[#This Row],[Macchina]]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Row],[01.2025]]</f>
        <v>0</v>
      </c>
      <c r="R8">
        <f>tabSuperdettagli[[#This Row],[02.2025]]</f>
        <v>0</v>
      </c>
      <c r="S8">
        <f>tabSuperdettagli[[#This Row],[03.2025]]</f>
        <v>0</v>
      </c>
      <c r="T8">
        <f>tabSuperdettagli[[#This Row],[04.2025]]</f>
        <v>0</v>
      </c>
      <c r="U8">
        <f>tabSuperdettagli[[#This Row],[05.2025]]</f>
        <v>0</v>
      </c>
      <c r="V8">
        <f>tabSuperdettagli[[#This Row],[06.2025]]</f>
        <v>84</v>
      </c>
      <c r="W8" t="str">
        <f>tabSuperdettagli[[#This Row],[PROJ CODE]]</f>
        <v>CONV NGP PLATFORM ENG</v>
      </c>
      <c r="X8" t="str">
        <f>tabSuperdettagli[[#This Row],[Resp 2°liv]]&amp;""</f>
        <v>Gamberini G.</v>
      </c>
      <c r="Y8" t="e">
        <f>INDEX(tab_resp1liv[EngUnit area cluster 1_],MATCH(SUBSTITUTE(tabSuperdettagli[[#This Row],[Resp 2°liv]]," ",""),tab_resp1liv[SearchKey],0))</f>
        <v>#N/A</v>
      </c>
      <c r="Z8" t="str">
        <f>tabSuperdettagli[[#This Row],[WBS Element]]&amp;""</f>
        <v>Go</v>
      </c>
      <c r="AA8" t="str">
        <f>tabSuperdettagli[[#This Row],[09.2025]]</f>
        <v>234</v>
      </c>
      <c r="AB8" t="s">
        <v>74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Row],[Network]],18)</f>
        <v>5447634</v>
      </c>
      <c r="AE8" t="s">
        <v>75</v>
      </c>
      <c r="AF8" t="s">
        <v>224</v>
      </c>
      <c r="AG8" t="s">
        <v>265</v>
      </c>
      <c r="AH8" t="s">
        <v>212</v>
      </c>
      <c r="AI8" t="s">
        <v>256</v>
      </c>
      <c r="AJ8" t="s">
        <v>213</v>
      </c>
      <c r="AK8">
        <v>2025</v>
      </c>
      <c r="AL8" t="s">
        <v>214</v>
      </c>
      <c r="AM8" t="s">
        <v>215</v>
      </c>
      <c r="AN8" t="s">
        <v>199</v>
      </c>
      <c r="AO8" t="s">
        <v>200</v>
      </c>
      <c r="AP8" t="s">
        <v>260</v>
      </c>
      <c r="AQ8" t="s">
        <v>216</v>
      </c>
      <c r="AR8" t="s">
        <v>217</v>
      </c>
      <c r="AS8" t="s">
        <v>79</v>
      </c>
      <c r="AT8" t="s">
        <v>80</v>
      </c>
      <c r="AU8" t="s">
        <v>35</v>
      </c>
      <c r="AV8" t="s">
        <v>81</v>
      </c>
      <c r="AW8" t="s">
        <v>182</v>
      </c>
      <c r="AX8" t="s">
        <v>212</v>
      </c>
      <c r="AY8" t="s">
        <v>218</v>
      </c>
      <c r="AZ8" t="s">
        <v>219</v>
      </c>
      <c r="BA8" t="s">
        <v>220</v>
      </c>
      <c r="BB8" t="s">
        <v>84</v>
      </c>
      <c r="BC8">
        <v>84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84</v>
      </c>
      <c r="BP8" t="s">
        <v>45</v>
      </c>
      <c r="BQ8" t="s">
        <v>221</v>
      </c>
      <c r="BR8" t="s">
        <v>192</v>
      </c>
      <c r="BS8" t="s">
        <v>217</v>
      </c>
      <c r="BT8" t="s">
        <v>182</v>
      </c>
      <c r="BU8" t="s">
        <v>222</v>
      </c>
      <c r="BV8" t="s">
        <v>210</v>
      </c>
      <c r="BW8" t="s">
        <v>74</v>
      </c>
      <c r="BX8" t="s">
        <v>74</v>
      </c>
      <c r="BZ8" t="s">
        <v>223</v>
      </c>
      <c r="CB8" t="s">
        <v>74</v>
      </c>
    </row>
    <row r="9" spans="1:82" x14ac:dyDescent="0.25">
      <c r="A9" t="str">
        <f>IF(UPPER(LEFT(tabSuperdettagli[[#This Row],[WBE Status]],1))="S","sì","no")</f>
        <v>no</v>
      </c>
      <c r="B9">
        <v>2026</v>
      </c>
      <c r="C9">
        <f>VLOOKUP(tabSuperdettagli[[#This Row],[WBS_]], 'pivot di appoggio'!A:B,2,FALSE)</f>
        <v>2026</v>
      </c>
      <c r="D9" t="str">
        <f>LEFT(tabSuperdettagli[[#This Row],[Network]],10)</f>
        <v>5320326</v>
      </c>
      <c r="E9" t="str">
        <f>LEFT(tabSuperdettagli[[#This Row],[Network]],1)</f>
        <v>5</v>
      </c>
      <c r="F9" t="str">
        <f>LOWER(TRIM(tabSuperdettagli[[#This Row],[Proj. Type ]]))</f>
        <v/>
      </c>
      <c r="G9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9" t="s">
        <v>259</v>
      </c>
      <c r="J9" t="str">
        <f>tabSuperdettagli[[#This Row],[07.2025]]</f>
        <v>10</v>
      </c>
      <c r="K9">
        <f>tabSuperdettagli[[#This Row],[Resp del Prodotto]]</f>
        <v>0</v>
      </c>
      <c r="L9">
        <f>tabSuperdettagli[[#This Row],[Area di bdg]]</f>
        <v>1</v>
      </c>
      <c r="M9">
        <f>tabSuperdettagli[[#This Row],[Macchina]]</f>
        <v>0</v>
      </c>
      <c r="N9">
        <f>tabSuperdettagli[[#This Row],[Sottotipo]]</f>
        <v>0</v>
      </c>
      <c r="O9">
        <f>tabSuperdettagli[[#This Row],[Cluster]]</f>
        <v>0</v>
      </c>
      <c r="P9">
        <f>tabSuperdettagli[[#This Row],[Quadrante]]</f>
        <v>0</v>
      </c>
      <c r="Q9">
        <f>tabSuperdettagli[[#This Row],[01.2025]]</f>
        <v>0</v>
      </c>
      <c r="R9">
        <f>tabSuperdettagli[[#This Row],[02.2025]]</f>
        <v>0</v>
      </c>
      <c r="S9">
        <f>tabSuperdettagli[[#This Row],[03.2025]]</f>
        <v>0</v>
      </c>
      <c r="T9">
        <f>tabSuperdettagli[[#This Row],[04.2025]]</f>
        <v>0</v>
      </c>
      <c r="U9">
        <f>tabSuperdettagli[[#This Row],[05.2025]]</f>
        <v>0</v>
      </c>
      <c r="V9">
        <f>tabSuperdettagli[[#This Row],[06.2025]]</f>
        <v>1</v>
      </c>
      <c r="W9" t="str">
        <f>tabSuperdettagli[[#This Row],[PROJ CODE]]</f>
        <v>CONV NGP PLATFORM ENG</v>
      </c>
      <c r="X9" t="str">
        <f>tabSuperdettagli[[#This Row],[Resp 2°liv]]&amp;""</f>
        <v>Gamberini G.</v>
      </c>
      <c r="Y9" t="e">
        <f>INDEX(tab_resp1liv[EngUnit area cluster 1_],MATCH(SUBSTITUTE(tabSuperdettagli[[#This Row],[Resp 2°liv]]," ",""),tab_resp1liv[SearchKey],0))</f>
        <v>#N/A</v>
      </c>
      <c r="Z9" t="str">
        <f>tabSuperdettagli[[#This Row],[WBS Element]]&amp;""</f>
        <v>Stay</v>
      </c>
      <c r="AA9" t="str">
        <f>tabSuperdettagli[[#This Row],[09.2025]]</f>
        <v>319</v>
      </c>
      <c r="AB9" t="s">
        <v>74</v>
      </c>
      <c r="AC9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9" t="str">
        <f>LEFT(tabSuperdettagli[[#This Row],[Network]],18)</f>
        <v>5320326</v>
      </c>
      <c r="AE9" t="s">
        <v>193</v>
      </c>
      <c r="AF9" t="s">
        <v>194</v>
      </c>
      <c r="AG9" t="s">
        <v>265</v>
      </c>
      <c r="AH9" t="s">
        <v>195</v>
      </c>
      <c r="AI9" t="s">
        <v>255</v>
      </c>
      <c r="AJ9" t="s">
        <v>196</v>
      </c>
      <c r="AK9">
        <v>2025</v>
      </c>
      <c r="AL9" t="s">
        <v>197</v>
      </c>
      <c r="AM9" t="s">
        <v>198</v>
      </c>
      <c r="AN9" t="s">
        <v>199</v>
      </c>
      <c r="AO9" t="s">
        <v>200</v>
      </c>
      <c r="AP9" t="s">
        <v>260</v>
      </c>
      <c r="AQ9" t="s">
        <v>201</v>
      </c>
      <c r="AR9" t="s">
        <v>78</v>
      </c>
      <c r="AS9" t="s">
        <v>79</v>
      </c>
      <c r="AT9" t="s">
        <v>202</v>
      </c>
      <c r="AU9" t="s">
        <v>35</v>
      </c>
      <c r="AV9" t="s">
        <v>81</v>
      </c>
      <c r="AW9" t="s">
        <v>182</v>
      </c>
      <c r="AX9" t="s">
        <v>195</v>
      </c>
      <c r="AY9" t="s">
        <v>203</v>
      </c>
      <c r="AZ9" t="s">
        <v>204</v>
      </c>
      <c r="BA9" t="s">
        <v>205</v>
      </c>
      <c r="BB9" t="s">
        <v>206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1</v>
      </c>
      <c r="BP9" t="s">
        <v>45</v>
      </c>
      <c r="BQ9" t="s">
        <v>207</v>
      </c>
      <c r="BR9" t="s">
        <v>208</v>
      </c>
      <c r="BS9" t="s">
        <v>78</v>
      </c>
      <c r="BT9" t="s">
        <v>182</v>
      </c>
      <c r="BU9" t="s">
        <v>209</v>
      </c>
      <c r="BV9" t="s">
        <v>210</v>
      </c>
      <c r="BW9" t="s">
        <v>74</v>
      </c>
      <c r="BX9" t="s">
        <v>74</v>
      </c>
      <c r="BZ9" t="s">
        <v>83</v>
      </c>
      <c r="CB9" t="s">
        <v>211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dimension ref="A1:N3"/>
  <sheetViews>
    <sheetView tabSelected="1" workbookViewId="0">
      <selection activeCell="R15" sqref="R15"/>
    </sheetView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44" t="s">
        <v>304</v>
      </c>
      <c r="B1" s="145" t="s">
        <v>305</v>
      </c>
      <c r="C1" s="145" t="s">
        <v>306</v>
      </c>
      <c r="D1" s="145" t="s">
        <v>307</v>
      </c>
      <c r="E1" s="145" t="s">
        <v>308</v>
      </c>
      <c r="F1" s="145" t="s">
        <v>309</v>
      </c>
      <c r="G1" s="145" t="s">
        <v>310</v>
      </c>
      <c r="H1" s="145" t="s">
        <v>311</v>
      </c>
      <c r="I1" s="145" t="s">
        <v>312</v>
      </c>
      <c r="J1" s="145" t="s">
        <v>313</v>
      </c>
      <c r="K1" s="145" t="s">
        <v>314</v>
      </c>
      <c r="L1" s="145" t="s">
        <v>315</v>
      </c>
      <c r="M1" s="145" t="s">
        <v>316</v>
      </c>
      <c r="N1" s="146" t="s">
        <v>317</v>
      </c>
    </row>
    <row r="2" spans="1:14" x14ac:dyDescent="0.25">
      <c r="A2" s="147" t="s">
        <v>318</v>
      </c>
      <c r="B2" s="148" t="s">
        <v>319</v>
      </c>
      <c r="C2" s="148" t="s">
        <v>319</v>
      </c>
      <c r="D2" s="148" t="s">
        <v>319</v>
      </c>
      <c r="E2" s="148" t="s">
        <v>308</v>
      </c>
      <c r="F2" s="148" t="s">
        <v>320</v>
      </c>
      <c r="G2" s="148" t="s">
        <v>321</v>
      </c>
      <c r="H2" s="148" t="s">
        <v>322</v>
      </c>
      <c r="I2" s="148" t="s">
        <v>74</v>
      </c>
      <c r="J2" s="149">
        <v>42369</v>
      </c>
      <c r="K2" s="148" t="s">
        <v>74</v>
      </c>
      <c r="L2" s="148"/>
      <c r="M2" s="149">
        <v>42145</v>
      </c>
      <c r="N2" s="150" t="s">
        <v>74</v>
      </c>
    </row>
    <row r="3" spans="1:14" x14ac:dyDescent="0.25">
      <c r="A3" s="151" t="s">
        <v>323</v>
      </c>
      <c r="B3" s="152" t="s">
        <v>319</v>
      </c>
      <c r="C3" s="152" t="s">
        <v>324</v>
      </c>
      <c r="D3" s="152" t="s">
        <v>324</v>
      </c>
      <c r="E3" s="152" t="s">
        <v>325</v>
      </c>
      <c r="F3" s="152" t="s">
        <v>326</v>
      </c>
      <c r="G3" s="152" t="s">
        <v>321</v>
      </c>
      <c r="H3" s="152" t="s">
        <v>322</v>
      </c>
      <c r="I3" s="152" t="s">
        <v>74</v>
      </c>
      <c r="J3" s="153">
        <v>42369</v>
      </c>
      <c r="K3" s="152" t="s">
        <v>74</v>
      </c>
      <c r="L3" s="152"/>
      <c r="M3" s="153">
        <v>42145</v>
      </c>
      <c r="N3" s="154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4" tint="0.79998168889431442"/>
  </sheetPr>
  <dimension ref="A3:B7"/>
  <sheetViews>
    <sheetView workbookViewId="0"/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261</v>
      </c>
      <c r="B3" t="s">
        <v>263</v>
      </c>
    </row>
    <row r="4" spans="1:2" x14ac:dyDescent="0.25">
      <c r="A4" s="70" t="s">
        <v>196</v>
      </c>
      <c r="B4" s="143">
        <v>2026</v>
      </c>
    </row>
    <row r="5" spans="1:2" x14ac:dyDescent="0.25">
      <c r="A5" s="70" t="s">
        <v>213</v>
      </c>
      <c r="B5" s="143">
        <v>2023</v>
      </c>
    </row>
    <row r="6" spans="1:2" x14ac:dyDescent="0.25">
      <c r="A6" s="70" t="s">
        <v>264</v>
      </c>
      <c r="B6" s="143">
        <v>2000</v>
      </c>
    </row>
    <row r="7" spans="1:2" x14ac:dyDescent="0.25">
      <c r="A7" s="70" t="s">
        <v>262</v>
      </c>
      <c r="B7" s="143">
        <v>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85</v>
      </c>
      <c r="F1" s="69" t="s">
        <v>86</v>
      </c>
      <c r="G1" s="69" t="s">
        <v>87</v>
      </c>
      <c r="H1" s="69" t="s">
        <v>88</v>
      </c>
      <c r="I1" s="69" t="s">
        <v>89</v>
      </c>
    </row>
    <row r="2" spans="1:9" x14ac:dyDescent="0.25">
      <c r="F2" s="70" t="s">
        <v>82</v>
      </c>
      <c r="G2" s="70" t="s">
        <v>82</v>
      </c>
      <c r="H2" s="70" t="s">
        <v>82</v>
      </c>
      <c r="I2" s="70" t="s">
        <v>82</v>
      </c>
    </row>
    <row r="3" spans="1:9" x14ac:dyDescent="0.25">
      <c r="F3" s="70" t="s">
        <v>82</v>
      </c>
      <c r="G3" s="70" t="s">
        <v>82</v>
      </c>
      <c r="H3" s="70" t="s">
        <v>82</v>
      </c>
      <c r="I3" s="70" t="s">
        <v>82</v>
      </c>
    </row>
    <row r="4" spans="1:9" x14ac:dyDescent="0.25">
      <c r="F4" s="70" t="s">
        <v>82</v>
      </c>
      <c r="G4" s="70" t="s">
        <v>82</v>
      </c>
      <c r="H4" s="70" t="s">
        <v>82</v>
      </c>
      <c r="I4" s="70" t="s">
        <v>82</v>
      </c>
    </row>
    <row r="5" spans="1:9" x14ac:dyDescent="0.25">
      <c r="F5" s="70" t="s">
        <v>82</v>
      </c>
      <c r="G5" s="70" t="s">
        <v>82</v>
      </c>
      <c r="H5" s="70" t="s">
        <v>82</v>
      </c>
      <c r="I5" s="70" t="s">
        <v>82</v>
      </c>
    </row>
    <row r="6" spans="1:9" x14ac:dyDescent="0.25">
      <c r="F6" s="70" t="s">
        <v>82</v>
      </c>
      <c r="G6" s="70" t="s">
        <v>82</v>
      </c>
      <c r="H6" s="70" t="s">
        <v>82</v>
      </c>
      <c r="I6" s="70" t="s">
        <v>82</v>
      </c>
    </row>
    <row r="7" spans="1:9" x14ac:dyDescent="0.25">
      <c r="F7" s="70" t="s">
        <v>82</v>
      </c>
      <c r="G7" s="70" t="s">
        <v>82</v>
      </c>
      <c r="H7" s="70" t="s">
        <v>82</v>
      </c>
      <c r="I7" s="70" t="s">
        <v>82</v>
      </c>
    </row>
    <row r="8" spans="1:9" x14ac:dyDescent="0.25">
      <c r="F8" s="70" t="s">
        <v>82</v>
      </c>
      <c r="G8" s="70" t="s">
        <v>82</v>
      </c>
      <c r="H8" s="70" t="s">
        <v>82</v>
      </c>
      <c r="I8" s="70" t="s">
        <v>82</v>
      </c>
    </row>
    <row r="9" spans="1:9" x14ac:dyDescent="0.25">
      <c r="F9" s="70" t="s">
        <v>82</v>
      </c>
      <c r="G9" s="70" t="s">
        <v>82</v>
      </c>
      <c r="H9" s="70" t="s">
        <v>82</v>
      </c>
      <c r="I9" s="70" t="s">
        <v>82</v>
      </c>
    </row>
    <row r="10" spans="1:9" x14ac:dyDescent="0.25">
      <c r="F10" s="70" t="s">
        <v>82</v>
      </c>
      <c r="G10" s="70" t="s">
        <v>82</v>
      </c>
      <c r="H10" s="70" t="s">
        <v>82</v>
      </c>
      <c r="I10" s="70" t="s">
        <v>82</v>
      </c>
    </row>
    <row r="11" spans="1:9" x14ac:dyDescent="0.25">
      <c r="F11" s="70" t="s">
        <v>82</v>
      </c>
      <c r="G11" s="70" t="s">
        <v>82</v>
      </c>
      <c r="H11" s="70" t="s">
        <v>82</v>
      </c>
      <c r="I11" s="70" t="s">
        <v>82</v>
      </c>
    </row>
    <row r="12" spans="1:9" x14ac:dyDescent="0.25">
      <c r="F12" s="70" t="s">
        <v>82</v>
      </c>
      <c r="G12" s="70" t="s">
        <v>82</v>
      </c>
      <c r="H12" s="70" t="s">
        <v>82</v>
      </c>
      <c r="I12" s="70" t="s">
        <v>82</v>
      </c>
    </row>
    <row r="13" spans="1:9" x14ac:dyDescent="0.25">
      <c r="F13" s="70" t="s">
        <v>82</v>
      </c>
      <c r="G13" s="70" t="s">
        <v>82</v>
      </c>
      <c r="H13" s="70" t="s">
        <v>82</v>
      </c>
      <c r="I13" s="70" t="s">
        <v>82</v>
      </c>
    </row>
    <row r="14" spans="1:9" x14ac:dyDescent="0.25">
      <c r="F14" s="70" t="s">
        <v>82</v>
      </c>
      <c r="G14" s="70" t="s">
        <v>82</v>
      </c>
      <c r="H14" s="70" t="s">
        <v>82</v>
      </c>
      <c r="I14" s="70" t="s">
        <v>82</v>
      </c>
    </row>
    <row r="15" spans="1:9" x14ac:dyDescent="0.25">
      <c r="F15" s="70" t="s">
        <v>82</v>
      </c>
      <c r="G15" s="70" t="s">
        <v>82</v>
      </c>
      <c r="H15" s="70" t="s">
        <v>82</v>
      </c>
      <c r="I15" s="70" t="s">
        <v>82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90</v>
      </c>
      <c r="F1" t="s">
        <v>86</v>
      </c>
      <c r="G1" t="s">
        <v>87</v>
      </c>
      <c r="H1" t="s">
        <v>88</v>
      </c>
      <c r="I1" t="s">
        <v>89</v>
      </c>
    </row>
    <row r="2" spans="1:9" x14ac:dyDescent="0.25">
      <c r="F2" t="s">
        <v>91</v>
      </c>
      <c r="G2" t="s">
        <v>91</v>
      </c>
      <c r="H2" t="s">
        <v>91</v>
      </c>
      <c r="I2" t="s">
        <v>91</v>
      </c>
    </row>
    <row r="3" spans="1:9" x14ac:dyDescent="0.25">
      <c r="F3" t="s">
        <v>91</v>
      </c>
      <c r="G3" t="s">
        <v>91</v>
      </c>
      <c r="H3" t="s">
        <v>91</v>
      </c>
      <c r="I3" t="s">
        <v>91</v>
      </c>
    </row>
    <row r="4" spans="1:9" x14ac:dyDescent="0.25">
      <c r="F4" t="s">
        <v>91</v>
      </c>
      <c r="G4" t="s">
        <v>91</v>
      </c>
      <c r="H4" t="s">
        <v>91</v>
      </c>
      <c r="I4" t="s">
        <v>91</v>
      </c>
    </row>
    <row r="5" spans="1:9" x14ac:dyDescent="0.25">
      <c r="F5" t="s">
        <v>91</v>
      </c>
      <c r="G5" t="s">
        <v>91</v>
      </c>
      <c r="H5" t="s">
        <v>91</v>
      </c>
      <c r="I5" t="s">
        <v>91</v>
      </c>
    </row>
    <row r="6" spans="1:9" x14ac:dyDescent="0.25">
      <c r="F6" t="s">
        <v>91</v>
      </c>
      <c r="G6" t="s">
        <v>91</v>
      </c>
      <c r="H6" t="s">
        <v>91</v>
      </c>
      <c r="I6" t="s">
        <v>91</v>
      </c>
    </row>
    <row r="7" spans="1:9" x14ac:dyDescent="0.25">
      <c r="F7" t="s">
        <v>91</v>
      </c>
      <c r="G7" t="s">
        <v>91</v>
      </c>
      <c r="H7" t="s">
        <v>91</v>
      </c>
      <c r="I7" t="s">
        <v>91</v>
      </c>
    </row>
    <row r="8" spans="1:9" x14ac:dyDescent="0.25">
      <c r="F8" t="s">
        <v>91</v>
      </c>
      <c r="G8" t="s">
        <v>91</v>
      </c>
      <c r="H8" t="s">
        <v>91</v>
      </c>
      <c r="I8" t="s">
        <v>91</v>
      </c>
    </row>
    <row r="9" spans="1:9" x14ac:dyDescent="0.25">
      <c r="F9" t="s">
        <v>91</v>
      </c>
      <c r="G9" t="s">
        <v>91</v>
      </c>
      <c r="H9" t="s">
        <v>91</v>
      </c>
      <c r="I9" t="s">
        <v>91</v>
      </c>
    </row>
    <row r="10" spans="1:9" x14ac:dyDescent="0.25">
      <c r="F10" t="s">
        <v>91</v>
      </c>
      <c r="G10" t="s">
        <v>91</v>
      </c>
      <c r="H10" t="s">
        <v>91</v>
      </c>
      <c r="I10" t="s">
        <v>91</v>
      </c>
    </row>
    <row r="11" spans="1:9" x14ac:dyDescent="0.25">
      <c r="F11" t="s">
        <v>91</v>
      </c>
      <c r="G11" t="s">
        <v>91</v>
      </c>
      <c r="H11" t="s">
        <v>91</v>
      </c>
      <c r="I11" t="s">
        <v>91</v>
      </c>
    </row>
    <row r="12" spans="1:9" x14ac:dyDescent="0.25">
      <c r="F12" t="s">
        <v>91</v>
      </c>
      <c r="G12" t="s">
        <v>91</v>
      </c>
      <c r="H12" t="s">
        <v>91</v>
      </c>
      <c r="I12" t="s">
        <v>91</v>
      </c>
    </row>
    <row r="13" spans="1:9" x14ac:dyDescent="0.25">
      <c r="F13" t="s">
        <v>91</v>
      </c>
      <c r="G13" t="s">
        <v>91</v>
      </c>
      <c r="H13" t="s">
        <v>91</v>
      </c>
      <c r="I13" t="s">
        <v>91</v>
      </c>
    </row>
    <row r="14" spans="1:9" x14ac:dyDescent="0.25">
      <c r="F14" t="s">
        <v>91</v>
      </c>
      <c r="G14" t="s">
        <v>91</v>
      </c>
      <c r="H14" t="s">
        <v>91</v>
      </c>
      <c r="I14" t="s">
        <v>91</v>
      </c>
    </row>
    <row r="15" spans="1:9" x14ac:dyDescent="0.25">
      <c r="F15" t="s">
        <v>91</v>
      </c>
      <c r="G15" t="s">
        <v>91</v>
      </c>
      <c r="H15" t="s">
        <v>91</v>
      </c>
      <c r="I15" t="s">
        <v>91</v>
      </c>
    </row>
    <row r="16" spans="1:9" x14ac:dyDescent="0.25">
      <c r="F16" t="s">
        <v>91</v>
      </c>
      <c r="G16" t="s">
        <v>91</v>
      </c>
      <c r="H16" t="s">
        <v>91</v>
      </c>
      <c r="I16" t="s">
        <v>91</v>
      </c>
    </row>
    <row r="17" spans="6:9" x14ac:dyDescent="0.25">
      <c r="F17" t="s">
        <v>91</v>
      </c>
      <c r="G17" t="s">
        <v>91</v>
      </c>
      <c r="H17" t="s">
        <v>91</v>
      </c>
      <c r="I17" t="s">
        <v>91</v>
      </c>
    </row>
    <row r="18" spans="6:9" x14ac:dyDescent="0.25">
      <c r="F18" t="s">
        <v>91</v>
      </c>
      <c r="G18" t="s">
        <v>91</v>
      </c>
      <c r="H18" t="s">
        <v>91</v>
      </c>
      <c r="I18" t="s">
        <v>91</v>
      </c>
    </row>
    <row r="19" spans="6:9" x14ac:dyDescent="0.25">
      <c r="F19" t="s">
        <v>91</v>
      </c>
      <c r="G19" t="s">
        <v>91</v>
      </c>
      <c r="H19" t="s">
        <v>91</v>
      </c>
      <c r="I19" t="s">
        <v>91</v>
      </c>
    </row>
    <row r="20" spans="6:9" x14ac:dyDescent="0.25">
      <c r="F20" t="s">
        <v>91</v>
      </c>
      <c r="G20" t="s">
        <v>91</v>
      </c>
      <c r="H20" t="s">
        <v>91</v>
      </c>
      <c r="I20" t="s">
        <v>91</v>
      </c>
    </row>
    <row r="21" spans="6:9" x14ac:dyDescent="0.25">
      <c r="F21" t="s">
        <v>91</v>
      </c>
      <c r="G21" t="s">
        <v>91</v>
      </c>
      <c r="H21" t="s">
        <v>91</v>
      </c>
      <c r="I21" t="s">
        <v>91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92</v>
      </c>
      <c r="B1" t="s">
        <v>72</v>
      </c>
      <c r="C1" t="s">
        <v>8</v>
      </c>
      <c r="E1" s="67" t="s">
        <v>93</v>
      </c>
    </row>
    <row r="2" spans="1:5" x14ac:dyDescent="0.25">
      <c r="A2" t="str">
        <f>SUBSTITUTE(tab_resp1liv[[#This Row],[Resp 1°liv2]]," ","")</f>
        <v>C</v>
      </c>
      <c r="B2" t="s">
        <v>94</v>
      </c>
      <c r="C2" t="s">
        <v>94</v>
      </c>
      <c r="E2" s="71" t="s">
        <v>95</v>
      </c>
    </row>
    <row r="3" spans="1:5" x14ac:dyDescent="0.25">
      <c r="A3" t="str">
        <f>SUBSTITUTE(tab_resp1liv[[#This Row],[Resp 1°liv2]]," ","")</f>
        <v>C</v>
      </c>
      <c r="B3" t="s">
        <v>94</v>
      </c>
      <c r="C3" t="s">
        <v>94</v>
      </c>
      <c r="E3" s="71" t="s">
        <v>95</v>
      </c>
    </row>
    <row r="4" spans="1:5" x14ac:dyDescent="0.25">
      <c r="A4" t="str">
        <f>SUBSTITUTE(tab_resp1liv[[#This Row],[Resp 1°liv2]]," ","")</f>
        <v>C</v>
      </c>
      <c r="B4" t="s">
        <v>94</v>
      </c>
      <c r="C4" t="s">
        <v>94</v>
      </c>
      <c r="E4" s="71" t="s">
        <v>95</v>
      </c>
    </row>
    <row r="5" spans="1:5" x14ac:dyDescent="0.25">
      <c r="A5" t="str">
        <f>SUBSTITUTE(tab_resp1liv[[#This Row],[Resp 1°liv2]]," ","")</f>
        <v>C</v>
      </c>
      <c r="B5" t="s">
        <v>94</v>
      </c>
      <c r="C5" t="s">
        <v>94</v>
      </c>
      <c r="E5" s="71" t="s">
        <v>95</v>
      </c>
    </row>
    <row r="6" spans="1:5" x14ac:dyDescent="0.25">
      <c r="A6" t="str">
        <f>SUBSTITUTE(tab_resp1liv[[#This Row],[Resp 1°liv2]]," ","")</f>
        <v>C</v>
      </c>
      <c r="B6" t="s">
        <v>94</v>
      </c>
      <c r="C6" t="s">
        <v>94</v>
      </c>
      <c r="E6" s="71" t="s">
        <v>95</v>
      </c>
    </row>
    <row r="7" spans="1:5" x14ac:dyDescent="0.25">
      <c r="A7" t="str">
        <f>SUBSTITUTE(tab_resp1liv[[#This Row],[Resp 1°liv2]]," ","")</f>
        <v>C</v>
      </c>
      <c r="B7" t="s">
        <v>94</v>
      </c>
      <c r="C7" t="s">
        <v>94</v>
      </c>
      <c r="E7" s="71" t="s">
        <v>95</v>
      </c>
    </row>
    <row r="8" spans="1:5" x14ac:dyDescent="0.25">
      <c r="A8" t="str">
        <f>SUBSTITUTE(tab_resp1liv[[#This Row],[Resp 1°liv2]]," ","")</f>
        <v>C</v>
      </c>
      <c r="B8" t="s">
        <v>94</v>
      </c>
      <c r="C8" t="s">
        <v>94</v>
      </c>
      <c r="E8" s="71" t="s">
        <v>95</v>
      </c>
    </row>
    <row r="9" spans="1:5" x14ac:dyDescent="0.25">
      <c r="A9" t="str">
        <f>SUBSTITUTE(tab_resp1liv[[#This Row],[Resp 1°liv2]]," ","")</f>
        <v>C</v>
      </c>
      <c r="B9" t="s">
        <v>94</v>
      </c>
      <c r="C9" t="s">
        <v>94</v>
      </c>
      <c r="E9" s="71" t="s">
        <v>95</v>
      </c>
    </row>
    <row r="10" spans="1:5" x14ac:dyDescent="0.25">
      <c r="A10" t="str">
        <f>SUBSTITUTE(tab_resp1liv[[#This Row],[Resp 1°liv2]]," ","")</f>
        <v>C</v>
      </c>
      <c r="B10" t="s">
        <v>94</v>
      </c>
      <c r="C10" t="s">
        <v>94</v>
      </c>
      <c r="E10" s="71" t="s">
        <v>95</v>
      </c>
    </row>
    <row r="11" spans="1:5" x14ac:dyDescent="0.25">
      <c r="A11" t="str">
        <f>SUBSTITUTE(tab_resp1liv[[#This Row],[Resp 1°liv2]]," ","")</f>
        <v>C</v>
      </c>
      <c r="B11" t="s">
        <v>94</v>
      </c>
      <c r="C11" t="s">
        <v>94</v>
      </c>
      <c r="E11" s="71" t="s">
        <v>95</v>
      </c>
    </row>
    <row r="12" spans="1:5" x14ac:dyDescent="0.25">
      <c r="A12" t="str">
        <f>SUBSTITUTE(tab_resp1liv[[#This Row],[Resp 1°liv2]]," ","")</f>
        <v>C</v>
      </c>
      <c r="B12" t="s">
        <v>94</v>
      </c>
      <c r="C12" t="s">
        <v>94</v>
      </c>
      <c r="E12" s="71" t="s">
        <v>95</v>
      </c>
    </row>
    <row r="13" spans="1:5" x14ac:dyDescent="0.25">
      <c r="A13" t="str">
        <f>SUBSTITUTE(tab_resp1liv[[#This Row],[Resp 1°liv2]]," ","")</f>
        <v>C</v>
      </c>
      <c r="B13" t="s">
        <v>94</v>
      </c>
      <c r="C13" t="s">
        <v>94</v>
      </c>
      <c r="E13" s="71" t="s">
        <v>95</v>
      </c>
    </row>
    <row r="14" spans="1:5" x14ac:dyDescent="0.25">
      <c r="A14" t="str">
        <f>SUBSTITUTE(tab_resp1liv[[#This Row],[Resp 1°liv2]]," ","")</f>
        <v>C</v>
      </c>
      <c r="B14" t="s">
        <v>94</v>
      </c>
      <c r="C14" t="s">
        <v>94</v>
      </c>
      <c r="E14" s="71" t="s">
        <v>95</v>
      </c>
    </row>
    <row r="15" spans="1:5" x14ac:dyDescent="0.25">
      <c r="A15" t="str">
        <f>SUBSTITUTE(tab_resp1liv[[#This Row],[Resp 1°liv2]]," ","")</f>
        <v>C</v>
      </c>
      <c r="B15" t="s">
        <v>94</v>
      </c>
      <c r="C15" t="s">
        <v>94</v>
      </c>
      <c r="E15" s="71" t="s">
        <v>95</v>
      </c>
    </row>
    <row r="16" spans="1:5" x14ac:dyDescent="0.25">
      <c r="A16" t="str">
        <f>SUBSTITUTE(tab_resp1liv[[#This Row],[Resp 1°liv2]]," ","")</f>
        <v>C</v>
      </c>
      <c r="B16" t="s">
        <v>94</v>
      </c>
      <c r="C16" t="s">
        <v>94</v>
      </c>
      <c r="E16" s="71" t="s">
        <v>95</v>
      </c>
    </row>
    <row r="17" spans="1:5" x14ac:dyDescent="0.25">
      <c r="A17" t="str">
        <f>SUBSTITUTE(tab_resp1liv[[#This Row],[Resp 1°liv2]]," ","")</f>
        <v>C</v>
      </c>
      <c r="B17" t="s">
        <v>94</v>
      </c>
      <c r="C17" t="s">
        <v>94</v>
      </c>
      <c r="E17" s="71" t="s">
        <v>95</v>
      </c>
    </row>
    <row r="18" spans="1:5" x14ac:dyDescent="0.25">
      <c r="A18" t="str">
        <f>SUBSTITUTE(tab_resp1liv[[#This Row],[Resp 1°liv2]]," ","")</f>
        <v>C</v>
      </c>
      <c r="B18" t="s">
        <v>94</v>
      </c>
      <c r="C18" t="s">
        <v>94</v>
      </c>
      <c r="E18" s="71" t="s">
        <v>95</v>
      </c>
    </row>
    <row r="19" spans="1:5" x14ac:dyDescent="0.25">
      <c r="A19" t="str">
        <f>SUBSTITUTE(tab_resp1liv[[#This Row],[Resp 1°liv2]]," ","")</f>
        <v>C</v>
      </c>
      <c r="B19" t="s">
        <v>94</v>
      </c>
      <c r="C19" t="s">
        <v>94</v>
      </c>
      <c r="E19" s="71" t="s">
        <v>95</v>
      </c>
    </row>
    <row r="20" spans="1:5" x14ac:dyDescent="0.25">
      <c r="A20" t="str">
        <f>SUBSTITUTE(tab_resp1liv[[#This Row],[Resp 1°liv2]]," ","")</f>
        <v>C</v>
      </c>
      <c r="B20" t="s">
        <v>94</v>
      </c>
      <c r="C20" t="s">
        <v>94</v>
      </c>
      <c r="E20" s="71" t="s">
        <v>95</v>
      </c>
    </row>
    <row r="21" spans="1:5" x14ac:dyDescent="0.25">
      <c r="A21" t="str">
        <f>SUBSTITUTE(tab_resp1liv[[#This Row],[Resp 1°liv2]]," ","")</f>
        <v>C</v>
      </c>
      <c r="B21" t="s">
        <v>94</v>
      </c>
      <c r="C21" t="s">
        <v>94</v>
      </c>
      <c r="E21" s="71" t="s">
        <v>95</v>
      </c>
    </row>
    <row r="22" spans="1:5" x14ac:dyDescent="0.25">
      <c r="A22" t="str">
        <f>SUBSTITUTE(tab_resp1liv[[#This Row],[Resp 1°liv2]]," ","")</f>
        <v>C</v>
      </c>
      <c r="B22" t="s">
        <v>94</v>
      </c>
      <c r="C22" t="s">
        <v>94</v>
      </c>
      <c r="E22" s="71" t="s">
        <v>95</v>
      </c>
    </row>
    <row r="23" spans="1:5" x14ac:dyDescent="0.25">
      <c r="A23" t="str">
        <f>SUBSTITUTE(tab_resp1liv[[#This Row],[Resp 1°liv2]]," ","")</f>
        <v>C</v>
      </c>
      <c r="B23" t="s">
        <v>94</v>
      </c>
      <c r="C23" t="s">
        <v>94</v>
      </c>
      <c r="E23" s="71" t="s">
        <v>95</v>
      </c>
    </row>
    <row r="24" spans="1:5" x14ac:dyDescent="0.25">
      <c r="A24" t="str">
        <f>SUBSTITUTE(tab_resp1liv[[#This Row],[Resp 1°liv2]]," ","")</f>
        <v>C</v>
      </c>
      <c r="B24" t="s">
        <v>94</v>
      </c>
      <c r="C24" t="s">
        <v>94</v>
      </c>
      <c r="E24" s="71" t="s">
        <v>95</v>
      </c>
    </row>
    <row r="25" spans="1:5" x14ac:dyDescent="0.25">
      <c r="A25" t="str">
        <f>SUBSTITUTE(tab_resp1liv[[#This Row],[Resp 1°liv2]]," ","")</f>
        <v>C</v>
      </c>
      <c r="B25" t="s">
        <v>94</v>
      </c>
      <c r="C25" t="s">
        <v>94</v>
      </c>
      <c r="E25" s="71" t="s">
        <v>95</v>
      </c>
    </row>
    <row r="26" spans="1:5" x14ac:dyDescent="0.25">
      <c r="A26" t="str">
        <f>SUBSTITUTE(tab_resp1liv[[#This Row],[Resp 1°liv2]]," ","")</f>
        <v>C</v>
      </c>
      <c r="B26" t="s">
        <v>94</v>
      </c>
      <c r="C26" t="s">
        <v>94</v>
      </c>
      <c r="E26" s="71" t="s">
        <v>95</v>
      </c>
    </row>
    <row r="27" spans="1:5" x14ac:dyDescent="0.25">
      <c r="A27" t="str">
        <f>SUBSTITUTE(tab_resp1liv[[#This Row],[Resp 1°liv2]]," ","")</f>
        <v>C</v>
      </c>
      <c r="B27" t="s">
        <v>94</v>
      </c>
      <c r="C27" t="s">
        <v>94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96</v>
      </c>
      <c r="B3" t="s">
        <v>97</v>
      </c>
    </row>
    <row r="4" spans="1:2" x14ac:dyDescent="0.25">
      <c r="A4" t="s">
        <v>98</v>
      </c>
      <c r="B4" t="s">
        <v>98</v>
      </c>
    </row>
    <row r="5" spans="1:2" x14ac:dyDescent="0.25">
      <c r="A5" t="s">
        <v>98</v>
      </c>
      <c r="B5" t="s">
        <v>98</v>
      </c>
    </row>
    <row r="6" spans="1:2" x14ac:dyDescent="0.25">
      <c r="A6" t="s">
        <v>98</v>
      </c>
      <c r="B6" t="s">
        <v>98</v>
      </c>
    </row>
    <row r="7" spans="1:2" x14ac:dyDescent="0.25">
      <c r="A7" t="s">
        <v>98</v>
      </c>
      <c r="B7" t="s">
        <v>98</v>
      </c>
    </row>
    <row r="8" spans="1:2" x14ac:dyDescent="0.25">
      <c r="A8" t="s">
        <v>98</v>
      </c>
      <c r="B8" t="s">
        <v>98</v>
      </c>
    </row>
    <row r="9" spans="1:2" x14ac:dyDescent="0.25">
      <c r="A9" t="s">
        <v>98</v>
      </c>
      <c r="B9" t="s">
        <v>98</v>
      </c>
    </row>
    <row r="10" spans="1:2" x14ac:dyDescent="0.25">
      <c r="A10" t="s">
        <v>98</v>
      </c>
      <c r="B10" t="s">
        <v>98</v>
      </c>
    </row>
    <row r="11" spans="1:2" x14ac:dyDescent="0.25">
      <c r="A11" t="s">
        <v>98</v>
      </c>
      <c r="B11" t="s">
        <v>98</v>
      </c>
    </row>
    <row r="12" spans="1:2" x14ac:dyDescent="0.25">
      <c r="A12" t="s">
        <v>98</v>
      </c>
      <c r="B12" t="s">
        <v>98</v>
      </c>
    </row>
    <row r="13" spans="1:2" x14ac:dyDescent="0.25">
      <c r="A13" t="s">
        <v>98</v>
      </c>
      <c r="B13" t="s">
        <v>98</v>
      </c>
    </row>
    <row r="14" spans="1:2" x14ac:dyDescent="0.25">
      <c r="A14" t="s">
        <v>98</v>
      </c>
      <c r="B14" t="s">
        <v>98</v>
      </c>
    </row>
    <row r="15" spans="1:2" x14ac:dyDescent="0.25">
      <c r="A15" t="s">
        <v>98</v>
      </c>
      <c r="B15" t="s">
        <v>98</v>
      </c>
    </row>
    <row r="16" spans="1:2" x14ac:dyDescent="0.25">
      <c r="A16" t="s">
        <v>98</v>
      </c>
      <c r="B16" t="s">
        <v>98</v>
      </c>
    </row>
    <row r="17" spans="1:2" x14ac:dyDescent="0.25">
      <c r="A17" t="s">
        <v>98</v>
      </c>
      <c r="B17" t="s">
        <v>98</v>
      </c>
    </row>
    <row r="18" spans="1:2" x14ac:dyDescent="0.25">
      <c r="A18" t="s">
        <v>98</v>
      </c>
      <c r="B18" t="s">
        <v>98</v>
      </c>
    </row>
    <row r="19" spans="1:2" x14ac:dyDescent="0.25">
      <c r="A19" t="s">
        <v>98</v>
      </c>
      <c r="B19" t="s">
        <v>98</v>
      </c>
    </row>
    <row r="20" spans="1:2" x14ac:dyDescent="0.25">
      <c r="A20" t="s">
        <v>98</v>
      </c>
      <c r="B20" t="s">
        <v>98</v>
      </c>
    </row>
    <row r="21" spans="1:2" x14ac:dyDescent="0.25">
      <c r="A21" t="s">
        <v>98</v>
      </c>
      <c r="B21" t="s">
        <v>98</v>
      </c>
    </row>
    <row r="22" spans="1:2" x14ac:dyDescent="0.25">
      <c r="A22" t="s">
        <v>98</v>
      </c>
      <c r="B22" t="s">
        <v>98</v>
      </c>
    </row>
    <row r="23" spans="1:2" x14ac:dyDescent="0.25">
      <c r="A23" t="s">
        <v>98</v>
      </c>
      <c r="B23" t="s">
        <v>98</v>
      </c>
    </row>
    <row r="24" spans="1:2" x14ac:dyDescent="0.25">
      <c r="A24" t="s">
        <v>98</v>
      </c>
      <c r="B24" t="s">
        <v>98</v>
      </c>
    </row>
    <row r="25" spans="1:2" x14ac:dyDescent="0.25">
      <c r="A25" t="s">
        <v>98</v>
      </c>
      <c r="B25" t="s">
        <v>98</v>
      </c>
    </row>
    <row r="26" spans="1:2" x14ac:dyDescent="0.25">
      <c r="A26" t="s">
        <v>98</v>
      </c>
      <c r="B26" t="s">
        <v>98</v>
      </c>
    </row>
    <row r="27" spans="1:2" x14ac:dyDescent="0.25">
      <c r="A27" t="s">
        <v>98</v>
      </c>
      <c r="B27" t="s">
        <v>98</v>
      </c>
    </row>
    <row r="28" spans="1:2" x14ac:dyDescent="0.25">
      <c r="A28" t="s">
        <v>98</v>
      </c>
      <c r="B28" t="s">
        <v>98</v>
      </c>
    </row>
    <row r="29" spans="1:2" x14ac:dyDescent="0.25">
      <c r="A29" t="s">
        <v>98</v>
      </c>
      <c r="B29" t="s">
        <v>98</v>
      </c>
    </row>
    <row r="30" spans="1:2" x14ac:dyDescent="0.25">
      <c r="A30" t="s">
        <v>98</v>
      </c>
      <c r="B30" t="s">
        <v>98</v>
      </c>
    </row>
    <row r="31" spans="1:2" x14ac:dyDescent="0.25">
      <c r="A31" t="s">
        <v>98</v>
      </c>
      <c r="B31" t="s">
        <v>98</v>
      </c>
    </row>
    <row r="32" spans="1:2" x14ac:dyDescent="0.25">
      <c r="A32" t="s">
        <v>98</v>
      </c>
      <c r="B32" t="s">
        <v>98</v>
      </c>
    </row>
    <row r="33" spans="1:2" x14ac:dyDescent="0.25">
      <c r="A33" t="s">
        <v>98</v>
      </c>
      <c r="B33" t="s">
        <v>98</v>
      </c>
    </row>
    <row r="34" spans="1:2" x14ac:dyDescent="0.25">
      <c r="A34" t="s">
        <v>98</v>
      </c>
      <c r="B34" t="s">
        <v>98</v>
      </c>
    </row>
    <row r="35" spans="1:2" x14ac:dyDescent="0.25">
      <c r="A35" t="s">
        <v>98</v>
      </c>
      <c r="B35" t="s">
        <v>98</v>
      </c>
    </row>
    <row r="36" spans="1:2" x14ac:dyDescent="0.25">
      <c r="A36" t="s">
        <v>98</v>
      </c>
      <c r="B36" t="s">
        <v>98</v>
      </c>
    </row>
    <row r="37" spans="1:2" x14ac:dyDescent="0.25">
      <c r="A37" t="s">
        <v>98</v>
      </c>
      <c r="B37" t="s">
        <v>98</v>
      </c>
    </row>
    <row r="38" spans="1:2" x14ac:dyDescent="0.25">
      <c r="A38" t="s">
        <v>98</v>
      </c>
      <c r="B38" t="s">
        <v>98</v>
      </c>
    </row>
    <row r="39" spans="1:2" x14ac:dyDescent="0.25">
      <c r="A39" t="s">
        <v>98</v>
      </c>
      <c r="B39" t="s">
        <v>98</v>
      </c>
    </row>
    <row r="40" spans="1:2" x14ac:dyDescent="0.25">
      <c r="A40" t="s">
        <v>98</v>
      </c>
      <c r="B40" t="s">
        <v>98</v>
      </c>
    </row>
    <row r="41" spans="1:2" x14ac:dyDescent="0.25">
      <c r="A41" t="s">
        <v>98</v>
      </c>
      <c r="B41" t="s">
        <v>98</v>
      </c>
    </row>
    <row r="42" spans="1:2" x14ac:dyDescent="0.25">
      <c r="A42" t="s">
        <v>98</v>
      </c>
      <c r="B42" t="s">
        <v>98</v>
      </c>
    </row>
    <row r="43" spans="1:2" x14ac:dyDescent="0.25">
      <c r="A43" t="s">
        <v>98</v>
      </c>
      <c r="B43" t="s">
        <v>98</v>
      </c>
    </row>
    <row r="44" spans="1:2" x14ac:dyDescent="0.25">
      <c r="A44" t="s">
        <v>98</v>
      </c>
      <c r="B44" t="s">
        <v>98</v>
      </c>
    </row>
    <row r="45" spans="1:2" x14ac:dyDescent="0.25">
      <c r="A45" t="s">
        <v>98</v>
      </c>
      <c r="B45" t="s">
        <v>98</v>
      </c>
    </row>
    <row r="46" spans="1:2" x14ac:dyDescent="0.25">
      <c r="A46" t="s">
        <v>98</v>
      </c>
      <c r="B46" t="s">
        <v>98</v>
      </c>
    </row>
    <row r="47" spans="1:2" x14ac:dyDescent="0.25">
      <c r="A47" t="s">
        <v>98</v>
      </c>
      <c r="B47" t="s">
        <v>98</v>
      </c>
    </row>
    <row r="48" spans="1:2" x14ac:dyDescent="0.25">
      <c r="A48" t="s">
        <v>98</v>
      </c>
      <c r="B48" t="s">
        <v>98</v>
      </c>
    </row>
    <row r="49" spans="1:2" x14ac:dyDescent="0.25">
      <c r="A49" t="s">
        <v>98</v>
      </c>
      <c r="B49" t="s">
        <v>98</v>
      </c>
    </row>
    <row r="50" spans="1:2" x14ac:dyDescent="0.25">
      <c r="A50" t="s">
        <v>98</v>
      </c>
      <c r="B50" t="s">
        <v>98</v>
      </c>
    </row>
    <row r="51" spans="1:2" x14ac:dyDescent="0.25">
      <c r="A51" t="s">
        <v>98</v>
      </c>
      <c r="B51" t="s">
        <v>98</v>
      </c>
    </row>
    <row r="52" spans="1:2" x14ac:dyDescent="0.25">
      <c r="A52" t="s">
        <v>98</v>
      </c>
      <c r="B52" t="s">
        <v>98</v>
      </c>
    </row>
    <row r="53" spans="1:2" x14ac:dyDescent="0.25">
      <c r="A53" t="s">
        <v>98</v>
      </c>
      <c r="B53" t="s">
        <v>98</v>
      </c>
    </row>
    <row r="54" spans="1:2" x14ac:dyDescent="0.25">
      <c r="A54" t="s">
        <v>98</v>
      </c>
      <c r="B54" t="s">
        <v>98</v>
      </c>
    </row>
    <row r="55" spans="1:2" x14ac:dyDescent="0.25">
      <c r="A55" t="s">
        <v>98</v>
      </c>
      <c r="B55" t="s">
        <v>98</v>
      </c>
    </row>
    <row r="56" spans="1:2" x14ac:dyDescent="0.25">
      <c r="A56" t="s">
        <v>98</v>
      </c>
      <c r="B56" t="s">
        <v>98</v>
      </c>
    </row>
    <row r="57" spans="1:2" x14ac:dyDescent="0.25">
      <c r="A57" t="s">
        <v>98</v>
      </c>
      <c r="B57" t="s">
        <v>98</v>
      </c>
    </row>
    <row r="58" spans="1:2" x14ac:dyDescent="0.25">
      <c r="A58" t="s">
        <v>98</v>
      </c>
      <c r="B58" t="s">
        <v>98</v>
      </c>
    </row>
    <row r="59" spans="1:2" x14ac:dyDescent="0.25">
      <c r="A59" t="s">
        <v>98</v>
      </c>
      <c r="B59" t="s">
        <v>98</v>
      </c>
    </row>
    <row r="60" spans="1:2" x14ac:dyDescent="0.25">
      <c r="A60" t="s">
        <v>98</v>
      </c>
      <c r="B60" t="s">
        <v>98</v>
      </c>
    </row>
    <row r="61" spans="1:2" x14ac:dyDescent="0.25">
      <c r="A61" t="s">
        <v>98</v>
      </c>
      <c r="B61" t="s">
        <v>98</v>
      </c>
    </row>
    <row r="62" spans="1:2" x14ac:dyDescent="0.25">
      <c r="A62" t="s">
        <v>98</v>
      </c>
      <c r="B62" t="s">
        <v>98</v>
      </c>
    </row>
    <row r="63" spans="1:2" x14ac:dyDescent="0.25">
      <c r="A63" t="s">
        <v>98</v>
      </c>
      <c r="B63" t="s">
        <v>98</v>
      </c>
    </row>
    <row r="64" spans="1:2" x14ac:dyDescent="0.25">
      <c r="A64" t="s">
        <v>98</v>
      </c>
      <c r="B64" t="s">
        <v>98</v>
      </c>
    </row>
    <row r="65" spans="1:2" x14ac:dyDescent="0.25">
      <c r="A65" t="s">
        <v>98</v>
      </c>
      <c r="B65" t="s">
        <v>98</v>
      </c>
    </row>
    <row r="66" spans="1:2" x14ac:dyDescent="0.25">
      <c r="A66" t="s">
        <v>98</v>
      </c>
      <c r="B66" t="s">
        <v>98</v>
      </c>
    </row>
    <row r="67" spans="1:2" x14ac:dyDescent="0.25">
      <c r="A67" t="s">
        <v>98</v>
      </c>
      <c r="B67" t="s">
        <v>98</v>
      </c>
    </row>
    <row r="68" spans="1:2" x14ac:dyDescent="0.25">
      <c r="A68" t="s">
        <v>98</v>
      </c>
      <c r="B68" t="s">
        <v>98</v>
      </c>
    </row>
    <row r="69" spans="1:2" x14ac:dyDescent="0.25">
      <c r="A69" t="s">
        <v>98</v>
      </c>
      <c r="B69" t="s">
        <v>98</v>
      </c>
    </row>
    <row r="70" spans="1:2" x14ac:dyDescent="0.25">
      <c r="A70" t="s">
        <v>98</v>
      </c>
      <c r="B70" t="s">
        <v>98</v>
      </c>
    </row>
    <row r="71" spans="1:2" x14ac:dyDescent="0.25">
      <c r="A71" t="s">
        <v>98</v>
      </c>
      <c r="B71" t="s">
        <v>98</v>
      </c>
    </row>
    <row r="72" spans="1:2" x14ac:dyDescent="0.25">
      <c r="A72" t="s">
        <v>98</v>
      </c>
      <c r="B72" t="s">
        <v>98</v>
      </c>
    </row>
    <row r="73" spans="1:2" x14ac:dyDescent="0.25">
      <c r="A73" t="s">
        <v>98</v>
      </c>
      <c r="B73" t="s">
        <v>98</v>
      </c>
    </row>
    <row r="74" spans="1:2" x14ac:dyDescent="0.25">
      <c r="A74" t="s">
        <v>98</v>
      </c>
      <c r="B74" t="s">
        <v>98</v>
      </c>
    </row>
    <row r="75" spans="1:2" x14ac:dyDescent="0.25">
      <c r="A75" t="s">
        <v>98</v>
      </c>
      <c r="B75" t="s">
        <v>98</v>
      </c>
    </row>
    <row r="76" spans="1:2" x14ac:dyDescent="0.25">
      <c r="A76" t="s">
        <v>98</v>
      </c>
      <c r="B76" t="s">
        <v>98</v>
      </c>
    </row>
    <row r="77" spans="1:2" x14ac:dyDescent="0.25">
      <c r="A77" t="s">
        <v>98</v>
      </c>
      <c r="B77" t="s">
        <v>98</v>
      </c>
    </row>
    <row r="78" spans="1:2" x14ac:dyDescent="0.25">
      <c r="A78" t="s">
        <v>98</v>
      </c>
      <c r="B78" t="s">
        <v>98</v>
      </c>
    </row>
    <row r="79" spans="1:2" x14ac:dyDescent="0.25">
      <c r="A79" t="s">
        <v>98</v>
      </c>
      <c r="B79" t="s">
        <v>98</v>
      </c>
    </row>
    <row r="80" spans="1:2" x14ac:dyDescent="0.25">
      <c r="A80" t="s">
        <v>98</v>
      </c>
      <c r="B80" t="s">
        <v>98</v>
      </c>
    </row>
    <row r="81" spans="1:2" x14ac:dyDescent="0.25">
      <c r="A81" t="s">
        <v>98</v>
      </c>
      <c r="B81" t="s">
        <v>98</v>
      </c>
    </row>
    <row r="82" spans="1:2" x14ac:dyDescent="0.25">
      <c r="A82" t="s">
        <v>98</v>
      </c>
      <c r="B82" t="s">
        <v>98</v>
      </c>
    </row>
    <row r="83" spans="1:2" x14ac:dyDescent="0.25">
      <c r="A83" t="s">
        <v>98</v>
      </c>
      <c r="B83" t="s">
        <v>98</v>
      </c>
    </row>
    <row r="84" spans="1:2" x14ac:dyDescent="0.25">
      <c r="A84" t="s">
        <v>98</v>
      </c>
      <c r="B84" t="s">
        <v>98</v>
      </c>
    </row>
    <row r="85" spans="1:2" x14ac:dyDescent="0.25">
      <c r="A85" t="s">
        <v>98</v>
      </c>
      <c r="B85" t="s">
        <v>98</v>
      </c>
    </row>
    <row r="86" spans="1:2" x14ac:dyDescent="0.25">
      <c r="A86" t="s">
        <v>98</v>
      </c>
      <c r="B86" t="s">
        <v>98</v>
      </c>
    </row>
    <row r="87" spans="1:2" x14ac:dyDescent="0.25">
      <c r="A87" t="s">
        <v>98</v>
      </c>
      <c r="B87" t="s">
        <v>98</v>
      </c>
    </row>
    <row r="88" spans="1:2" x14ac:dyDescent="0.25">
      <c r="A88" t="s">
        <v>98</v>
      </c>
      <c r="B88" t="s">
        <v>98</v>
      </c>
    </row>
    <row r="89" spans="1:2" x14ac:dyDescent="0.25">
      <c r="A89" t="s">
        <v>98</v>
      </c>
      <c r="B89" t="s">
        <v>98</v>
      </c>
    </row>
    <row r="90" spans="1:2" x14ac:dyDescent="0.25">
      <c r="A90" t="s">
        <v>98</v>
      </c>
      <c r="B90" t="s">
        <v>98</v>
      </c>
    </row>
    <row r="91" spans="1:2" x14ac:dyDescent="0.25">
      <c r="A91" t="s">
        <v>98</v>
      </c>
      <c r="B91" t="s">
        <v>98</v>
      </c>
    </row>
    <row r="92" spans="1:2" x14ac:dyDescent="0.25">
      <c r="A92" t="s">
        <v>98</v>
      </c>
      <c r="B92" t="s">
        <v>98</v>
      </c>
    </row>
    <row r="93" spans="1:2" x14ac:dyDescent="0.25">
      <c r="A93" t="s">
        <v>98</v>
      </c>
      <c r="B93" t="s">
        <v>98</v>
      </c>
    </row>
    <row r="94" spans="1:2" x14ac:dyDescent="0.25">
      <c r="A94" t="s">
        <v>98</v>
      </c>
      <c r="B94" t="s">
        <v>98</v>
      </c>
    </row>
    <row r="95" spans="1:2" x14ac:dyDescent="0.25">
      <c r="A95" t="s">
        <v>98</v>
      </c>
      <c r="B95" t="s">
        <v>98</v>
      </c>
    </row>
    <row r="96" spans="1:2" x14ac:dyDescent="0.25">
      <c r="A96" t="s">
        <v>98</v>
      </c>
      <c r="B96" t="s">
        <v>98</v>
      </c>
    </row>
    <row r="97" spans="1:2" x14ac:dyDescent="0.25">
      <c r="A97" t="s">
        <v>98</v>
      </c>
      <c r="B97" t="s">
        <v>98</v>
      </c>
    </row>
    <row r="98" spans="1:2" x14ac:dyDescent="0.25">
      <c r="A98" t="s">
        <v>98</v>
      </c>
      <c r="B98" t="s">
        <v>98</v>
      </c>
    </row>
    <row r="99" spans="1:2" x14ac:dyDescent="0.25">
      <c r="A99" t="s">
        <v>98</v>
      </c>
      <c r="B99" t="s">
        <v>98</v>
      </c>
    </row>
    <row r="100" spans="1:2" x14ac:dyDescent="0.25">
      <c r="A100" t="s">
        <v>98</v>
      </c>
      <c r="B100" t="s">
        <v>98</v>
      </c>
    </row>
    <row r="101" spans="1:2" x14ac:dyDescent="0.25">
      <c r="A101" t="s">
        <v>98</v>
      </c>
      <c r="B101" t="s">
        <v>98</v>
      </c>
    </row>
    <row r="102" spans="1:2" x14ac:dyDescent="0.25">
      <c r="A102" t="s">
        <v>98</v>
      </c>
      <c r="B102" t="s">
        <v>98</v>
      </c>
    </row>
    <row r="103" spans="1:2" x14ac:dyDescent="0.25">
      <c r="A103" t="s">
        <v>98</v>
      </c>
      <c r="B103" t="s">
        <v>98</v>
      </c>
    </row>
    <row r="104" spans="1:2" x14ac:dyDescent="0.25">
      <c r="A104" t="s">
        <v>98</v>
      </c>
      <c r="B104" t="s">
        <v>98</v>
      </c>
    </row>
    <row r="105" spans="1:2" x14ac:dyDescent="0.25">
      <c r="A105" t="s">
        <v>98</v>
      </c>
      <c r="B105" t="s">
        <v>98</v>
      </c>
    </row>
    <row r="106" spans="1:2" x14ac:dyDescent="0.25">
      <c r="A106" t="s">
        <v>98</v>
      </c>
      <c r="B106" t="s">
        <v>98</v>
      </c>
    </row>
    <row r="107" spans="1:2" x14ac:dyDescent="0.25">
      <c r="A107" t="s">
        <v>98</v>
      </c>
      <c r="B107" t="s">
        <v>98</v>
      </c>
    </row>
    <row r="108" spans="1:2" x14ac:dyDescent="0.25">
      <c r="A108" t="s">
        <v>98</v>
      </c>
      <c r="B108" t="s">
        <v>98</v>
      </c>
    </row>
    <row r="109" spans="1:2" x14ac:dyDescent="0.25">
      <c r="A109" t="s">
        <v>98</v>
      </c>
      <c r="B109" t="s">
        <v>98</v>
      </c>
    </row>
    <row r="110" spans="1:2" x14ac:dyDescent="0.25">
      <c r="A110" t="s">
        <v>98</v>
      </c>
      <c r="B110" t="s">
        <v>98</v>
      </c>
    </row>
    <row r="111" spans="1:2" x14ac:dyDescent="0.25">
      <c r="A111" t="s">
        <v>98</v>
      </c>
      <c r="B111" t="s">
        <v>98</v>
      </c>
    </row>
    <row r="112" spans="1:2" x14ac:dyDescent="0.25">
      <c r="A112" t="s">
        <v>98</v>
      </c>
      <c r="B112" t="s">
        <v>98</v>
      </c>
    </row>
    <row r="113" spans="1:2" x14ac:dyDescent="0.25">
      <c r="A113" t="s">
        <v>98</v>
      </c>
      <c r="B113" t="s">
        <v>98</v>
      </c>
    </row>
    <row r="114" spans="1:2" x14ac:dyDescent="0.25">
      <c r="A114" t="s">
        <v>98</v>
      </c>
      <c r="B114" t="s">
        <v>98</v>
      </c>
    </row>
    <row r="115" spans="1:2" x14ac:dyDescent="0.25">
      <c r="A115" t="s">
        <v>98</v>
      </c>
      <c r="B115" t="s">
        <v>98</v>
      </c>
    </row>
    <row r="116" spans="1:2" x14ac:dyDescent="0.25">
      <c r="A116" t="s">
        <v>98</v>
      </c>
      <c r="B116" t="s">
        <v>98</v>
      </c>
    </row>
    <row r="117" spans="1:2" x14ac:dyDescent="0.25">
      <c r="A117" t="s">
        <v>98</v>
      </c>
      <c r="B117" t="s">
        <v>98</v>
      </c>
    </row>
    <row r="118" spans="1:2" x14ac:dyDescent="0.25">
      <c r="A118" t="s">
        <v>98</v>
      </c>
      <c r="B118" t="s">
        <v>98</v>
      </c>
    </row>
    <row r="119" spans="1:2" x14ac:dyDescent="0.25">
      <c r="A119" t="s">
        <v>98</v>
      </c>
      <c r="B119" t="s">
        <v>98</v>
      </c>
    </row>
    <row r="120" spans="1:2" x14ac:dyDescent="0.25">
      <c r="A120" t="s">
        <v>98</v>
      </c>
      <c r="B120" t="s">
        <v>98</v>
      </c>
    </row>
    <row r="121" spans="1:2" x14ac:dyDescent="0.25">
      <c r="A121" t="s">
        <v>98</v>
      </c>
      <c r="B121" t="s">
        <v>98</v>
      </c>
    </row>
    <row r="122" spans="1:2" x14ac:dyDescent="0.25">
      <c r="A122" t="s">
        <v>98</v>
      </c>
      <c r="B122" t="s">
        <v>98</v>
      </c>
    </row>
    <row r="123" spans="1:2" x14ac:dyDescent="0.25">
      <c r="A123" t="s">
        <v>98</v>
      </c>
      <c r="B123" t="s">
        <v>98</v>
      </c>
    </row>
    <row r="124" spans="1:2" x14ac:dyDescent="0.25">
      <c r="A124" t="s">
        <v>98</v>
      </c>
      <c r="B124" t="s">
        <v>98</v>
      </c>
    </row>
    <row r="125" spans="1:2" x14ac:dyDescent="0.25">
      <c r="A125" t="s">
        <v>98</v>
      </c>
      <c r="B125" t="s">
        <v>98</v>
      </c>
    </row>
    <row r="126" spans="1:2" x14ac:dyDescent="0.25">
      <c r="A126" t="s">
        <v>98</v>
      </c>
      <c r="B126" t="s">
        <v>98</v>
      </c>
    </row>
    <row r="127" spans="1:2" x14ac:dyDescent="0.25">
      <c r="A127" t="s">
        <v>98</v>
      </c>
      <c r="B127" t="s">
        <v>98</v>
      </c>
    </row>
    <row r="128" spans="1:2" x14ac:dyDescent="0.25">
      <c r="A128" t="s">
        <v>98</v>
      </c>
      <c r="B128" t="s">
        <v>98</v>
      </c>
    </row>
    <row r="129" spans="1:2" x14ac:dyDescent="0.25">
      <c r="A129" t="s">
        <v>98</v>
      </c>
      <c r="B129" t="s">
        <v>98</v>
      </c>
    </row>
    <row r="130" spans="1:2" x14ac:dyDescent="0.25">
      <c r="A130" t="s">
        <v>98</v>
      </c>
      <c r="B130" t="s">
        <v>98</v>
      </c>
    </row>
    <row r="131" spans="1:2" x14ac:dyDescent="0.25">
      <c r="A131" t="s">
        <v>98</v>
      </c>
      <c r="B131" t="s">
        <v>98</v>
      </c>
    </row>
    <row r="132" spans="1:2" x14ac:dyDescent="0.25">
      <c r="A132" t="s">
        <v>98</v>
      </c>
      <c r="B132" t="s">
        <v>98</v>
      </c>
    </row>
    <row r="133" spans="1:2" x14ac:dyDescent="0.25">
      <c r="A133" t="s">
        <v>98</v>
      </c>
      <c r="B133" t="s">
        <v>98</v>
      </c>
    </row>
    <row r="134" spans="1:2" x14ac:dyDescent="0.25">
      <c r="A134" t="s">
        <v>98</v>
      </c>
      <c r="B134" t="s">
        <v>98</v>
      </c>
    </row>
    <row r="135" spans="1:2" x14ac:dyDescent="0.25">
      <c r="A135" t="s">
        <v>98</v>
      </c>
      <c r="B135" t="s">
        <v>98</v>
      </c>
    </row>
    <row r="136" spans="1:2" x14ac:dyDescent="0.25">
      <c r="A136" t="s">
        <v>98</v>
      </c>
      <c r="B136" t="s">
        <v>98</v>
      </c>
    </row>
    <row r="137" spans="1:2" x14ac:dyDescent="0.25">
      <c r="A137" t="s">
        <v>98</v>
      </c>
      <c r="B137" t="s">
        <v>98</v>
      </c>
    </row>
    <row r="138" spans="1:2" x14ac:dyDescent="0.25">
      <c r="A138" t="s">
        <v>98</v>
      </c>
      <c r="B138" t="s">
        <v>98</v>
      </c>
    </row>
    <row r="139" spans="1:2" x14ac:dyDescent="0.25">
      <c r="A139" t="s">
        <v>98</v>
      </c>
      <c r="B139" t="s">
        <v>98</v>
      </c>
    </row>
    <row r="140" spans="1:2" x14ac:dyDescent="0.25">
      <c r="A140" t="s">
        <v>98</v>
      </c>
      <c r="B140" t="s">
        <v>98</v>
      </c>
    </row>
    <row r="141" spans="1:2" x14ac:dyDescent="0.25">
      <c r="A141" t="s">
        <v>98</v>
      </c>
      <c r="B141" t="s">
        <v>98</v>
      </c>
    </row>
    <row r="142" spans="1:2" x14ac:dyDescent="0.25">
      <c r="A142" t="s">
        <v>98</v>
      </c>
      <c r="B142" t="s">
        <v>98</v>
      </c>
    </row>
    <row r="143" spans="1:2" x14ac:dyDescent="0.25">
      <c r="A143" t="s">
        <v>98</v>
      </c>
      <c r="B143" t="s">
        <v>98</v>
      </c>
    </row>
    <row r="144" spans="1:2" x14ac:dyDescent="0.25">
      <c r="A144" t="s">
        <v>98</v>
      </c>
      <c r="B144" t="s">
        <v>98</v>
      </c>
    </row>
    <row r="145" spans="1:2" x14ac:dyDescent="0.25">
      <c r="A145" t="s">
        <v>98</v>
      </c>
      <c r="B145" t="s">
        <v>98</v>
      </c>
    </row>
    <row r="146" spans="1:2" x14ac:dyDescent="0.25">
      <c r="A146" t="s">
        <v>98</v>
      </c>
      <c r="B146" t="s">
        <v>98</v>
      </c>
    </row>
    <row r="147" spans="1:2" x14ac:dyDescent="0.25">
      <c r="A147" t="s">
        <v>98</v>
      </c>
      <c r="B147" t="s">
        <v>98</v>
      </c>
    </row>
    <row r="148" spans="1:2" x14ac:dyDescent="0.25">
      <c r="A148" t="s">
        <v>98</v>
      </c>
      <c r="B148" t="s">
        <v>98</v>
      </c>
    </row>
    <row r="149" spans="1:2" x14ac:dyDescent="0.25">
      <c r="A149" t="s">
        <v>98</v>
      </c>
      <c r="B149" t="s">
        <v>98</v>
      </c>
    </row>
    <row r="150" spans="1:2" x14ac:dyDescent="0.25">
      <c r="A150" t="s">
        <v>98</v>
      </c>
      <c r="B150" t="s">
        <v>98</v>
      </c>
    </row>
    <row r="151" spans="1:2" x14ac:dyDescent="0.25">
      <c r="A151" t="s">
        <v>98</v>
      </c>
      <c r="B151" t="s">
        <v>98</v>
      </c>
    </row>
    <row r="152" spans="1:2" x14ac:dyDescent="0.25">
      <c r="A152" t="s">
        <v>98</v>
      </c>
      <c r="B152" t="s">
        <v>98</v>
      </c>
    </row>
    <row r="153" spans="1:2" x14ac:dyDescent="0.25">
      <c r="A153" t="s">
        <v>98</v>
      </c>
      <c r="B153" t="s">
        <v>98</v>
      </c>
    </row>
    <row r="154" spans="1:2" x14ac:dyDescent="0.25">
      <c r="A154" t="s">
        <v>98</v>
      </c>
      <c r="B154" t="s">
        <v>98</v>
      </c>
    </row>
    <row r="155" spans="1:2" x14ac:dyDescent="0.25">
      <c r="A155" t="s">
        <v>98</v>
      </c>
      <c r="B155" t="s">
        <v>98</v>
      </c>
    </row>
    <row r="156" spans="1:2" x14ac:dyDescent="0.25">
      <c r="A156" t="s">
        <v>98</v>
      </c>
      <c r="B156" t="s">
        <v>98</v>
      </c>
    </row>
    <row r="157" spans="1:2" x14ac:dyDescent="0.25">
      <c r="A157" t="s">
        <v>98</v>
      </c>
      <c r="B157" t="s">
        <v>98</v>
      </c>
    </row>
    <row r="158" spans="1:2" x14ac:dyDescent="0.25">
      <c r="A158" t="s">
        <v>98</v>
      </c>
      <c r="B158" t="s">
        <v>98</v>
      </c>
    </row>
    <row r="159" spans="1:2" x14ac:dyDescent="0.25">
      <c r="A159" t="s">
        <v>98</v>
      </c>
      <c r="B159" t="s">
        <v>98</v>
      </c>
    </row>
    <row r="160" spans="1:2" x14ac:dyDescent="0.25">
      <c r="A160" t="s">
        <v>98</v>
      </c>
      <c r="B160" t="s">
        <v>98</v>
      </c>
    </row>
    <row r="161" spans="1:2" x14ac:dyDescent="0.25">
      <c r="A161" t="s">
        <v>98</v>
      </c>
      <c r="B161" t="s">
        <v>98</v>
      </c>
    </row>
    <row r="162" spans="1:2" x14ac:dyDescent="0.25">
      <c r="A162" t="s">
        <v>98</v>
      </c>
      <c r="B162" t="s">
        <v>98</v>
      </c>
    </row>
    <row r="163" spans="1:2" x14ac:dyDescent="0.25">
      <c r="A163" t="s">
        <v>98</v>
      </c>
      <c r="B163" t="s">
        <v>98</v>
      </c>
    </row>
    <row r="164" spans="1:2" x14ac:dyDescent="0.25">
      <c r="A164" t="s">
        <v>98</v>
      </c>
      <c r="B164" t="s">
        <v>98</v>
      </c>
    </row>
    <row r="165" spans="1:2" x14ac:dyDescent="0.25">
      <c r="A165" t="s">
        <v>98</v>
      </c>
      <c r="B165" t="s">
        <v>98</v>
      </c>
    </row>
    <row r="166" spans="1:2" x14ac:dyDescent="0.25">
      <c r="A166" t="s">
        <v>98</v>
      </c>
      <c r="B166" t="s">
        <v>98</v>
      </c>
    </row>
    <row r="167" spans="1:2" x14ac:dyDescent="0.25">
      <c r="A167" t="s">
        <v>98</v>
      </c>
      <c r="B167" t="s">
        <v>98</v>
      </c>
    </row>
    <row r="168" spans="1:2" x14ac:dyDescent="0.25">
      <c r="A168" t="s">
        <v>98</v>
      </c>
      <c r="B168" t="s">
        <v>98</v>
      </c>
    </row>
    <row r="169" spans="1:2" x14ac:dyDescent="0.25">
      <c r="A169" t="s">
        <v>98</v>
      </c>
      <c r="B169" t="s">
        <v>98</v>
      </c>
    </row>
    <row r="170" spans="1:2" x14ac:dyDescent="0.25">
      <c r="A170" t="s">
        <v>98</v>
      </c>
      <c r="B170" t="s">
        <v>98</v>
      </c>
    </row>
    <row r="171" spans="1:2" x14ac:dyDescent="0.25">
      <c r="A171" t="s">
        <v>98</v>
      </c>
      <c r="B171" t="s">
        <v>98</v>
      </c>
    </row>
    <row r="172" spans="1:2" x14ac:dyDescent="0.25">
      <c r="A172" t="s">
        <v>98</v>
      </c>
      <c r="B172" t="s">
        <v>98</v>
      </c>
    </row>
    <row r="173" spans="1:2" x14ac:dyDescent="0.25">
      <c r="A173" t="s">
        <v>98</v>
      </c>
      <c r="B173" t="s">
        <v>98</v>
      </c>
    </row>
    <row r="174" spans="1:2" x14ac:dyDescent="0.25">
      <c r="A174" t="s">
        <v>98</v>
      </c>
      <c r="B174" t="s">
        <v>98</v>
      </c>
    </row>
    <row r="175" spans="1:2" x14ac:dyDescent="0.25">
      <c r="A175" t="s">
        <v>98</v>
      </c>
      <c r="B175" t="s">
        <v>98</v>
      </c>
    </row>
    <row r="176" spans="1:2" x14ac:dyDescent="0.25">
      <c r="A176" t="s">
        <v>98</v>
      </c>
      <c r="B176" t="s">
        <v>98</v>
      </c>
    </row>
    <row r="177" spans="1:2" x14ac:dyDescent="0.25">
      <c r="A177" t="s">
        <v>98</v>
      </c>
      <c r="B177" t="s">
        <v>98</v>
      </c>
    </row>
    <row r="178" spans="1:2" x14ac:dyDescent="0.25">
      <c r="A178" t="s">
        <v>98</v>
      </c>
      <c r="B178" t="s">
        <v>98</v>
      </c>
    </row>
    <row r="179" spans="1:2" x14ac:dyDescent="0.25">
      <c r="A179" t="s">
        <v>98</v>
      </c>
      <c r="B179" t="s">
        <v>98</v>
      </c>
    </row>
    <row r="180" spans="1:2" x14ac:dyDescent="0.25">
      <c r="A180" t="s">
        <v>98</v>
      </c>
      <c r="B180" t="s">
        <v>98</v>
      </c>
    </row>
    <row r="181" spans="1:2" x14ac:dyDescent="0.25">
      <c r="A181" t="s">
        <v>98</v>
      </c>
      <c r="B181" t="s">
        <v>98</v>
      </c>
    </row>
    <row r="182" spans="1:2" x14ac:dyDescent="0.25">
      <c r="A182" t="s">
        <v>98</v>
      </c>
      <c r="B182" t="s">
        <v>98</v>
      </c>
    </row>
    <row r="183" spans="1:2" x14ac:dyDescent="0.25">
      <c r="A183" t="s">
        <v>98</v>
      </c>
      <c r="B183" t="s">
        <v>98</v>
      </c>
    </row>
    <row r="184" spans="1:2" x14ac:dyDescent="0.25">
      <c r="A184" t="s">
        <v>98</v>
      </c>
      <c r="B184" t="s">
        <v>98</v>
      </c>
    </row>
    <row r="185" spans="1:2" x14ac:dyDescent="0.25">
      <c r="A185" t="s">
        <v>98</v>
      </c>
      <c r="B185" t="s">
        <v>98</v>
      </c>
    </row>
    <row r="186" spans="1:2" x14ac:dyDescent="0.25">
      <c r="A186" t="s">
        <v>98</v>
      </c>
      <c r="B186" t="s">
        <v>98</v>
      </c>
    </row>
    <row r="187" spans="1:2" x14ac:dyDescent="0.25">
      <c r="A187" t="s">
        <v>98</v>
      </c>
      <c r="B187" t="s">
        <v>98</v>
      </c>
    </row>
    <row r="188" spans="1:2" x14ac:dyDescent="0.25">
      <c r="A188" t="s">
        <v>98</v>
      </c>
      <c r="B188" t="s">
        <v>98</v>
      </c>
    </row>
    <row r="189" spans="1:2" x14ac:dyDescent="0.25">
      <c r="A189" t="s">
        <v>98</v>
      </c>
      <c r="B189" t="s">
        <v>98</v>
      </c>
    </row>
    <row r="190" spans="1:2" x14ac:dyDescent="0.25">
      <c r="A190" t="s">
        <v>98</v>
      </c>
      <c r="B190" t="s">
        <v>98</v>
      </c>
    </row>
    <row r="191" spans="1:2" x14ac:dyDescent="0.25">
      <c r="A191" t="s">
        <v>98</v>
      </c>
      <c r="B191" t="s">
        <v>98</v>
      </c>
    </row>
    <row r="192" spans="1:2" x14ac:dyDescent="0.25">
      <c r="A192" t="s">
        <v>98</v>
      </c>
      <c r="B192" t="s">
        <v>98</v>
      </c>
    </row>
    <row r="193" spans="1:2" x14ac:dyDescent="0.25">
      <c r="A193" t="s">
        <v>98</v>
      </c>
      <c r="B193" t="s">
        <v>98</v>
      </c>
    </row>
    <row r="194" spans="1:2" x14ac:dyDescent="0.25">
      <c r="A194" t="s">
        <v>98</v>
      </c>
      <c r="B194" t="s">
        <v>98</v>
      </c>
    </row>
    <row r="195" spans="1:2" x14ac:dyDescent="0.25">
      <c r="A195" t="s">
        <v>98</v>
      </c>
      <c r="B195" t="s">
        <v>98</v>
      </c>
    </row>
    <row r="196" spans="1:2" x14ac:dyDescent="0.25">
      <c r="A196" t="s">
        <v>98</v>
      </c>
      <c r="B196" t="s">
        <v>98</v>
      </c>
    </row>
    <row r="197" spans="1:2" x14ac:dyDescent="0.25">
      <c r="A197" t="s">
        <v>98</v>
      </c>
      <c r="B197" t="s">
        <v>98</v>
      </c>
    </row>
    <row r="198" spans="1:2" x14ac:dyDescent="0.25">
      <c r="A198" t="s">
        <v>98</v>
      </c>
      <c r="B198" t="s">
        <v>98</v>
      </c>
    </row>
    <row r="199" spans="1:2" x14ac:dyDescent="0.25">
      <c r="A199" t="s">
        <v>98</v>
      </c>
      <c r="B199" t="s">
        <v>98</v>
      </c>
    </row>
    <row r="200" spans="1:2" x14ac:dyDescent="0.25">
      <c r="A200" t="s">
        <v>98</v>
      </c>
      <c r="B200" t="s">
        <v>98</v>
      </c>
    </row>
    <row r="201" spans="1:2" x14ac:dyDescent="0.25">
      <c r="A201" t="s">
        <v>98</v>
      </c>
      <c r="B201" t="s">
        <v>98</v>
      </c>
    </row>
    <row r="202" spans="1:2" x14ac:dyDescent="0.25">
      <c r="A202" t="s">
        <v>98</v>
      </c>
      <c r="B202" t="s">
        <v>98</v>
      </c>
    </row>
    <row r="203" spans="1:2" x14ac:dyDescent="0.25">
      <c r="A203" t="s">
        <v>98</v>
      </c>
      <c r="B203" t="s">
        <v>98</v>
      </c>
    </row>
    <row r="204" spans="1:2" x14ac:dyDescent="0.25">
      <c r="A204" t="s">
        <v>98</v>
      </c>
      <c r="B204" t="s">
        <v>98</v>
      </c>
    </row>
    <row r="205" spans="1:2" x14ac:dyDescent="0.25">
      <c r="A205" t="s">
        <v>98</v>
      </c>
      <c r="B205" t="s">
        <v>98</v>
      </c>
    </row>
    <row r="206" spans="1:2" x14ac:dyDescent="0.25">
      <c r="A206" t="s">
        <v>98</v>
      </c>
      <c r="B206" t="s">
        <v>98</v>
      </c>
    </row>
    <row r="207" spans="1:2" x14ac:dyDescent="0.25">
      <c r="A207" t="s">
        <v>98</v>
      </c>
      <c r="B207" t="s">
        <v>98</v>
      </c>
    </row>
    <row r="208" spans="1:2" x14ac:dyDescent="0.25">
      <c r="A208" t="s">
        <v>98</v>
      </c>
      <c r="B208" t="s">
        <v>98</v>
      </c>
    </row>
    <row r="209" spans="1:2" x14ac:dyDescent="0.25">
      <c r="A209" t="s">
        <v>98</v>
      </c>
      <c r="B209" t="s">
        <v>98</v>
      </c>
    </row>
    <row r="210" spans="1:2" x14ac:dyDescent="0.25">
      <c r="A210" t="s">
        <v>98</v>
      </c>
      <c r="B210" t="s">
        <v>98</v>
      </c>
    </row>
    <row r="211" spans="1:2" x14ac:dyDescent="0.25">
      <c r="A211" t="s">
        <v>98</v>
      </c>
      <c r="B211" t="s">
        <v>98</v>
      </c>
    </row>
    <row r="212" spans="1:2" x14ac:dyDescent="0.25">
      <c r="A212" t="s">
        <v>98</v>
      </c>
      <c r="B212" t="s">
        <v>98</v>
      </c>
    </row>
    <row r="213" spans="1:2" x14ac:dyDescent="0.25">
      <c r="A213" t="s">
        <v>98</v>
      </c>
      <c r="B213" t="s">
        <v>98</v>
      </c>
    </row>
    <row r="214" spans="1:2" x14ac:dyDescent="0.25">
      <c r="A214" t="s">
        <v>98</v>
      </c>
      <c r="B214" t="s">
        <v>98</v>
      </c>
    </row>
    <row r="215" spans="1:2" x14ac:dyDescent="0.25">
      <c r="A215" t="s">
        <v>98</v>
      </c>
      <c r="B215" t="s">
        <v>98</v>
      </c>
    </row>
    <row r="216" spans="1:2" x14ac:dyDescent="0.25">
      <c r="A216" t="s">
        <v>98</v>
      </c>
      <c r="B216" t="s">
        <v>98</v>
      </c>
    </row>
    <row r="217" spans="1:2" x14ac:dyDescent="0.25">
      <c r="A217" t="s">
        <v>98</v>
      </c>
      <c r="B217" t="s">
        <v>98</v>
      </c>
    </row>
    <row r="218" spans="1:2" x14ac:dyDescent="0.25">
      <c r="A218" t="s">
        <v>98</v>
      </c>
      <c r="B218" t="s">
        <v>98</v>
      </c>
    </row>
    <row r="219" spans="1:2" x14ac:dyDescent="0.25">
      <c r="A219" t="s">
        <v>98</v>
      </c>
      <c r="B219" t="s">
        <v>98</v>
      </c>
    </row>
    <row r="220" spans="1:2" x14ac:dyDescent="0.25">
      <c r="A220" t="s">
        <v>98</v>
      </c>
      <c r="B220" t="s">
        <v>98</v>
      </c>
    </row>
    <row r="221" spans="1:2" x14ac:dyDescent="0.25">
      <c r="A221" t="s">
        <v>98</v>
      </c>
      <c r="B221" t="s">
        <v>98</v>
      </c>
    </row>
    <row r="222" spans="1:2" x14ac:dyDescent="0.25">
      <c r="A222" t="s">
        <v>98</v>
      </c>
      <c r="B222" t="s">
        <v>98</v>
      </c>
    </row>
    <row r="223" spans="1:2" x14ac:dyDescent="0.25">
      <c r="A223" t="s">
        <v>98</v>
      </c>
      <c r="B223" t="s">
        <v>98</v>
      </c>
    </row>
    <row r="224" spans="1:2" x14ac:dyDescent="0.25">
      <c r="A224" t="s">
        <v>98</v>
      </c>
      <c r="B224" t="s">
        <v>98</v>
      </c>
    </row>
    <row r="225" spans="1:2" x14ac:dyDescent="0.25">
      <c r="A225" t="s">
        <v>98</v>
      </c>
      <c r="B225" t="s">
        <v>98</v>
      </c>
    </row>
    <row r="226" spans="1:2" x14ac:dyDescent="0.25">
      <c r="A226" t="s">
        <v>98</v>
      </c>
      <c r="B226" t="s">
        <v>98</v>
      </c>
    </row>
    <row r="227" spans="1:2" x14ac:dyDescent="0.25">
      <c r="A227" t="s">
        <v>98</v>
      </c>
      <c r="B227" t="s">
        <v>98</v>
      </c>
    </row>
    <row r="228" spans="1:2" x14ac:dyDescent="0.25">
      <c r="A228" t="s">
        <v>98</v>
      </c>
      <c r="B228" t="s">
        <v>98</v>
      </c>
    </row>
    <row r="229" spans="1:2" x14ac:dyDescent="0.25">
      <c r="A229" t="s">
        <v>98</v>
      </c>
      <c r="B229" t="s">
        <v>98</v>
      </c>
    </row>
    <row r="230" spans="1:2" x14ac:dyDescent="0.25">
      <c r="A230" t="s">
        <v>98</v>
      </c>
      <c r="B230" t="s">
        <v>98</v>
      </c>
    </row>
    <row r="231" spans="1:2" x14ac:dyDescent="0.25">
      <c r="A231" t="s">
        <v>98</v>
      </c>
      <c r="B231" t="s">
        <v>98</v>
      </c>
    </row>
    <row r="232" spans="1:2" x14ac:dyDescent="0.25">
      <c r="A232" t="s">
        <v>98</v>
      </c>
      <c r="B232" t="s">
        <v>98</v>
      </c>
    </row>
    <row r="233" spans="1:2" x14ac:dyDescent="0.25">
      <c r="A233" t="s">
        <v>98</v>
      </c>
      <c r="B233" t="s">
        <v>98</v>
      </c>
    </row>
    <row r="234" spans="1:2" x14ac:dyDescent="0.25">
      <c r="A234" t="s">
        <v>98</v>
      </c>
      <c r="B234" t="s">
        <v>98</v>
      </c>
    </row>
    <row r="235" spans="1:2" x14ac:dyDescent="0.25">
      <c r="A235" t="s">
        <v>98</v>
      </c>
      <c r="B235" t="s">
        <v>98</v>
      </c>
    </row>
    <row r="236" spans="1:2" x14ac:dyDescent="0.25">
      <c r="A236" t="s">
        <v>98</v>
      </c>
      <c r="B236" t="s">
        <v>98</v>
      </c>
    </row>
    <row r="237" spans="1:2" x14ac:dyDescent="0.25">
      <c r="A237" t="s">
        <v>98</v>
      </c>
      <c r="B237" t="s">
        <v>98</v>
      </c>
    </row>
    <row r="238" spans="1:2" x14ac:dyDescent="0.25">
      <c r="A238" t="s">
        <v>98</v>
      </c>
      <c r="B238" t="s">
        <v>98</v>
      </c>
    </row>
    <row r="239" spans="1:2" x14ac:dyDescent="0.25">
      <c r="A239" t="s">
        <v>98</v>
      </c>
      <c r="B239" t="s">
        <v>98</v>
      </c>
    </row>
    <row r="240" spans="1:2" x14ac:dyDescent="0.25">
      <c r="A240" t="s">
        <v>98</v>
      </c>
      <c r="B240" t="s">
        <v>98</v>
      </c>
    </row>
    <row r="241" spans="1:2" x14ac:dyDescent="0.25">
      <c r="A241" t="s">
        <v>98</v>
      </c>
      <c r="B241" t="s">
        <v>98</v>
      </c>
    </row>
    <row r="242" spans="1:2" x14ac:dyDescent="0.25">
      <c r="A242" t="s">
        <v>98</v>
      </c>
      <c r="B242" t="s">
        <v>98</v>
      </c>
    </row>
    <row r="243" spans="1:2" x14ac:dyDescent="0.25">
      <c r="A243" t="s">
        <v>98</v>
      </c>
      <c r="B243" t="s">
        <v>98</v>
      </c>
    </row>
    <row r="244" spans="1:2" x14ac:dyDescent="0.25">
      <c r="A244" t="s">
        <v>98</v>
      </c>
      <c r="B244" t="s">
        <v>98</v>
      </c>
    </row>
    <row r="245" spans="1:2" x14ac:dyDescent="0.25">
      <c r="A245" t="s">
        <v>98</v>
      </c>
      <c r="B245" t="s">
        <v>98</v>
      </c>
    </row>
    <row r="246" spans="1:2" x14ac:dyDescent="0.25">
      <c r="A246" t="s">
        <v>98</v>
      </c>
      <c r="B246" t="s">
        <v>98</v>
      </c>
    </row>
    <row r="247" spans="1:2" x14ac:dyDescent="0.25">
      <c r="A247" t="s">
        <v>98</v>
      </c>
      <c r="B247" t="s">
        <v>98</v>
      </c>
    </row>
    <row r="248" spans="1:2" x14ac:dyDescent="0.25">
      <c r="A248" t="s">
        <v>98</v>
      </c>
      <c r="B248" t="s">
        <v>98</v>
      </c>
    </row>
    <row r="249" spans="1:2" x14ac:dyDescent="0.25">
      <c r="A249" t="s">
        <v>98</v>
      </c>
      <c r="B249" t="s">
        <v>98</v>
      </c>
    </row>
    <row r="250" spans="1:2" x14ac:dyDescent="0.25">
      <c r="A250" t="s">
        <v>98</v>
      </c>
      <c r="B250" t="s">
        <v>98</v>
      </c>
    </row>
    <row r="251" spans="1:2" x14ac:dyDescent="0.25">
      <c r="A251" t="s">
        <v>98</v>
      </c>
      <c r="B251" t="s">
        <v>98</v>
      </c>
    </row>
    <row r="252" spans="1:2" x14ac:dyDescent="0.25">
      <c r="A252" t="s">
        <v>98</v>
      </c>
      <c r="B252" t="s">
        <v>98</v>
      </c>
    </row>
    <row r="253" spans="1:2" x14ac:dyDescent="0.25">
      <c r="A253" t="s">
        <v>98</v>
      </c>
      <c r="B253" t="s">
        <v>98</v>
      </c>
    </row>
    <row r="254" spans="1:2" x14ac:dyDescent="0.25">
      <c r="A254" t="s">
        <v>98</v>
      </c>
      <c r="B254" t="s">
        <v>98</v>
      </c>
    </row>
    <row r="255" spans="1:2" x14ac:dyDescent="0.25">
      <c r="A255" t="s">
        <v>98</v>
      </c>
      <c r="B255" t="s">
        <v>98</v>
      </c>
    </row>
    <row r="256" spans="1:2" x14ac:dyDescent="0.25">
      <c r="A256" t="s">
        <v>98</v>
      </c>
      <c r="B256" t="s">
        <v>98</v>
      </c>
    </row>
    <row r="257" spans="1:2" x14ac:dyDescent="0.25">
      <c r="A257" t="s">
        <v>98</v>
      </c>
      <c r="B257" t="s">
        <v>98</v>
      </c>
    </row>
    <row r="258" spans="1:2" x14ac:dyDescent="0.25">
      <c r="A258" t="s">
        <v>98</v>
      </c>
      <c r="B258" t="s">
        <v>98</v>
      </c>
    </row>
    <row r="259" spans="1:2" x14ac:dyDescent="0.25">
      <c r="A259" t="s">
        <v>98</v>
      </c>
      <c r="B259" t="s">
        <v>98</v>
      </c>
    </row>
    <row r="260" spans="1:2" x14ac:dyDescent="0.25">
      <c r="A260" t="s">
        <v>98</v>
      </c>
      <c r="B260" t="s">
        <v>98</v>
      </c>
    </row>
    <row r="261" spans="1:2" x14ac:dyDescent="0.25">
      <c r="A261" t="s">
        <v>98</v>
      </c>
      <c r="B261" t="s">
        <v>98</v>
      </c>
    </row>
    <row r="262" spans="1:2" x14ac:dyDescent="0.25">
      <c r="A262" t="s">
        <v>98</v>
      </c>
      <c r="B262" t="s">
        <v>98</v>
      </c>
    </row>
    <row r="263" spans="1:2" x14ac:dyDescent="0.25">
      <c r="A263" t="s">
        <v>98</v>
      </c>
      <c r="B263" t="s">
        <v>98</v>
      </c>
    </row>
    <row r="264" spans="1:2" x14ac:dyDescent="0.25">
      <c r="A264" t="s">
        <v>98</v>
      </c>
      <c r="B264" t="s">
        <v>98</v>
      </c>
    </row>
    <row r="265" spans="1:2" x14ac:dyDescent="0.25">
      <c r="A265" t="s">
        <v>98</v>
      </c>
      <c r="B265" t="s">
        <v>98</v>
      </c>
    </row>
    <row r="266" spans="1:2" x14ac:dyDescent="0.25">
      <c r="A266" t="s">
        <v>98</v>
      </c>
      <c r="B266" t="s">
        <v>98</v>
      </c>
    </row>
    <row r="267" spans="1:2" x14ac:dyDescent="0.25">
      <c r="A267" t="s">
        <v>98</v>
      </c>
      <c r="B267" t="s">
        <v>98</v>
      </c>
    </row>
    <row r="268" spans="1:2" x14ac:dyDescent="0.25">
      <c r="A268" t="s">
        <v>98</v>
      </c>
      <c r="B268" t="s">
        <v>98</v>
      </c>
    </row>
    <row r="269" spans="1:2" x14ac:dyDescent="0.25">
      <c r="A269" t="s">
        <v>98</v>
      </c>
      <c r="B269" t="s">
        <v>98</v>
      </c>
    </row>
    <row r="270" spans="1:2" x14ac:dyDescent="0.25">
      <c r="A270" t="s">
        <v>98</v>
      </c>
      <c r="B270" t="s">
        <v>98</v>
      </c>
    </row>
    <row r="271" spans="1:2" x14ac:dyDescent="0.25">
      <c r="A271" t="s">
        <v>98</v>
      </c>
      <c r="B271" t="s">
        <v>98</v>
      </c>
    </row>
    <row r="272" spans="1:2" x14ac:dyDescent="0.25">
      <c r="A272" t="s">
        <v>98</v>
      </c>
      <c r="B272" t="s">
        <v>98</v>
      </c>
    </row>
    <row r="273" spans="1:2" x14ac:dyDescent="0.25">
      <c r="A273" t="s">
        <v>98</v>
      </c>
      <c r="B273" t="s">
        <v>98</v>
      </c>
    </row>
    <row r="274" spans="1:2" x14ac:dyDescent="0.25">
      <c r="A274" t="s">
        <v>98</v>
      </c>
      <c r="B274" t="s">
        <v>98</v>
      </c>
    </row>
    <row r="275" spans="1:2" x14ac:dyDescent="0.25">
      <c r="A275" t="s">
        <v>98</v>
      </c>
      <c r="B275" t="s">
        <v>98</v>
      </c>
    </row>
    <row r="276" spans="1:2" x14ac:dyDescent="0.25">
      <c r="A276" t="s">
        <v>98</v>
      </c>
      <c r="B276" t="s">
        <v>98</v>
      </c>
    </row>
    <row r="277" spans="1:2" x14ac:dyDescent="0.25">
      <c r="A277" t="s">
        <v>98</v>
      </c>
      <c r="B277" t="s">
        <v>98</v>
      </c>
    </row>
    <row r="278" spans="1:2" x14ac:dyDescent="0.25">
      <c r="A278" t="s">
        <v>98</v>
      </c>
      <c r="B278" t="s">
        <v>98</v>
      </c>
    </row>
    <row r="279" spans="1:2" x14ac:dyDescent="0.25">
      <c r="A279" t="s">
        <v>98</v>
      </c>
      <c r="B279" t="s">
        <v>98</v>
      </c>
    </row>
    <row r="280" spans="1:2" x14ac:dyDescent="0.25">
      <c r="A280" t="s">
        <v>98</v>
      </c>
      <c r="B280" t="s">
        <v>98</v>
      </c>
    </row>
    <row r="281" spans="1:2" x14ac:dyDescent="0.25">
      <c r="A281" t="s">
        <v>98</v>
      </c>
      <c r="B281" t="s">
        <v>98</v>
      </c>
    </row>
    <row r="282" spans="1:2" x14ac:dyDescent="0.25">
      <c r="A282" t="s">
        <v>98</v>
      </c>
      <c r="B282" t="s">
        <v>98</v>
      </c>
    </row>
    <row r="283" spans="1:2" x14ac:dyDescent="0.25">
      <c r="A283" t="s">
        <v>98</v>
      </c>
      <c r="B283" t="s">
        <v>98</v>
      </c>
    </row>
    <row r="284" spans="1:2" x14ac:dyDescent="0.25">
      <c r="A284" t="s">
        <v>98</v>
      </c>
      <c r="B284" t="s">
        <v>98</v>
      </c>
    </row>
    <row r="285" spans="1:2" x14ac:dyDescent="0.25">
      <c r="A285" t="s">
        <v>98</v>
      </c>
      <c r="B285" t="s">
        <v>98</v>
      </c>
    </row>
    <row r="286" spans="1:2" x14ac:dyDescent="0.25">
      <c r="A286" t="s">
        <v>98</v>
      </c>
      <c r="B286" t="s">
        <v>98</v>
      </c>
    </row>
    <row r="287" spans="1:2" x14ac:dyDescent="0.25">
      <c r="A287" t="s">
        <v>98</v>
      </c>
      <c r="B287" t="s">
        <v>98</v>
      </c>
    </row>
    <row r="288" spans="1:2" x14ac:dyDescent="0.25">
      <c r="A288" t="s">
        <v>98</v>
      </c>
      <c r="B288" t="s">
        <v>98</v>
      </c>
    </row>
    <row r="289" spans="1:2" x14ac:dyDescent="0.25">
      <c r="A289" t="s">
        <v>98</v>
      </c>
      <c r="B289" t="s">
        <v>98</v>
      </c>
    </row>
    <row r="290" spans="1:2" x14ac:dyDescent="0.25">
      <c r="A290" t="s">
        <v>98</v>
      </c>
      <c r="B290" t="s">
        <v>98</v>
      </c>
    </row>
    <row r="291" spans="1:2" x14ac:dyDescent="0.25">
      <c r="A291" t="s">
        <v>98</v>
      </c>
      <c r="B291" t="s">
        <v>98</v>
      </c>
    </row>
    <row r="292" spans="1:2" x14ac:dyDescent="0.25">
      <c r="A292" t="s">
        <v>98</v>
      </c>
      <c r="B292" t="s">
        <v>98</v>
      </c>
    </row>
    <row r="293" spans="1:2" x14ac:dyDescent="0.25">
      <c r="A293" t="s">
        <v>98</v>
      </c>
      <c r="B293" t="s">
        <v>98</v>
      </c>
    </row>
    <row r="294" spans="1:2" x14ac:dyDescent="0.25">
      <c r="A294" t="s">
        <v>98</v>
      </c>
      <c r="B294" t="s">
        <v>98</v>
      </c>
    </row>
    <row r="295" spans="1:2" x14ac:dyDescent="0.25">
      <c r="A295" t="s">
        <v>98</v>
      </c>
      <c r="B295" t="s">
        <v>98</v>
      </c>
    </row>
    <row r="296" spans="1:2" x14ac:dyDescent="0.25">
      <c r="A296" t="s">
        <v>98</v>
      </c>
      <c r="B296" t="s">
        <v>98</v>
      </c>
    </row>
    <row r="297" spans="1:2" x14ac:dyDescent="0.25">
      <c r="A297" t="s">
        <v>98</v>
      </c>
      <c r="B297" t="s">
        <v>98</v>
      </c>
    </row>
    <row r="298" spans="1:2" x14ac:dyDescent="0.25">
      <c r="A298" t="s">
        <v>98</v>
      </c>
      <c r="B298" t="s">
        <v>98</v>
      </c>
    </row>
    <row r="299" spans="1:2" x14ac:dyDescent="0.25">
      <c r="A299" t="s">
        <v>98</v>
      </c>
      <c r="B299" t="s">
        <v>98</v>
      </c>
    </row>
    <row r="300" spans="1:2" x14ac:dyDescent="0.25">
      <c r="A300" t="s">
        <v>98</v>
      </c>
      <c r="B300" t="s">
        <v>98</v>
      </c>
    </row>
    <row r="301" spans="1:2" x14ac:dyDescent="0.25">
      <c r="A301" t="s">
        <v>98</v>
      </c>
      <c r="B301" t="s">
        <v>98</v>
      </c>
    </row>
    <row r="302" spans="1:2" x14ac:dyDescent="0.25">
      <c r="A302" t="s">
        <v>98</v>
      </c>
      <c r="B302" t="s">
        <v>98</v>
      </c>
    </row>
    <row r="303" spans="1:2" x14ac:dyDescent="0.25">
      <c r="A303" t="s">
        <v>98</v>
      </c>
      <c r="B303" t="s">
        <v>98</v>
      </c>
    </row>
    <row r="304" spans="1:2" x14ac:dyDescent="0.25">
      <c r="A304" t="s">
        <v>98</v>
      </c>
      <c r="B304" t="s">
        <v>98</v>
      </c>
    </row>
    <row r="305" spans="1:2" x14ac:dyDescent="0.25">
      <c r="A305" t="s">
        <v>98</v>
      </c>
      <c r="B305" t="s">
        <v>98</v>
      </c>
    </row>
    <row r="306" spans="1:2" x14ac:dyDescent="0.25">
      <c r="A306" t="s">
        <v>98</v>
      </c>
      <c r="B306" t="s">
        <v>98</v>
      </c>
    </row>
    <row r="307" spans="1:2" x14ac:dyDescent="0.25">
      <c r="A307" t="s">
        <v>98</v>
      </c>
      <c r="B307" t="s">
        <v>98</v>
      </c>
    </row>
    <row r="308" spans="1:2" x14ac:dyDescent="0.25">
      <c r="A308" t="s">
        <v>98</v>
      </c>
      <c r="B308" t="s">
        <v>98</v>
      </c>
    </row>
    <row r="309" spans="1:2" x14ac:dyDescent="0.25">
      <c r="A309" t="s">
        <v>98</v>
      </c>
      <c r="B309" t="s">
        <v>98</v>
      </c>
    </row>
    <row r="310" spans="1:2" x14ac:dyDescent="0.25">
      <c r="A310" t="s">
        <v>98</v>
      </c>
      <c r="B310" t="s">
        <v>98</v>
      </c>
    </row>
    <row r="311" spans="1:2" x14ac:dyDescent="0.25">
      <c r="A311" t="s">
        <v>98</v>
      </c>
      <c r="B311" t="s">
        <v>98</v>
      </c>
    </row>
    <row r="312" spans="1:2" x14ac:dyDescent="0.25">
      <c r="A312" t="s">
        <v>98</v>
      </c>
      <c r="B312" t="s">
        <v>98</v>
      </c>
    </row>
    <row r="313" spans="1:2" x14ac:dyDescent="0.25">
      <c r="A313" t="s">
        <v>98</v>
      </c>
      <c r="B313" t="s">
        <v>98</v>
      </c>
    </row>
    <row r="314" spans="1:2" x14ac:dyDescent="0.25">
      <c r="A314" t="s">
        <v>98</v>
      </c>
      <c r="B314" t="s">
        <v>98</v>
      </c>
    </row>
    <row r="315" spans="1:2" x14ac:dyDescent="0.25">
      <c r="A315" t="s">
        <v>98</v>
      </c>
      <c r="B315" t="s">
        <v>98</v>
      </c>
    </row>
    <row r="316" spans="1:2" x14ac:dyDescent="0.25">
      <c r="A316" t="s">
        <v>98</v>
      </c>
      <c r="B316" t="s">
        <v>98</v>
      </c>
    </row>
    <row r="317" spans="1:2" x14ac:dyDescent="0.25">
      <c r="A317" t="s">
        <v>98</v>
      </c>
      <c r="B317" t="s">
        <v>98</v>
      </c>
    </row>
    <row r="318" spans="1:2" x14ac:dyDescent="0.25">
      <c r="A318" t="s">
        <v>98</v>
      </c>
      <c r="B318" t="s">
        <v>98</v>
      </c>
    </row>
    <row r="319" spans="1:2" x14ac:dyDescent="0.25">
      <c r="A319" t="s">
        <v>98</v>
      </c>
      <c r="B319" t="s">
        <v>98</v>
      </c>
    </row>
    <row r="320" spans="1:2" x14ac:dyDescent="0.25">
      <c r="A320" t="s">
        <v>98</v>
      </c>
      <c r="B320" t="s">
        <v>98</v>
      </c>
    </row>
    <row r="321" spans="1:2" x14ac:dyDescent="0.25">
      <c r="A321" t="s">
        <v>98</v>
      </c>
      <c r="B321" t="s">
        <v>98</v>
      </c>
    </row>
    <row r="322" spans="1:2" x14ac:dyDescent="0.25">
      <c r="A322" t="s">
        <v>98</v>
      </c>
      <c r="B322" t="s">
        <v>98</v>
      </c>
    </row>
    <row r="323" spans="1:2" x14ac:dyDescent="0.25">
      <c r="A323" t="s">
        <v>98</v>
      </c>
      <c r="B323" t="s">
        <v>98</v>
      </c>
    </row>
    <row r="324" spans="1:2" x14ac:dyDescent="0.25">
      <c r="A324" t="s">
        <v>98</v>
      </c>
      <c r="B324" t="s">
        <v>98</v>
      </c>
    </row>
    <row r="325" spans="1:2" x14ac:dyDescent="0.25">
      <c r="A325" t="s">
        <v>98</v>
      </c>
      <c r="B325" t="s">
        <v>98</v>
      </c>
    </row>
    <row r="326" spans="1:2" x14ac:dyDescent="0.25">
      <c r="A326" t="s">
        <v>98</v>
      </c>
      <c r="B326" t="s">
        <v>98</v>
      </c>
    </row>
    <row r="327" spans="1:2" x14ac:dyDescent="0.25">
      <c r="A327" t="s">
        <v>98</v>
      </c>
      <c r="B327" t="s">
        <v>98</v>
      </c>
    </row>
    <row r="328" spans="1:2" x14ac:dyDescent="0.25">
      <c r="A328" t="s">
        <v>98</v>
      </c>
      <c r="B328" t="s">
        <v>98</v>
      </c>
    </row>
    <row r="329" spans="1:2" x14ac:dyDescent="0.25">
      <c r="A329" t="s">
        <v>98</v>
      </c>
      <c r="B329" t="s">
        <v>98</v>
      </c>
    </row>
    <row r="330" spans="1:2" x14ac:dyDescent="0.25">
      <c r="A330" t="s">
        <v>98</v>
      </c>
      <c r="B330" t="s">
        <v>98</v>
      </c>
    </row>
    <row r="331" spans="1:2" x14ac:dyDescent="0.25">
      <c r="A331" t="s">
        <v>98</v>
      </c>
      <c r="B331" t="s">
        <v>98</v>
      </c>
    </row>
    <row r="332" spans="1:2" x14ac:dyDescent="0.25">
      <c r="A332" t="s">
        <v>98</v>
      </c>
      <c r="B332" t="s">
        <v>98</v>
      </c>
    </row>
    <row r="333" spans="1:2" x14ac:dyDescent="0.25">
      <c r="A333" t="s">
        <v>98</v>
      </c>
      <c r="B333" t="s">
        <v>98</v>
      </c>
    </row>
    <row r="334" spans="1:2" x14ac:dyDescent="0.25">
      <c r="A334" t="s">
        <v>98</v>
      </c>
      <c r="B334" t="s">
        <v>98</v>
      </c>
    </row>
    <row r="335" spans="1:2" x14ac:dyDescent="0.25">
      <c r="A335" t="s">
        <v>98</v>
      </c>
      <c r="B335" t="s">
        <v>98</v>
      </c>
    </row>
    <row r="336" spans="1:2" x14ac:dyDescent="0.25">
      <c r="A336" t="s">
        <v>98</v>
      </c>
      <c r="B336" t="s">
        <v>98</v>
      </c>
    </row>
    <row r="337" spans="1:2" x14ac:dyDescent="0.25">
      <c r="A337" t="s">
        <v>98</v>
      </c>
      <c r="B337" t="s">
        <v>98</v>
      </c>
    </row>
    <row r="338" spans="1:2" x14ac:dyDescent="0.25">
      <c r="A338" t="s">
        <v>98</v>
      </c>
      <c r="B338" t="s">
        <v>98</v>
      </c>
    </row>
    <row r="339" spans="1:2" x14ac:dyDescent="0.25">
      <c r="A339" t="s">
        <v>98</v>
      </c>
      <c r="B339" t="s">
        <v>98</v>
      </c>
    </row>
    <row r="340" spans="1:2" x14ac:dyDescent="0.25">
      <c r="A340" t="s">
        <v>98</v>
      </c>
      <c r="B340" t="s">
        <v>98</v>
      </c>
    </row>
    <row r="341" spans="1:2" x14ac:dyDescent="0.25">
      <c r="A341" t="s">
        <v>98</v>
      </c>
      <c r="B341" t="s">
        <v>98</v>
      </c>
    </row>
    <row r="342" spans="1:2" x14ac:dyDescent="0.25">
      <c r="A342" t="s">
        <v>98</v>
      </c>
      <c r="B342" t="s">
        <v>98</v>
      </c>
    </row>
    <row r="343" spans="1:2" x14ac:dyDescent="0.25">
      <c r="A343" t="s">
        <v>98</v>
      </c>
      <c r="B343" t="s">
        <v>98</v>
      </c>
    </row>
    <row r="344" spans="1:2" x14ac:dyDescent="0.25">
      <c r="A344" t="s">
        <v>98</v>
      </c>
      <c r="B344" t="s">
        <v>98</v>
      </c>
    </row>
    <row r="345" spans="1:2" x14ac:dyDescent="0.25">
      <c r="A345" t="s">
        <v>98</v>
      </c>
      <c r="B345" t="s">
        <v>98</v>
      </c>
    </row>
    <row r="346" spans="1:2" x14ac:dyDescent="0.25">
      <c r="A346" t="s">
        <v>98</v>
      </c>
      <c r="B346" t="s">
        <v>98</v>
      </c>
    </row>
    <row r="347" spans="1:2" x14ac:dyDescent="0.25">
      <c r="A347" t="s">
        <v>98</v>
      </c>
      <c r="B347" t="s">
        <v>98</v>
      </c>
    </row>
    <row r="348" spans="1:2" x14ac:dyDescent="0.25">
      <c r="A348" t="s">
        <v>98</v>
      </c>
      <c r="B348" t="s">
        <v>98</v>
      </c>
    </row>
    <row r="349" spans="1:2" x14ac:dyDescent="0.25">
      <c r="A349" t="s">
        <v>98</v>
      </c>
      <c r="B349" t="s">
        <v>98</v>
      </c>
    </row>
    <row r="350" spans="1:2" x14ac:dyDescent="0.25">
      <c r="A350" t="s">
        <v>98</v>
      </c>
      <c r="B350" t="s">
        <v>98</v>
      </c>
    </row>
    <row r="351" spans="1:2" x14ac:dyDescent="0.25">
      <c r="A351" t="s">
        <v>98</v>
      </c>
      <c r="B351" t="s">
        <v>98</v>
      </c>
    </row>
    <row r="352" spans="1:2" x14ac:dyDescent="0.25">
      <c r="A352" t="s">
        <v>98</v>
      </c>
      <c r="B352" t="s">
        <v>98</v>
      </c>
    </row>
    <row r="353" spans="1:2" x14ac:dyDescent="0.25">
      <c r="A353" t="s">
        <v>98</v>
      </c>
      <c r="B353" t="s">
        <v>98</v>
      </c>
    </row>
    <row r="354" spans="1:2" x14ac:dyDescent="0.25">
      <c r="A354" t="s">
        <v>98</v>
      </c>
      <c r="B354" t="s">
        <v>98</v>
      </c>
    </row>
    <row r="355" spans="1:2" x14ac:dyDescent="0.25">
      <c r="A355" t="s">
        <v>98</v>
      </c>
      <c r="B355" t="s">
        <v>98</v>
      </c>
    </row>
    <row r="356" spans="1:2" x14ac:dyDescent="0.25">
      <c r="A356" t="s">
        <v>98</v>
      </c>
      <c r="B356" t="s">
        <v>98</v>
      </c>
    </row>
    <row r="357" spans="1:2" x14ac:dyDescent="0.25">
      <c r="A357" t="s">
        <v>98</v>
      </c>
      <c r="B357" t="s">
        <v>98</v>
      </c>
    </row>
    <row r="358" spans="1:2" x14ac:dyDescent="0.25">
      <c r="A358" t="s">
        <v>98</v>
      </c>
      <c r="B358" t="s">
        <v>98</v>
      </c>
    </row>
    <row r="359" spans="1:2" x14ac:dyDescent="0.25">
      <c r="A359" t="s">
        <v>98</v>
      </c>
      <c r="B359" t="s">
        <v>98</v>
      </c>
    </row>
    <row r="360" spans="1:2" x14ac:dyDescent="0.25">
      <c r="A360" t="s">
        <v>98</v>
      </c>
      <c r="B360" t="s">
        <v>98</v>
      </c>
    </row>
    <row r="361" spans="1:2" x14ac:dyDescent="0.25">
      <c r="A361" t="s">
        <v>98</v>
      </c>
      <c r="B361" t="s">
        <v>98</v>
      </c>
    </row>
    <row r="362" spans="1:2" x14ac:dyDescent="0.25">
      <c r="A362" t="s">
        <v>98</v>
      </c>
      <c r="B362" t="s">
        <v>98</v>
      </c>
    </row>
    <row r="363" spans="1:2" x14ac:dyDescent="0.25">
      <c r="A363" t="s">
        <v>98</v>
      </c>
      <c r="B363" t="s">
        <v>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L10" sqref="L10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8" t="s">
        <v>99</v>
      </c>
      <c r="B1" s="128"/>
      <c r="C1" s="128"/>
      <c r="D1" s="128"/>
      <c r="E1" s="128"/>
      <c r="F1" s="128"/>
      <c r="G1" s="66"/>
      <c r="H1" s="66"/>
      <c r="I1" s="66"/>
      <c r="J1" s="66"/>
      <c r="K1" s="129" t="s">
        <v>100</v>
      </c>
      <c r="L1" s="129"/>
      <c r="M1" s="66"/>
    </row>
    <row r="2" spans="1:13" ht="15" customHeight="1" x14ac:dyDescent="0.25">
      <c r="A2" s="128"/>
      <c r="B2" s="128"/>
      <c r="C2" s="128"/>
      <c r="D2" s="128"/>
      <c r="E2" s="128"/>
      <c r="F2" s="128"/>
      <c r="G2" s="64"/>
      <c r="H2" s="64"/>
      <c r="I2" s="64"/>
      <c r="J2" s="64"/>
      <c r="K2" s="129"/>
      <c r="L2" s="129"/>
      <c r="M2" s="64"/>
    </row>
    <row r="3" spans="1:13" ht="15.95" customHeight="1" x14ac:dyDescent="0.25">
      <c r="A3" s="65" t="s">
        <v>101</v>
      </c>
      <c r="B3" s="65" t="s">
        <v>102</v>
      </c>
      <c r="C3" s="65" t="s">
        <v>103</v>
      </c>
      <c r="D3" s="65" t="s">
        <v>104</v>
      </c>
      <c r="E3" s="65" t="s">
        <v>105</v>
      </c>
      <c r="F3" s="65" t="s">
        <v>106</v>
      </c>
      <c r="G3" s="64"/>
      <c r="H3" s="64"/>
      <c r="I3" s="64"/>
      <c r="J3" s="64"/>
      <c r="K3" s="87" t="s">
        <v>107</v>
      </c>
      <c r="L3" s="87" t="s">
        <v>108</v>
      </c>
      <c r="M3" s="64"/>
    </row>
    <row r="4" spans="1:13" ht="15.95" customHeight="1" x14ac:dyDescent="0.25">
      <c r="A4" s="56" t="s">
        <v>109</v>
      </c>
      <c r="B4" s="56" t="s">
        <v>110</v>
      </c>
      <c r="C4" s="86" t="s">
        <v>111</v>
      </c>
      <c r="D4" s="86"/>
      <c r="E4" s="86"/>
      <c r="F4" s="88"/>
      <c r="G4" s="64"/>
      <c r="H4" s="64" t="s">
        <v>112</v>
      </c>
      <c r="I4" s="64"/>
      <c r="J4" s="64"/>
      <c r="K4" t="s">
        <v>128</v>
      </c>
      <c r="L4" t="s">
        <v>23</v>
      </c>
      <c r="M4" s="64"/>
    </row>
    <row r="5" spans="1:13" ht="15.95" customHeight="1" x14ac:dyDescent="0.25">
      <c r="A5" t="s">
        <v>109</v>
      </c>
      <c r="B5" t="s">
        <v>114</v>
      </c>
      <c r="C5" s="65" t="s">
        <v>115</v>
      </c>
      <c r="D5" s="65"/>
      <c r="E5" s="65"/>
      <c r="F5" s="87"/>
      <c r="G5" s="64"/>
      <c r="H5" s="64"/>
      <c r="I5" s="64"/>
      <c r="J5" s="64"/>
      <c r="K5" t="s">
        <v>128</v>
      </c>
      <c r="L5" t="s">
        <v>235</v>
      </c>
      <c r="M5" s="64"/>
    </row>
    <row r="6" spans="1:13" ht="15.95" customHeight="1" x14ac:dyDescent="0.25">
      <c r="A6" t="s">
        <v>109</v>
      </c>
      <c r="B6" t="s">
        <v>116</v>
      </c>
      <c r="C6" s="65" t="s">
        <v>117</v>
      </c>
      <c r="D6" s="65"/>
      <c r="E6" s="65"/>
      <c r="F6" s="87"/>
      <c r="G6" s="64"/>
      <c r="H6" s="64"/>
      <c r="I6" s="64"/>
      <c r="J6" s="64"/>
      <c r="K6" t="s">
        <v>118</v>
      </c>
      <c r="L6" t="s">
        <v>23</v>
      </c>
      <c r="M6" s="64"/>
    </row>
    <row r="7" spans="1:13" ht="15.95" customHeight="1" x14ac:dyDescent="0.25">
      <c r="A7" t="s">
        <v>109</v>
      </c>
      <c r="B7" t="s">
        <v>119</v>
      </c>
      <c r="C7" s="65" t="s">
        <v>120</v>
      </c>
      <c r="D7" s="65"/>
      <c r="E7" s="65"/>
      <c r="F7" s="87"/>
      <c r="G7" s="64"/>
      <c r="H7" s="64"/>
      <c r="I7" s="64"/>
      <c r="J7" s="64"/>
      <c r="K7" t="s">
        <v>118</v>
      </c>
      <c r="L7" t="s">
        <v>235</v>
      </c>
      <c r="M7" s="64"/>
    </row>
    <row r="8" spans="1:13" ht="15.95" customHeight="1" x14ac:dyDescent="0.25">
      <c r="A8" t="s">
        <v>109</v>
      </c>
      <c r="B8" t="s">
        <v>121</v>
      </c>
      <c r="C8" s="65" t="s">
        <v>122</v>
      </c>
      <c r="D8" s="65"/>
      <c r="E8" s="65"/>
      <c r="F8" s="87"/>
      <c r="G8" s="64"/>
      <c r="H8" s="64"/>
      <c r="I8" s="64"/>
      <c r="J8" s="64"/>
      <c r="K8" t="s">
        <v>113</v>
      </c>
      <c r="L8" t="s">
        <v>268</v>
      </c>
      <c r="M8" s="64"/>
    </row>
    <row r="9" spans="1:13" ht="15.95" customHeight="1" x14ac:dyDescent="0.25">
      <c r="A9" t="s">
        <v>109</v>
      </c>
      <c r="B9" t="s">
        <v>123</v>
      </c>
      <c r="C9" s="65" t="s">
        <v>124</v>
      </c>
      <c r="D9" s="65"/>
      <c r="E9" s="65"/>
      <c r="F9" s="87"/>
      <c r="G9" s="64"/>
      <c r="H9" s="64"/>
      <c r="I9" s="64"/>
      <c r="J9" s="64"/>
      <c r="K9" t="s">
        <v>113</v>
      </c>
      <c r="L9" t="s">
        <v>269</v>
      </c>
      <c r="M9" s="64"/>
    </row>
    <row r="10" spans="1:13" ht="15.95" customHeight="1" x14ac:dyDescent="0.25">
      <c r="A10" t="s">
        <v>109</v>
      </c>
      <c r="B10" t="s">
        <v>125</v>
      </c>
      <c r="C10" s="65" t="s">
        <v>126</v>
      </c>
      <c r="D10" s="65"/>
      <c r="E10" s="65"/>
      <c r="F10" s="87"/>
      <c r="G10" s="64"/>
      <c r="H10" s="64" t="s">
        <v>127</v>
      </c>
      <c r="I10" s="64"/>
      <c r="J10" s="64"/>
      <c r="K10" t="s">
        <v>113</v>
      </c>
      <c r="L10" t="s">
        <v>242</v>
      </c>
      <c r="M10" s="64"/>
    </row>
    <row r="11" spans="1:13" ht="15.95" customHeight="1" x14ac:dyDescent="0.25">
      <c r="A11" t="s">
        <v>109</v>
      </c>
      <c r="B11" t="s">
        <v>129</v>
      </c>
      <c r="C11" s="65" t="s">
        <v>130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109</v>
      </c>
      <c r="B12" t="s">
        <v>131</v>
      </c>
      <c r="C12" s="65" t="s">
        <v>132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109</v>
      </c>
      <c r="B13" t="s">
        <v>133</v>
      </c>
      <c r="C13" s="65" t="s">
        <v>134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109</v>
      </c>
      <c r="B14" t="s">
        <v>135</v>
      </c>
      <c r="C14" s="65" t="s">
        <v>136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109</v>
      </c>
      <c r="B15" t="s">
        <v>137</v>
      </c>
      <c r="C15" s="65" t="s">
        <v>138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109</v>
      </c>
      <c r="B16" t="s">
        <v>139</v>
      </c>
      <c r="C16" s="65" t="s">
        <v>140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109</v>
      </c>
      <c r="B17" t="s">
        <v>141</v>
      </c>
      <c r="C17" s="65" t="s">
        <v>142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143</v>
      </c>
      <c r="B18" s="56" t="s">
        <v>144</v>
      </c>
      <c r="C18" s="86" t="s">
        <v>111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143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111</v>
      </c>
      <c r="D19" s="65" t="s">
        <v>115</v>
      </c>
      <c r="E19" s="65"/>
      <c r="F19" s="87" t="s">
        <v>145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143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115</v>
      </c>
      <c r="D20" s="65" t="s">
        <v>117</v>
      </c>
      <c r="E20" s="65"/>
      <c r="F20" s="87" t="s">
        <v>145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143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117</v>
      </c>
      <c r="D21" s="65" t="s">
        <v>120</v>
      </c>
      <c r="E21" s="65"/>
      <c r="F21" s="87" t="s">
        <v>145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143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122</v>
      </c>
      <c r="D22" s="65" t="s">
        <v>124</v>
      </c>
      <c r="E22" s="65"/>
      <c r="F22" s="87" t="s">
        <v>145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143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124</v>
      </c>
      <c r="D23" s="65" t="s">
        <v>126</v>
      </c>
      <c r="E23" s="87"/>
      <c r="F23" s="87" t="s">
        <v>145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143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111</v>
      </c>
      <c r="D24" s="65" t="s">
        <v>115</v>
      </c>
      <c r="E24" s="87"/>
      <c r="F24" s="87" t="s">
        <v>146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143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115</v>
      </c>
      <c r="D25" s="65" t="s">
        <v>117</v>
      </c>
      <c r="E25" s="87"/>
      <c r="F25" s="87" t="s">
        <v>146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143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117</v>
      </c>
      <c r="D26" s="65" t="s">
        <v>120</v>
      </c>
      <c r="E26" s="87"/>
      <c r="F26" s="87" t="s">
        <v>146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143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122</v>
      </c>
      <c r="D27" s="65" t="s">
        <v>124</v>
      </c>
      <c r="E27" s="87"/>
      <c r="F27" s="87" t="s">
        <v>146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143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191</v>
      </c>
      <c r="D28" s="65"/>
      <c r="E28" s="87"/>
      <c r="F28" s="87" t="s">
        <v>146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143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111</v>
      </c>
      <c r="D29" s="65" t="s">
        <v>115</v>
      </c>
      <c r="E29" s="65" t="s">
        <v>117</v>
      </c>
      <c r="F29" s="87" t="s">
        <v>145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143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120</v>
      </c>
      <c r="D30" s="65" t="s">
        <v>122</v>
      </c>
      <c r="E30" s="65" t="s">
        <v>124</v>
      </c>
      <c r="F30" s="87" t="s">
        <v>145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143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111</v>
      </c>
      <c r="D31" s="65" t="s">
        <v>115</v>
      </c>
      <c r="E31" s="65" t="s">
        <v>117</v>
      </c>
      <c r="F31" s="87" t="s">
        <v>146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143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120</v>
      </c>
      <c r="D32" s="65" t="s">
        <v>122</v>
      </c>
      <c r="E32" s="65" t="s">
        <v>124</v>
      </c>
      <c r="F32" s="87" t="s">
        <v>146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227</v>
      </c>
      <c r="B1" s="131"/>
    </row>
    <row r="2" spans="1:2" ht="15.75" thickBot="1" x14ac:dyDescent="0.3">
      <c r="A2" s="83" t="s">
        <v>147</v>
      </c>
      <c r="B2" s="84" t="s">
        <v>148</v>
      </c>
    </row>
    <row r="3" spans="1:2" x14ac:dyDescent="0.25">
      <c r="A3" s="81" t="s">
        <v>149</v>
      </c>
      <c r="B3" s="82" t="s">
        <v>150</v>
      </c>
    </row>
    <row r="4" spans="1:2" x14ac:dyDescent="0.25">
      <c r="A4" s="77" t="s">
        <v>151</v>
      </c>
      <c r="B4" s="78" t="s">
        <v>152</v>
      </c>
    </row>
    <row r="5" spans="1:2" x14ac:dyDescent="0.25">
      <c r="A5" s="77" t="s">
        <v>153</v>
      </c>
      <c r="B5" s="78" t="s">
        <v>154</v>
      </c>
    </row>
    <row r="6" spans="1:2" x14ac:dyDescent="0.25">
      <c r="A6" s="77" t="s">
        <v>155</v>
      </c>
      <c r="B6" s="78" t="s">
        <v>156</v>
      </c>
    </row>
    <row r="7" spans="1:2" x14ac:dyDescent="0.25">
      <c r="A7" s="77" t="s">
        <v>157</v>
      </c>
      <c r="B7" s="78" t="s">
        <v>232</v>
      </c>
    </row>
    <row r="8" spans="1:2" x14ac:dyDescent="0.25">
      <c r="A8" s="77" t="s">
        <v>226</v>
      </c>
      <c r="B8" s="78" t="s">
        <v>233</v>
      </c>
    </row>
    <row r="9" spans="1:2" x14ac:dyDescent="0.25">
      <c r="A9" s="77" t="s">
        <v>231</v>
      </c>
      <c r="B9" s="78" t="s">
        <v>234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158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159</v>
      </c>
      <c r="B1" s="131"/>
    </row>
    <row r="2" spans="1:2" x14ac:dyDescent="0.25">
      <c r="A2" s="83" t="s">
        <v>147</v>
      </c>
      <c r="B2" s="84" t="s">
        <v>148</v>
      </c>
    </row>
    <row r="3" spans="1:2" x14ac:dyDescent="0.25">
      <c r="A3" s="77" t="s">
        <v>236</v>
      </c>
      <c r="B3" s="78" t="s">
        <v>237</v>
      </c>
    </row>
    <row r="4" spans="1:2" x14ac:dyDescent="0.25">
      <c r="A4" s="81" t="s">
        <v>160</v>
      </c>
      <c r="B4" s="82" t="s">
        <v>161</v>
      </c>
    </row>
    <row r="5" spans="1:2" x14ac:dyDescent="0.25">
      <c r="A5" s="77" t="s">
        <v>162</v>
      </c>
      <c r="B5" s="78" t="s">
        <v>163</v>
      </c>
    </row>
    <row r="6" spans="1:2" x14ac:dyDescent="0.25">
      <c r="A6" s="77" t="s">
        <v>164</v>
      </c>
      <c r="B6" s="78" t="s">
        <v>165</v>
      </c>
    </row>
    <row r="7" spans="1:2" x14ac:dyDescent="0.25">
      <c r="A7" s="77" t="s">
        <v>166</v>
      </c>
      <c r="B7" s="78" t="s">
        <v>167</v>
      </c>
    </row>
    <row r="8" spans="1:2" x14ac:dyDescent="0.25">
      <c r="A8" s="77" t="s">
        <v>168</v>
      </c>
      <c r="B8" s="78" t="s">
        <v>229</v>
      </c>
    </row>
    <row r="9" spans="1:2" x14ac:dyDescent="0.25">
      <c r="A9" s="108" t="s">
        <v>228</v>
      </c>
      <c r="B9" s="78" t="s">
        <v>230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158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2" t="s">
        <v>169</v>
      </c>
      <c r="B1" s="132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170</v>
      </c>
      <c r="B2" s="76" t="s">
        <v>171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activeCell="B17" sqref="B17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7" t="s">
        <v>169</v>
      </c>
      <c r="B1" s="138"/>
      <c r="C1" s="107"/>
    </row>
    <row r="2" spans="1:3" x14ac:dyDescent="0.25">
      <c r="A2" s="105" t="s">
        <v>170</v>
      </c>
      <c r="B2" s="106" t="s">
        <v>172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110</v>
      </c>
      <c r="B4" s="70"/>
      <c r="C4" s="70"/>
    </row>
    <row r="5" spans="1:3" x14ac:dyDescent="0.25">
      <c r="A5" s="70">
        <v>1</v>
      </c>
      <c r="B5" s="70"/>
      <c r="C5" s="70"/>
    </row>
    <row r="6" spans="1:3" x14ac:dyDescent="0.25">
      <c r="A6" s="70"/>
      <c r="B6" s="70"/>
      <c r="C6" s="70"/>
    </row>
    <row r="22" spans="4:16" x14ac:dyDescent="0.25">
      <c r="E22" s="133">
        <v>2023</v>
      </c>
      <c r="F22" s="134"/>
      <c r="G22" s="133">
        <v>2024</v>
      </c>
      <c r="H22" s="134"/>
      <c r="I22" s="139">
        <v>2025</v>
      </c>
      <c r="J22" s="140"/>
      <c r="K22" s="141">
        <v>2025</v>
      </c>
      <c r="L22" s="142"/>
      <c r="M22" s="133">
        <v>2025</v>
      </c>
      <c r="N22" s="134"/>
      <c r="O22" s="135" t="s">
        <v>173</v>
      </c>
      <c r="P22" s="136"/>
    </row>
    <row r="23" spans="4:16" ht="30" x14ac:dyDescent="0.25">
      <c r="D23" s="89"/>
      <c r="E23" s="2" t="s">
        <v>73</v>
      </c>
      <c r="F23" s="2" t="s">
        <v>174</v>
      </c>
      <c r="G23" s="2" t="s">
        <v>73</v>
      </c>
      <c r="H23" s="2" t="s">
        <v>174</v>
      </c>
      <c r="I23" s="2" t="s">
        <v>73</v>
      </c>
      <c r="J23" s="2" t="s">
        <v>174</v>
      </c>
      <c r="K23" s="2" t="s">
        <v>73</v>
      </c>
      <c r="L23" s="2" t="s">
        <v>174</v>
      </c>
      <c r="M23" s="2" t="s">
        <v>73</v>
      </c>
      <c r="N23" s="2" t="s">
        <v>174</v>
      </c>
      <c r="O23" s="2" t="s">
        <v>73</v>
      </c>
      <c r="P23" s="2" t="s">
        <v>174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175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176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177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178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179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94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180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181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95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182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183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184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185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186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2"/>
  <sheetViews>
    <sheetView zoomScaleNormal="100" workbookViewId="0">
      <selection activeCell="D5" sqref="D5"/>
    </sheetView>
  </sheetViews>
  <sheetFormatPr defaultRowHeight="15" x14ac:dyDescent="0.25"/>
  <cols>
    <col min="1" max="2" width="15.7109375" customWidth="1"/>
    <col min="4" max="4" width="14.42578125" bestFit="1" customWidth="1"/>
    <col min="5" max="5" width="53.5703125" bestFit="1" customWidth="1"/>
    <col min="6" max="10" width="4.85546875" bestFit="1" customWidth="1"/>
    <col min="11" max="11" width="6.7109375" bestFit="1" customWidth="1"/>
    <col min="12" max="12" width="10.7109375" bestFit="1" customWidth="1"/>
  </cols>
  <sheetData>
    <row r="1" spans="1:4" ht="15.75" x14ac:dyDescent="0.25">
      <c r="A1" s="137" t="s">
        <v>169</v>
      </c>
      <c r="B1" s="138"/>
    </row>
    <row r="2" spans="1:4" x14ac:dyDescent="0.25">
      <c r="A2" s="105" t="s">
        <v>170</v>
      </c>
      <c r="B2" s="106" t="s">
        <v>188</v>
      </c>
    </row>
    <row r="5" spans="1:4" x14ac:dyDescent="0.25">
      <c r="D5" s="109" t="s">
        <v>261</v>
      </c>
    </row>
    <row r="6" spans="1:4" x14ac:dyDescent="0.25">
      <c r="D6" s="70">
        <v>2000</v>
      </c>
    </row>
    <row r="7" spans="1:4" x14ac:dyDescent="0.25">
      <c r="D7" s="110" t="s">
        <v>264</v>
      </c>
    </row>
    <row r="8" spans="1:4" x14ac:dyDescent="0.25">
      <c r="D8" s="70">
        <v>2023</v>
      </c>
    </row>
    <row r="9" spans="1:4" x14ac:dyDescent="0.25">
      <c r="D9" s="110" t="s">
        <v>213</v>
      </c>
    </row>
    <row r="10" spans="1:4" x14ac:dyDescent="0.25">
      <c r="D10" s="70">
        <v>2026</v>
      </c>
    </row>
    <row r="11" spans="1:4" x14ac:dyDescent="0.25">
      <c r="D11" s="110" t="s">
        <v>196</v>
      </c>
    </row>
    <row r="12" spans="1:4" x14ac:dyDescent="0.25">
      <c r="D12" s="70" t="s">
        <v>262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190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Budget</vt:lpstr>
      <vt:lpstr>Forecast</vt:lpstr>
      <vt:lpstr>RunRate</vt:lpstr>
      <vt:lpstr>Superdetails</vt:lpstr>
      <vt:lpstr>CN43N</vt:lpstr>
      <vt:lpstr>pivot di appoggio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2025-11-28T20:25:16Z</dcterms:modified>
</cp:coreProperties>
</file>