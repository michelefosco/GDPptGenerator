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BBD9BEDB-628F-4A11-9D94-FB7F6A69EE26}" xr6:coauthVersionLast="47" xr6:coauthVersionMax="47" xr10:uidLastSave="{00000000-0000-0000-0000-000000000000}"/>
  <bookViews>
    <workbookView xWindow="-120" yWindow="-120" windowWidth="38640" windowHeight="21120" tabRatio="774" activeTab="4" xr2:uid="{00000000-000D-0000-FFFF-FFFF00000000}"/>
  </bookViews>
  <sheets>
    <sheet name="Log" sheetId="33" r:id="rId1"/>
    <sheet name="Budget" sheetId="3" r:id="rId2"/>
    <sheet name="Forecast" sheetId="4" r:id="rId3"/>
    <sheet name="RunRate" sheetId="5" r:id="rId4"/>
    <sheet name="Superdetails" sheetId="1" r:id="rId5"/>
    <sheet name="table_tabProjType" sheetId="8" r:id="rId6"/>
    <sheet name="table_tabProjTypeCluster" sheetId="9" r:id="rId7"/>
    <sheet name="table_CommonTable" sheetId="10" r:id="rId8"/>
    <sheet name="table_tabProgettiD" sheetId="11" r:id="rId9"/>
    <sheet name="Powerpoint Configuration" sheetId="32" r:id="rId10"/>
    <sheet name="Alias-Business" sheetId="30" r:id="rId11"/>
    <sheet name="Alias-Categoria" sheetId="31" r:id="rId12"/>
    <sheet name="PP_Template" sheetId="12" r:id="rId13"/>
    <sheet name="PP_01" sheetId="2" r:id="rId14"/>
    <sheet name="PP_02" sheetId="13" r:id="rId15"/>
    <sheet name="PP_03" sheetId="14" r:id="rId16"/>
    <sheet name="PP_04" sheetId="16" r:id="rId17"/>
    <sheet name="PP_05" sheetId="17" r:id="rId18"/>
    <sheet name="PP_06" sheetId="18" r:id="rId19"/>
    <sheet name="PP_07" sheetId="19" r:id="rId20"/>
    <sheet name="PP_08" sheetId="20" r:id="rId21"/>
    <sheet name="PP_09" sheetId="21" r:id="rId22"/>
    <sheet name="PP_10" sheetId="22" r:id="rId23"/>
    <sheet name="PP_11" sheetId="23" r:id="rId24"/>
    <sheet name="PP_12" sheetId="24" r:id="rId25"/>
    <sheet name="PP_13" sheetId="25" r:id="rId26"/>
    <sheet name="PP_14" sheetId="26" r:id="rId27"/>
    <sheet name="PP_15" sheetId="27" r:id="rId28"/>
    <sheet name="PP_16" sheetId="28" r:id="rId29"/>
    <sheet name="PP_17" sheetId="29" r:id="rId30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5" i="1"/>
  <c r="U5" i="1"/>
  <c r="T5" i="1"/>
  <c r="S5" i="1"/>
  <c r="R5" i="1"/>
  <c r="Q5" i="1"/>
  <c r="P5" i="1"/>
  <c r="O5" i="1"/>
  <c r="N5" i="1"/>
  <c r="M5" i="1"/>
  <c r="L5" i="1"/>
  <c r="K5" i="1"/>
  <c r="V4" i="1"/>
  <c r="U4" i="1"/>
  <c r="T4" i="1"/>
  <c r="S4" i="1"/>
  <c r="R4" i="1"/>
  <c r="Q4" i="1"/>
  <c r="P4" i="1"/>
  <c r="O4" i="1"/>
  <c r="N4" i="1"/>
  <c r="M4" i="1"/>
  <c r="L4" i="1"/>
  <c r="K4" i="1"/>
  <c r="V3" i="1"/>
  <c r="U3" i="1"/>
  <c r="T3" i="1"/>
  <c r="S3" i="1"/>
  <c r="R3" i="1"/>
  <c r="Q3" i="1"/>
  <c r="P3" i="1"/>
  <c r="O3" i="1"/>
  <c r="N3" i="1"/>
  <c r="M3" i="1"/>
  <c r="L3" i="1"/>
  <c r="K3" i="1"/>
  <c r="D3" i="29"/>
  <c r="E2" i="29"/>
  <c r="F2" i="29"/>
  <c r="G2" i="29"/>
  <c r="H2" i="29"/>
  <c r="I2" i="29"/>
  <c r="J2" i="29"/>
  <c r="K2" i="29"/>
  <c r="L2" i="29"/>
  <c r="M2" i="29"/>
  <c r="N2" i="29"/>
  <c r="O2" i="29"/>
  <c r="P2" i="29"/>
  <c r="D2" i="29"/>
  <c r="E1" i="29"/>
  <c r="F1" i="29"/>
  <c r="G1" i="29"/>
  <c r="H1" i="29"/>
  <c r="I1" i="29"/>
  <c r="J1" i="29"/>
  <c r="K1" i="29"/>
  <c r="L1" i="29"/>
  <c r="M1" i="29"/>
  <c r="N1" i="29"/>
  <c r="O1" i="29"/>
  <c r="P1" i="29"/>
  <c r="D3" i="28"/>
  <c r="I2" i="28"/>
  <c r="J2" i="28"/>
  <c r="K2" i="28"/>
  <c r="L2" i="28"/>
  <c r="M2" i="28"/>
  <c r="N2" i="28"/>
  <c r="O2" i="28"/>
  <c r="P2" i="28"/>
  <c r="D2" i="28"/>
  <c r="E2" i="28"/>
  <c r="F2" i="28"/>
  <c r="G2" i="28"/>
  <c r="H2" i="28"/>
  <c r="I1" i="28"/>
  <c r="J1" i="28"/>
  <c r="K1" i="28"/>
  <c r="L1" i="28"/>
  <c r="M1" i="28"/>
  <c r="N1" i="28"/>
  <c r="O1" i="28"/>
  <c r="P1" i="28"/>
  <c r="F1" i="28"/>
  <c r="G1" i="28"/>
  <c r="H1" i="28"/>
  <c r="E1" i="28"/>
  <c r="F3" i="27"/>
  <c r="G3" i="27"/>
  <c r="H3" i="27"/>
  <c r="I3" i="27"/>
  <c r="J3" i="27"/>
  <c r="K3" i="27"/>
  <c r="L3" i="27"/>
  <c r="M3" i="27"/>
  <c r="N3" i="27"/>
  <c r="O3" i="27"/>
  <c r="P3" i="27"/>
  <c r="E3" i="27"/>
  <c r="D2" i="27"/>
  <c r="D3" i="27"/>
  <c r="D4" i="27"/>
  <c r="G1" i="27"/>
  <c r="H1" i="27"/>
  <c r="I1" i="27"/>
  <c r="J1" i="27"/>
  <c r="K1" i="27"/>
  <c r="L1" i="27"/>
  <c r="M1" i="27"/>
  <c r="N1" i="27"/>
  <c r="O1" i="27"/>
  <c r="P1" i="27"/>
  <c r="E1" i="27"/>
  <c r="F1" i="27"/>
  <c r="E7" i="26"/>
  <c r="F7" i="26"/>
  <c r="G7" i="26"/>
  <c r="H7" i="26"/>
  <c r="I7" i="26"/>
  <c r="J7" i="26"/>
  <c r="K7" i="26"/>
  <c r="L7" i="26"/>
  <c r="M7" i="26"/>
  <c r="N7" i="26"/>
  <c r="O7" i="26"/>
  <c r="P7" i="26"/>
  <c r="D7" i="26"/>
  <c r="D8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D4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F3" i="26"/>
  <c r="G3" i="26"/>
  <c r="H3" i="26"/>
  <c r="I3" i="26"/>
  <c r="J3" i="26"/>
  <c r="K3" i="26"/>
  <c r="L3" i="26"/>
  <c r="M3" i="26"/>
  <c r="N3" i="26"/>
  <c r="O3" i="26"/>
  <c r="P3" i="26"/>
  <c r="E3" i="26"/>
  <c r="D3" i="26"/>
  <c r="E2" i="26"/>
  <c r="F2" i="26"/>
  <c r="G2" i="26"/>
  <c r="H2" i="26"/>
  <c r="I2" i="26"/>
  <c r="J2" i="26"/>
  <c r="K2" i="26"/>
  <c r="L2" i="26"/>
  <c r="M2" i="26"/>
  <c r="N2" i="26"/>
  <c r="O2" i="26"/>
  <c r="P2" i="26"/>
  <c r="D2" i="26"/>
  <c r="G1" i="26"/>
  <c r="H1" i="26"/>
  <c r="I1" i="26"/>
  <c r="J1" i="26"/>
  <c r="K1" i="26"/>
  <c r="L1" i="26"/>
  <c r="M1" i="26"/>
  <c r="N1" i="26"/>
  <c r="O1" i="26"/>
  <c r="P1" i="26"/>
  <c r="F1" i="26"/>
  <c r="E1" i="26"/>
  <c r="D2" i="25"/>
  <c r="L1" i="25"/>
  <c r="M1" i="25"/>
  <c r="N1" i="25"/>
  <c r="O1" i="25"/>
  <c r="P1" i="25"/>
  <c r="K1" i="25"/>
  <c r="E1" i="25"/>
  <c r="F1" i="25"/>
  <c r="G1" i="25"/>
  <c r="H1" i="25"/>
  <c r="I1" i="25"/>
  <c r="J1" i="25"/>
  <c r="D3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M1" i="24"/>
  <c r="N1" i="24"/>
  <c r="O1" i="24"/>
  <c r="P1" i="24"/>
  <c r="E1" i="24"/>
  <c r="F1" i="24"/>
  <c r="G1" i="24"/>
  <c r="H1" i="24"/>
  <c r="I1" i="24"/>
  <c r="J1" i="24"/>
  <c r="K1" i="24"/>
  <c r="L1" i="24"/>
  <c r="D2" i="23"/>
  <c r="G1" i="23"/>
  <c r="H1" i="23"/>
  <c r="I1" i="23"/>
  <c r="J1" i="23"/>
  <c r="K1" i="23"/>
  <c r="L1" i="23"/>
  <c r="M1" i="23"/>
  <c r="N1" i="23"/>
  <c r="O1" i="23"/>
  <c r="P1" i="23"/>
  <c r="E1" i="23"/>
  <c r="F1" i="23"/>
  <c r="D2" i="22"/>
  <c r="D3" i="22"/>
  <c r="M1" i="22"/>
  <c r="N1" i="22"/>
  <c r="O1" i="22"/>
  <c r="P1" i="22"/>
  <c r="H1" i="22"/>
  <c r="I1" i="22"/>
  <c r="J1" i="22"/>
  <c r="K1" i="22"/>
  <c r="L1" i="22"/>
  <c r="E1" i="22"/>
  <c r="F1" i="22"/>
  <c r="G1" i="22"/>
  <c r="D4" i="21"/>
  <c r="I3" i="21"/>
  <c r="J3" i="21"/>
  <c r="K3" i="21"/>
  <c r="L3" i="21"/>
  <c r="M3" i="21"/>
  <c r="N3" i="21"/>
  <c r="O3" i="21"/>
  <c r="P3" i="21"/>
  <c r="E3" i="21"/>
  <c r="F3" i="21"/>
  <c r="G3" i="21"/>
  <c r="H3" i="21"/>
  <c r="D3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K1" i="21"/>
  <c r="L1" i="21"/>
  <c r="M1" i="21"/>
  <c r="N1" i="21"/>
  <c r="O1" i="21"/>
  <c r="P1" i="21"/>
  <c r="G1" i="21"/>
  <c r="H1" i="21"/>
  <c r="I1" i="21"/>
  <c r="J1" i="21"/>
  <c r="F1" i="21"/>
  <c r="E1" i="21"/>
  <c r="D3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G1" i="20"/>
  <c r="H1" i="20"/>
  <c r="I1" i="20"/>
  <c r="J1" i="20"/>
  <c r="K1" i="20"/>
  <c r="L1" i="20"/>
  <c r="M1" i="20"/>
  <c r="N1" i="20"/>
  <c r="O1" i="20"/>
  <c r="P1" i="20"/>
  <c r="F1" i="20"/>
  <c r="E1" i="20"/>
  <c r="D4" i="19"/>
  <c r="D3" i="19"/>
  <c r="E3" i="19"/>
  <c r="F3" i="19"/>
  <c r="G3" i="19"/>
  <c r="H3" i="19"/>
  <c r="I3" i="19"/>
  <c r="J3" i="19"/>
  <c r="K3" i="19"/>
  <c r="L3" i="19"/>
  <c r="M3" i="19"/>
  <c r="N3" i="19"/>
  <c r="O3" i="19"/>
  <c r="P3" i="19"/>
  <c r="G2" i="19"/>
  <c r="H2" i="19"/>
  <c r="I2" i="19"/>
  <c r="J2" i="19"/>
  <c r="K2" i="19"/>
  <c r="L2" i="19"/>
  <c r="M2" i="19"/>
  <c r="N2" i="19"/>
  <c r="O2" i="19"/>
  <c r="P2" i="19"/>
  <c r="F2" i="19"/>
  <c r="E2" i="19"/>
  <c r="D2" i="19"/>
  <c r="F1" i="19"/>
  <c r="G1" i="19"/>
  <c r="H1" i="19"/>
  <c r="I1" i="19"/>
  <c r="J1" i="19"/>
  <c r="K1" i="19"/>
  <c r="L1" i="19"/>
  <c r="M1" i="19"/>
  <c r="N1" i="19"/>
  <c r="O1" i="19"/>
  <c r="P1" i="19"/>
  <c r="E1" i="19"/>
  <c r="D2" i="18"/>
  <c r="E1" i="18"/>
  <c r="F1" i="18"/>
  <c r="G1" i="18"/>
  <c r="H1" i="18"/>
  <c r="I1" i="18"/>
  <c r="J1" i="18"/>
  <c r="K1" i="18"/>
  <c r="L1" i="18"/>
  <c r="M1" i="18"/>
  <c r="N1" i="18"/>
  <c r="O1" i="18"/>
  <c r="P1" i="18"/>
  <c r="E3" i="17"/>
  <c r="F3" i="17"/>
  <c r="G3" i="17"/>
  <c r="H3" i="17"/>
  <c r="I3" i="17"/>
  <c r="J3" i="17"/>
  <c r="K3" i="17"/>
  <c r="L3" i="17"/>
  <c r="M3" i="17"/>
  <c r="N3" i="17"/>
  <c r="O3" i="17"/>
  <c r="P3" i="17"/>
  <c r="D3" i="17"/>
  <c r="D4" i="17"/>
  <c r="E2" i="17"/>
  <c r="F2" i="17"/>
  <c r="G2" i="17"/>
  <c r="H2" i="17"/>
  <c r="I2" i="17"/>
  <c r="J2" i="17"/>
  <c r="K2" i="17"/>
  <c r="L2" i="17"/>
  <c r="M2" i="17"/>
  <c r="N2" i="17"/>
  <c r="O2" i="17"/>
  <c r="P2" i="17"/>
  <c r="D2" i="17"/>
  <c r="E1" i="17"/>
  <c r="F1" i="17"/>
  <c r="G1" i="17"/>
  <c r="H1" i="17"/>
  <c r="I1" i="17"/>
  <c r="J1" i="17"/>
  <c r="K1" i="17"/>
  <c r="L1" i="17"/>
  <c r="M1" i="17"/>
  <c r="N1" i="17"/>
  <c r="O1" i="17"/>
  <c r="P1" i="17"/>
  <c r="E3" i="16"/>
  <c r="F3" i="16"/>
  <c r="G3" i="16"/>
  <c r="H3" i="16"/>
  <c r="I3" i="16"/>
  <c r="J3" i="16"/>
  <c r="K3" i="16"/>
  <c r="L3" i="16"/>
  <c r="M3" i="16"/>
  <c r="N3" i="16"/>
  <c r="O3" i="16"/>
  <c r="P3" i="16"/>
  <c r="D2" i="16"/>
  <c r="D3" i="16"/>
  <c r="D4" i="16"/>
  <c r="E1" i="16"/>
  <c r="F1" i="16"/>
  <c r="G1" i="16"/>
  <c r="H1" i="16"/>
  <c r="I1" i="16"/>
  <c r="J1" i="16"/>
  <c r="K1" i="16"/>
  <c r="L1" i="16"/>
  <c r="M1" i="16"/>
  <c r="N1" i="16"/>
  <c r="O1" i="16"/>
  <c r="P1" i="16"/>
  <c r="D2" i="14"/>
  <c r="D3" i="14"/>
  <c r="E1" i="14"/>
  <c r="F1" i="14"/>
  <c r="G1" i="14"/>
  <c r="H1" i="14"/>
  <c r="I1" i="14"/>
  <c r="J1" i="14"/>
  <c r="K1" i="14"/>
  <c r="L1" i="14"/>
  <c r="M1" i="14"/>
  <c r="N1" i="14"/>
  <c r="O1" i="14"/>
  <c r="P1" i="14"/>
  <c r="D2" i="13"/>
  <c r="D3" i="13"/>
  <c r="E1" i="13"/>
  <c r="F1" i="13"/>
  <c r="G1" i="13"/>
  <c r="H1" i="13"/>
  <c r="I1" i="13"/>
  <c r="J1" i="13"/>
  <c r="K1" i="13"/>
  <c r="L1" i="13"/>
  <c r="M1" i="13"/>
  <c r="N1" i="13"/>
  <c r="O1" i="13"/>
  <c r="P1" i="13"/>
  <c r="B37" i="32"/>
  <c r="B36" i="32"/>
  <c r="B35" i="32"/>
  <c r="B34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6" i="1"/>
  <c r="A9" i="10"/>
  <c r="A8" i="10"/>
  <c r="A7" i="10"/>
  <c r="A6" i="10"/>
  <c r="A5" i="10"/>
  <c r="A4" i="10"/>
  <c r="A3" i="10"/>
  <c r="Y4" i="1"/>
  <c r="A2" i="10"/>
  <c r="AD8" i="1"/>
  <c r="AA8" i="1"/>
  <c r="Z8" i="1"/>
  <c r="Y8" i="1"/>
  <c r="X8" i="1"/>
  <c r="W8" i="1"/>
  <c r="J8" i="1"/>
  <c r="I8" i="1"/>
  <c r="F8" i="1"/>
  <c r="E8" i="1"/>
  <c r="H8" i="1"/>
  <c r="AC8" i="1"/>
  <c r="D8" i="1"/>
  <c r="A8" i="1"/>
  <c r="AD7" i="1"/>
  <c r="AA7" i="1"/>
  <c r="Z7" i="1"/>
  <c r="X7" i="1"/>
  <c r="W7" i="1"/>
  <c r="J7" i="1"/>
  <c r="I7" i="1"/>
  <c r="E7" i="1"/>
  <c r="H7" i="1"/>
  <c r="G7" i="1"/>
  <c r="F7" i="1"/>
  <c r="AC7" i="1"/>
  <c r="D7" i="1"/>
  <c r="A7" i="1"/>
  <c r="AD6" i="1"/>
  <c r="AA6" i="1"/>
  <c r="Z6" i="1"/>
  <c r="X6" i="1"/>
  <c r="W6" i="1"/>
  <c r="J6" i="1"/>
  <c r="I6" i="1"/>
  <c r="F6" i="1"/>
  <c r="E6" i="1"/>
  <c r="G6" i="1"/>
  <c r="H6" i="1"/>
  <c r="D6" i="1"/>
  <c r="A6" i="1"/>
  <c r="AD5" i="1"/>
  <c r="E5" i="1"/>
  <c r="AC5" i="1"/>
  <c r="AA5" i="1"/>
  <c r="Z5" i="1"/>
  <c r="X5" i="1"/>
  <c r="W5" i="1"/>
  <c r="J5" i="1"/>
  <c r="I5" i="1"/>
  <c r="F5" i="1"/>
  <c r="H5" i="1"/>
  <c r="D5" i="1"/>
  <c r="A5" i="1"/>
  <c r="AD4" i="1"/>
  <c r="E4" i="1"/>
  <c r="AC4" i="1"/>
  <c r="AA4" i="1"/>
  <c r="Z4" i="1"/>
  <c r="X4" i="1"/>
  <c r="W4" i="1"/>
  <c r="J4" i="1"/>
  <c r="I4" i="1"/>
  <c r="F4" i="1"/>
  <c r="H4" i="1"/>
  <c r="D4" i="1"/>
  <c r="A4" i="1"/>
  <c r="AD3" i="1"/>
  <c r="AA3" i="1"/>
  <c r="Z3" i="1"/>
  <c r="X3" i="1"/>
  <c r="W3" i="1"/>
  <c r="J3" i="1"/>
  <c r="I3" i="1"/>
  <c r="F3" i="1"/>
  <c r="E3" i="1"/>
  <c r="AC3" i="1"/>
  <c r="G3" i="1"/>
  <c r="A3" i="1"/>
  <c r="F35" i="2"/>
  <c r="D3" i="1"/>
  <c r="O14" i="4"/>
  <c r="E14" i="4"/>
  <c r="N14" i="4"/>
  <c r="M14" i="4"/>
  <c r="L14" i="4"/>
  <c r="K14" i="4"/>
  <c r="J14" i="4"/>
  <c r="I14" i="4"/>
  <c r="H14" i="4"/>
  <c r="G14" i="4"/>
  <c r="F14" i="4"/>
  <c r="D14" i="4"/>
  <c r="A14" i="4"/>
  <c r="O13" i="4"/>
  <c r="E13" i="4"/>
  <c r="N13" i="4"/>
  <c r="M13" i="4"/>
  <c r="L13" i="4"/>
  <c r="K13" i="4"/>
  <c r="J13" i="4"/>
  <c r="I13" i="4"/>
  <c r="H13" i="4"/>
  <c r="G13" i="4"/>
  <c r="F13" i="4"/>
  <c r="D13" i="4"/>
  <c r="A13" i="4"/>
  <c r="C13" i="4"/>
  <c r="O12" i="4"/>
  <c r="E12" i="4"/>
  <c r="N12" i="4"/>
  <c r="M12" i="4"/>
  <c r="L12" i="4"/>
  <c r="K12" i="4"/>
  <c r="J12" i="4"/>
  <c r="I12" i="4"/>
  <c r="H12" i="4"/>
  <c r="G12" i="4"/>
  <c r="F12" i="4"/>
  <c r="D12" i="4"/>
  <c r="A12" i="4"/>
  <c r="C12" i="4"/>
  <c r="O11" i="4"/>
  <c r="E11" i="4"/>
  <c r="N11" i="4"/>
  <c r="M11" i="4"/>
  <c r="L11" i="4"/>
  <c r="K11" i="4"/>
  <c r="J11" i="4"/>
  <c r="I11" i="4"/>
  <c r="H11" i="4"/>
  <c r="G11" i="4"/>
  <c r="F11" i="4"/>
  <c r="D11" i="4"/>
  <c r="A11" i="4"/>
  <c r="C11" i="4"/>
  <c r="O10" i="4"/>
  <c r="E10" i="4"/>
  <c r="N10" i="4"/>
  <c r="M10" i="4"/>
  <c r="L10" i="4"/>
  <c r="K10" i="4"/>
  <c r="J10" i="4"/>
  <c r="I10" i="4"/>
  <c r="H10" i="4"/>
  <c r="G10" i="4"/>
  <c r="F10" i="4"/>
  <c r="D10" i="4"/>
  <c r="A10" i="4"/>
  <c r="C10" i="4"/>
  <c r="O9" i="4"/>
  <c r="C9" i="4"/>
  <c r="N9" i="4"/>
  <c r="M9" i="4"/>
  <c r="L9" i="4"/>
  <c r="K9" i="4"/>
  <c r="J9" i="4"/>
  <c r="I9" i="4"/>
  <c r="H9" i="4"/>
  <c r="G9" i="4"/>
  <c r="F9" i="4"/>
  <c r="D9" i="4"/>
  <c r="A9" i="4"/>
  <c r="B9" i="4"/>
  <c r="O8" i="4"/>
  <c r="E8" i="4"/>
  <c r="N8" i="4"/>
  <c r="M8" i="4"/>
  <c r="L8" i="4"/>
  <c r="K8" i="4"/>
  <c r="J8" i="4"/>
  <c r="I8" i="4"/>
  <c r="H8" i="4"/>
  <c r="G8" i="4"/>
  <c r="F8" i="4"/>
  <c r="D8" i="4"/>
  <c r="A8" i="4"/>
  <c r="C8" i="4"/>
  <c r="O7" i="4"/>
  <c r="E7" i="4"/>
  <c r="N7" i="4"/>
  <c r="M7" i="4"/>
  <c r="L7" i="4"/>
  <c r="K7" i="4"/>
  <c r="J7" i="4"/>
  <c r="I7" i="4"/>
  <c r="H7" i="4"/>
  <c r="G7" i="4"/>
  <c r="F7" i="4"/>
  <c r="D7" i="4"/>
  <c r="A7" i="4"/>
  <c r="B7" i="4"/>
  <c r="O6" i="4"/>
  <c r="E6" i="4"/>
  <c r="N6" i="4"/>
  <c r="M6" i="4"/>
  <c r="L6" i="4"/>
  <c r="K6" i="4"/>
  <c r="J6" i="4"/>
  <c r="I6" i="4"/>
  <c r="H6" i="4"/>
  <c r="G6" i="4"/>
  <c r="F6" i="4"/>
  <c r="D6" i="4"/>
  <c r="A6" i="4"/>
  <c r="O5" i="4"/>
  <c r="N5" i="4"/>
  <c r="M5" i="4"/>
  <c r="L5" i="4"/>
  <c r="K5" i="4"/>
  <c r="J5" i="4"/>
  <c r="I5" i="4"/>
  <c r="H5" i="4"/>
  <c r="G5" i="4"/>
  <c r="F5" i="4"/>
  <c r="E5" i="4"/>
  <c r="D5" i="4"/>
  <c r="A5" i="4"/>
  <c r="O4" i="4"/>
  <c r="E4" i="4"/>
  <c r="N4" i="4"/>
  <c r="M4" i="4"/>
  <c r="L4" i="4"/>
  <c r="K4" i="4"/>
  <c r="J4" i="4"/>
  <c r="I4" i="4"/>
  <c r="H4" i="4"/>
  <c r="G4" i="4"/>
  <c r="F4" i="4"/>
  <c r="D4" i="4"/>
  <c r="A4" i="4"/>
  <c r="O3" i="4"/>
  <c r="E3" i="4"/>
  <c r="N3" i="4"/>
  <c r="M3" i="4"/>
  <c r="L3" i="4"/>
  <c r="K3" i="4"/>
  <c r="J3" i="4"/>
  <c r="I3" i="4"/>
  <c r="H3" i="4"/>
  <c r="G3" i="4"/>
  <c r="F3" i="4"/>
  <c r="D3" i="4"/>
  <c r="A3" i="4"/>
  <c r="J26" i="3"/>
  <c r="I26" i="3"/>
  <c r="H26" i="3"/>
  <c r="G26" i="3"/>
  <c r="E26" i="3"/>
  <c r="D26" i="3"/>
  <c r="C26" i="3"/>
  <c r="B26" i="3"/>
  <c r="A26" i="3"/>
  <c r="J25" i="3"/>
  <c r="I25" i="3"/>
  <c r="H25" i="3"/>
  <c r="G25" i="3"/>
  <c r="E25" i="3"/>
  <c r="D25" i="3"/>
  <c r="C25" i="3"/>
  <c r="B25" i="3"/>
  <c r="A25" i="3"/>
  <c r="J24" i="3"/>
  <c r="I24" i="3"/>
  <c r="H24" i="3"/>
  <c r="G24" i="3"/>
  <c r="E24" i="3"/>
  <c r="D24" i="3"/>
  <c r="C24" i="3"/>
  <c r="B24" i="3"/>
  <c r="A24" i="3"/>
  <c r="J23" i="3"/>
  <c r="I23" i="3"/>
  <c r="H23" i="3"/>
  <c r="G23" i="3"/>
  <c r="E23" i="3"/>
  <c r="D23" i="3"/>
  <c r="C23" i="3"/>
  <c r="B23" i="3"/>
  <c r="A23" i="3"/>
  <c r="J22" i="3"/>
  <c r="I22" i="3"/>
  <c r="H22" i="3"/>
  <c r="G22" i="3"/>
  <c r="E22" i="3"/>
  <c r="D22" i="3"/>
  <c r="C22" i="3"/>
  <c r="B22" i="3"/>
  <c r="A22" i="3"/>
  <c r="J21" i="3"/>
  <c r="I21" i="3"/>
  <c r="H21" i="3"/>
  <c r="G21" i="3"/>
  <c r="E21" i="3"/>
  <c r="D21" i="3"/>
  <c r="C21" i="3"/>
  <c r="B21" i="3"/>
  <c r="A21" i="3"/>
  <c r="J20" i="3"/>
  <c r="I20" i="3"/>
  <c r="H20" i="3"/>
  <c r="G20" i="3"/>
  <c r="E20" i="3"/>
  <c r="D20" i="3"/>
  <c r="C20" i="3"/>
  <c r="B20" i="3"/>
  <c r="A20" i="3"/>
  <c r="J19" i="3"/>
  <c r="I19" i="3"/>
  <c r="H19" i="3"/>
  <c r="G19" i="3"/>
  <c r="E19" i="3"/>
  <c r="D19" i="3"/>
  <c r="C19" i="3"/>
  <c r="B19" i="3"/>
  <c r="A19" i="3"/>
  <c r="J18" i="3"/>
  <c r="I18" i="3"/>
  <c r="H18" i="3"/>
  <c r="G18" i="3"/>
  <c r="E18" i="3"/>
  <c r="D18" i="3"/>
  <c r="C18" i="3"/>
  <c r="B18" i="3"/>
  <c r="A18" i="3"/>
  <c r="J17" i="3"/>
  <c r="I17" i="3"/>
  <c r="H17" i="3"/>
  <c r="G17" i="3"/>
  <c r="E17" i="3"/>
  <c r="D17" i="3"/>
  <c r="C17" i="3"/>
  <c r="B17" i="3"/>
  <c r="A17" i="3"/>
  <c r="J16" i="3"/>
  <c r="I16" i="3"/>
  <c r="H16" i="3"/>
  <c r="G16" i="3"/>
  <c r="E16" i="3"/>
  <c r="D16" i="3"/>
  <c r="C16" i="3"/>
  <c r="B16" i="3"/>
  <c r="A16" i="3"/>
  <c r="J15" i="3"/>
  <c r="I15" i="3"/>
  <c r="H15" i="3"/>
  <c r="G15" i="3"/>
  <c r="E15" i="3"/>
  <c r="D15" i="3"/>
  <c r="C15" i="3"/>
  <c r="B15" i="3"/>
  <c r="A15" i="3"/>
  <c r="J14" i="3"/>
  <c r="I14" i="3"/>
  <c r="H14" i="3"/>
  <c r="G14" i="3"/>
  <c r="E14" i="3"/>
  <c r="D14" i="3"/>
  <c r="C14" i="3"/>
  <c r="B14" i="3"/>
  <c r="A14" i="3"/>
  <c r="J13" i="3"/>
  <c r="I13" i="3"/>
  <c r="H13" i="3"/>
  <c r="G13" i="3"/>
  <c r="E13" i="3"/>
  <c r="D13" i="3"/>
  <c r="C13" i="3"/>
  <c r="B13" i="3"/>
  <c r="A13" i="3"/>
  <c r="J12" i="3"/>
  <c r="I12" i="3"/>
  <c r="H12" i="3"/>
  <c r="G12" i="3"/>
  <c r="E12" i="3"/>
  <c r="D12" i="3"/>
  <c r="C12" i="3"/>
  <c r="B12" i="3"/>
  <c r="A12" i="3"/>
  <c r="J11" i="3"/>
  <c r="I11" i="3"/>
  <c r="H11" i="3"/>
  <c r="G11" i="3"/>
  <c r="E11" i="3"/>
  <c r="D11" i="3"/>
  <c r="C11" i="3"/>
  <c r="B11" i="3"/>
  <c r="A11" i="3"/>
  <c r="J10" i="3"/>
  <c r="I10" i="3"/>
  <c r="H10" i="3"/>
  <c r="G10" i="3"/>
  <c r="E10" i="3"/>
  <c r="D10" i="3"/>
  <c r="C10" i="3"/>
  <c r="B10" i="3"/>
  <c r="A10" i="3"/>
  <c r="J9" i="3"/>
  <c r="I9" i="3"/>
  <c r="H9" i="3"/>
  <c r="G9" i="3"/>
  <c r="E9" i="3"/>
  <c r="D9" i="3"/>
  <c r="C9" i="3"/>
  <c r="B9" i="3"/>
  <c r="A9" i="3"/>
  <c r="J8" i="3"/>
  <c r="I8" i="3"/>
  <c r="H8" i="3"/>
  <c r="G8" i="3"/>
  <c r="E8" i="3"/>
  <c r="D8" i="3"/>
  <c r="C8" i="3"/>
  <c r="B8" i="3"/>
  <c r="A8" i="3"/>
  <c r="J7" i="3"/>
  <c r="I7" i="3"/>
  <c r="H7" i="3"/>
  <c r="G7" i="3"/>
  <c r="E7" i="3"/>
  <c r="D7" i="3"/>
  <c r="C7" i="3"/>
  <c r="B7" i="3"/>
  <c r="A7" i="3"/>
  <c r="J6" i="3"/>
  <c r="I6" i="3"/>
  <c r="H6" i="3"/>
  <c r="G6" i="3"/>
  <c r="E6" i="3"/>
  <c r="D6" i="3"/>
  <c r="C6" i="3"/>
  <c r="B6" i="3"/>
  <c r="A6" i="3"/>
  <c r="J5" i="3"/>
  <c r="I5" i="3"/>
  <c r="H5" i="3"/>
  <c r="G5" i="3"/>
  <c r="E5" i="3"/>
  <c r="D5" i="3"/>
  <c r="C5" i="3"/>
  <c r="B5" i="3"/>
  <c r="A5" i="3"/>
  <c r="J4" i="3"/>
  <c r="I4" i="3"/>
  <c r="H4" i="3"/>
  <c r="G4" i="3"/>
  <c r="E4" i="3"/>
  <c r="D4" i="3"/>
  <c r="C4" i="3"/>
  <c r="B4" i="3"/>
  <c r="A4" i="3"/>
  <c r="J32" i="2"/>
  <c r="J3" i="3"/>
  <c r="I3" i="3"/>
  <c r="H3" i="3"/>
  <c r="G3" i="3"/>
  <c r="E3" i="3"/>
  <c r="D3" i="3"/>
  <c r="C3" i="3"/>
  <c r="B3" i="3"/>
  <c r="A3" i="3"/>
  <c r="J34" i="2"/>
  <c r="G3" i="33"/>
  <c r="F3" i="33"/>
  <c r="E3" i="33"/>
  <c r="C4" i="4"/>
  <c r="B12" i="4"/>
  <c r="B13" i="4"/>
  <c r="B5" i="4"/>
  <c r="C5" i="4"/>
  <c r="E9" i="4"/>
  <c r="B10" i="4"/>
  <c r="C14" i="4"/>
  <c r="B11" i="4"/>
  <c r="G4" i="1"/>
  <c r="Y5" i="1"/>
  <c r="Y3" i="1"/>
  <c r="I26" i="2"/>
  <c r="E3" i="14"/>
  <c r="F3" i="14"/>
  <c r="G3" i="14"/>
  <c r="H3" i="14"/>
  <c r="I3" i="14"/>
  <c r="J3" i="14"/>
  <c r="K3" i="14"/>
  <c r="L3" i="14"/>
  <c r="M3" i="14"/>
  <c r="N3" i="14"/>
  <c r="O3" i="14"/>
  <c r="P3" i="14"/>
  <c r="D4" i="14"/>
  <c r="E2" i="14"/>
  <c r="F2" i="14"/>
  <c r="G2" i="14"/>
  <c r="H2" i="14"/>
  <c r="I2" i="14"/>
  <c r="J2" i="14"/>
  <c r="K2" i="14"/>
  <c r="L2" i="14"/>
  <c r="M2" i="14"/>
  <c r="N2" i="14"/>
  <c r="O2" i="14"/>
  <c r="P2" i="14"/>
  <c r="O27" i="2"/>
  <c r="O25" i="2"/>
  <c r="B3" i="4"/>
  <c r="P33" i="2"/>
  <c r="O26" i="2"/>
  <c r="O24" i="2"/>
  <c r="G5" i="1"/>
  <c r="B6" i="4"/>
  <c r="J37" i="2"/>
  <c r="J35" i="2"/>
  <c r="J33" i="2"/>
  <c r="J31" i="2"/>
  <c r="I27" i="2"/>
  <c r="I25" i="2"/>
  <c r="I24" i="2"/>
  <c r="C3" i="4"/>
  <c r="P31" i="2"/>
  <c r="B8" i="4"/>
  <c r="P34" i="2"/>
  <c r="AC6" i="1"/>
  <c r="C7" i="4"/>
  <c r="J36" i="2"/>
  <c r="B4" i="4"/>
  <c r="B14" i="4"/>
  <c r="C6" i="4"/>
  <c r="D5" i="16"/>
  <c r="E4" i="16"/>
  <c r="F4" i="16"/>
  <c r="G4" i="16"/>
  <c r="H4" i="16"/>
  <c r="I4" i="16"/>
  <c r="J4" i="16"/>
  <c r="K4" i="16"/>
  <c r="L4" i="16"/>
  <c r="M4" i="16"/>
  <c r="N4" i="16"/>
  <c r="O4" i="16"/>
  <c r="P4" i="16"/>
  <c r="D4" i="20"/>
  <c r="E3" i="20"/>
  <c r="F3" i="20"/>
  <c r="G3" i="20"/>
  <c r="H3" i="20"/>
  <c r="I3" i="20"/>
  <c r="J3" i="20"/>
  <c r="K3" i="20"/>
  <c r="L3" i="20"/>
  <c r="M3" i="20"/>
  <c r="N3" i="20"/>
  <c r="O3" i="20"/>
  <c r="P3" i="20"/>
  <c r="D4" i="13"/>
  <c r="E3" i="13"/>
  <c r="F3" i="13"/>
  <c r="G3" i="13"/>
  <c r="H3" i="13"/>
  <c r="I3" i="13"/>
  <c r="J3" i="13"/>
  <c r="K3" i="13"/>
  <c r="L3" i="13"/>
  <c r="M3" i="13"/>
  <c r="N3" i="13"/>
  <c r="O3" i="13"/>
  <c r="P3" i="13"/>
  <c r="D5" i="17"/>
  <c r="E4" i="17"/>
  <c r="F4" i="17"/>
  <c r="G4" i="17"/>
  <c r="H4" i="17"/>
  <c r="I4" i="17"/>
  <c r="J4" i="17"/>
  <c r="K4" i="17"/>
  <c r="L4" i="17"/>
  <c r="M4" i="17"/>
  <c r="N4" i="17"/>
  <c r="O4" i="17"/>
  <c r="P4" i="17"/>
  <c r="Y7" i="1"/>
  <c r="E4" i="19"/>
  <c r="F4" i="19"/>
  <c r="G4" i="19"/>
  <c r="H4" i="19"/>
  <c r="I4" i="19"/>
  <c r="J4" i="19"/>
  <c r="K4" i="19"/>
  <c r="L4" i="19"/>
  <c r="M4" i="19"/>
  <c r="N4" i="19"/>
  <c r="O4" i="19"/>
  <c r="P4" i="19"/>
  <c r="D5" i="19"/>
  <c r="E4" i="27"/>
  <c r="F4" i="27"/>
  <c r="G4" i="27"/>
  <c r="H4" i="27"/>
  <c r="I4" i="27"/>
  <c r="J4" i="27"/>
  <c r="K4" i="27"/>
  <c r="L4" i="27"/>
  <c r="M4" i="27"/>
  <c r="N4" i="27"/>
  <c r="O4" i="27"/>
  <c r="P4" i="27"/>
  <c r="D5" i="27"/>
  <c r="D5" i="21"/>
  <c r="E4" i="21"/>
  <c r="F4" i="21"/>
  <c r="G4" i="21"/>
  <c r="H4" i="21"/>
  <c r="I4" i="21"/>
  <c r="J4" i="21"/>
  <c r="K4" i="21"/>
  <c r="L4" i="21"/>
  <c r="M4" i="21"/>
  <c r="N4" i="21"/>
  <c r="O4" i="21"/>
  <c r="P4" i="21"/>
  <c r="D3" i="18"/>
  <c r="E2" i="18"/>
  <c r="F2" i="18"/>
  <c r="G2" i="18"/>
  <c r="H2" i="18"/>
  <c r="I2" i="18"/>
  <c r="J2" i="18"/>
  <c r="K2" i="18"/>
  <c r="L2" i="18"/>
  <c r="M2" i="18"/>
  <c r="N2" i="18"/>
  <c r="O2" i="18"/>
  <c r="P2" i="18"/>
  <c r="E2" i="13"/>
  <c r="F2" i="13"/>
  <c r="G2" i="13"/>
  <c r="H2" i="13"/>
  <c r="I2" i="13"/>
  <c r="J2" i="13"/>
  <c r="K2" i="13"/>
  <c r="L2" i="13"/>
  <c r="M2" i="13"/>
  <c r="N2" i="13"/>
  <c r="O2" i="13"/>
  <c r="P2" i="13"/>
  <c r="D4" i="24"/>
  <c r="E3" i="24"/>
  <c r="F3" i="24"/>
  <c r="G3" i="24"/>
  <c r="H3" i="24"/>
  <c r="I3" i="24"/>
  <c r="J3" i="24"/>
  <c r="K3" i="24"/>
  <c r="L3" i="24"/>
  <c r="M3" i="24"/>
  <c r="N3" i="24"/>
  <c r="O3" i="24"/>
  <c r="P3" i="24"/>
  <c r="D4" i="22"/>
  <c r="E3" i="22"/>
  <c r="F3" i="22"/>
  <c r="G3" i="22"/>
  <c r="H3" i="22"/>
  <c r="I3" i="22"/>
  <c r="J3" i="22"/>
  <c r="K3" i="22"/>
  <c r="L3" i="22"/>
  <c r="M3" i="22"/>
  <c r="N3" i="22"/>
  <c r="O3" i="22"/>
  <c r="P3" i="22"/>
  <c r="E8" i="26"/>
  <c r="F8" i="26"/>
  <c r="G8" i="26"/>
  <c r="H8" i="26"/>
  <c r="I8" i="26"/>
  <c r="J8" i="26"/>
  <c r="K8" i="26"/>
  <c r="L8" i="26"/>
  <c r="M8" i="26"/>
  <c r="N8" i="26"/>
  <c r="O8" i="26"/>
  <c r="P8" i="26"/>
  <c r="D9" i="26"/>
  <c r="E2" i="16"/>
  <c r="F2" i="16"/>
  <c r="G2" i="16"/>
  <c r="H2" i="16"/>
  <c r="I2" i="16"/>
  <c r="J2" i="16"/>
  <c r="K2" i="16"/>
  <c r="L2" i="16"/>
  <c r="M2" i="16"/>
  <c r="N2" i="16"/>
  <c r="O2" i="16"/>
  <c r="P2" i="16"/>
  <c r="D3" i="23"/>
  <c r="E2" i="23"/>
  <c r="F2" i="23"/>
  <c r="G2" i="23"/>
  <c r="H2" i="23"/>
  <c r="I2" i="23"/>
  <c r="J2" i="23"/>
  <c r="K2" i="23"/>
  <c r="L2" i="23"/>
  <c r="M2" i="23"/>
  <c r="N2" i="23"/>
  <c r="O2" i="23"/>
  <c r="P2" i="23"/>
  <c r="E4" i="26"/>
  <c r="F4" i="26"/>
  <c r="G4" i="26"/>
  <c r="H4" i="26"/>
  <c r="I4" i="26"/>
  <c r="J4" i="26"/>
  <c r="K4" i="26"/>
  <c r="L4" i="26"/>
  <c r="M4" i="26"/>
  <c r="N4" i="26"/>
  <c r="O4" i="26"/>
  <c r="P4" i="26"/>
  <c r="E2" i="22"/>
  <c r="F2" i="22"/>
  <c r="G2" i="22"/>
  <c r="H2" i="22"/>
  <c r="I2" i="22"/>
  <c r="J2" i="22"/>
  <c r="K2" i="22"/>
  <c r="L2" i="22"/>
  <c r="M2" i="22"/>
  <c r="N2" i="22"/>
  <c r="O2" i="22"/>
  <c r="P2" i="22"/>
  <c r="D4" i="28"/>
  <c r="E3" i="28"/>
  <c r="F3" i="28"/>
  <c r="G3" i="28"/>
  <c r="H3" i="28"/>
  <c r="I3" i="28"/>
  <c r="J3" i="28"/>
  <c r="K3" i="28"/>
  <c r="L3" i="28"/>
  <c r="M3" i="28"/>
  <c r="N3" i="28"/>
  <c r="O3" i="28"/>
  <c r="P3" i="28"/>
  <c r="D3" i="25"/>
  <c r="E2" i="25"/>
  <c r="F2" i="25"/>
  <c r="G2" i="25"/>
  <c r="H2" i="25"/>
  <c r="I2" i="25"/>
  <c r="J2" i="25"/>
  <c r="K2" i="25"/>
  <c r="L2" i="25"/>
  <c r="M2" i="25"/>
  <c r="N2" i="25"/>
  <c r="O2" i="25"/>
  <c r="P2" i="25"/>
  <c r="D4" i="29"/>
  <c r="E3" i="29"/>
  <c r="F3" i="29"/>
  <c r="G3" i="29"/>
  <c r="H3" i="29"/>
  <c r="I3" i="29"/>
  <c r="J3" i="29"/>
  <c r="K3" i="29"/>
  <c r="L3" i="29"/>
  <c r="M3" i="29"/>
  <c r="N3" i="29"/>
  <c r="O3" i="29"/>
  <c r="P3" i="29"/>
  <c r="E2" i="27"/>
  <c r="F2" i="27"/>
  <c r="G2" i="27"/>
  <c r="H2" i="27"/>
  <c r="I2" i="27"/>
  <c r="J2" i="27"/>
  <c r="K2" i="27"/>
  <c r="L2" i="27"/>
  <c r="M2" i="27"/>
  <c r="N2" i="27"/>
  <c r="O2" i="27"/>
  <c r="P2" i="27"/>
  <c r="D6" i="16"/>
  <c r="E5" i="16"/>
  <c r="F5" i="16"/>
  <c r="G5" i="16"/>
  <c r="H5" i="16"/>
  <c r="I5" i="16"/>
  <c r="J5" i="16"/>
  <c r="K5" i="16"/>
  <c r="L5" i="16"/>
  <c r="M5" i="16"/>
  <c r="N5" i="16"/>
  <c r="O5" i="16"/>
  <c r="P5" i="16"/>
  <c r="E9" i="26"/>
  <c r="F9" i="26"/>
  <c r="G9" i="26"/>
  <c r="H9" i="26"/>
  <c r="I9" i="26"/>
  <c r="J9" i="26"/>
  <c r="K9" i="26"/>
  <c r="L9" i="26"/>
  <c r="M9" i="26"/>
  <c r="N9" i="26"/>
  <c r="O9" i="26"/>
  <c r="P9" i="26"/>
  <c r="D10" i="26"/>
  <c r="I29" i="2"/>
  <c r="O29" i="2"/>
  <c r="D6" i="27"/>
  <c r="E5" i="27"/>
  <c r="F5" i="27"/>
  <c r="G5" i="27"/>
  <c r="H5" i="27"/>
  <c r="I5" i="27"/>
  <c r="J5" i="27"/>
  <c r="K5" i="27"/>
  <c r="L5" i="27"/>
  <c r="M5" i="27"/>
  <c r="N5" i="27"/>
  <c r="O5" i="27"/>
  <c r="P5" i="27"/>
  <c r="D5" i="29"/>
  <c r="E4" i="29"/>
  <c r="F4" i="29"/>
  <c r="G4" i="29"/>
  <c r="H4" i="29"/>
  <c r="I4" i="29"/>
  <c r="J4" i="29"/>
  <c r="K4" i="29"/>
  <c r="L4" i="29"/>
  <c r="M4" i="29"/>
  <c r="N4" i="29"/>
  <c r="O4" i="29"/>
  <c r="P4" i="29"/>
  <c r="P32" i="2"/>
  <c r="D4" i="25"/>
  <c r="E3" i="25"/>
  <c r="F3" i="25"/>
  <c r="G3" i="25"/>
  <c r="H3" i="25"/>
  <c r="I3" i="25"/>
  <c r="J3" i="25"/>
  <c r="K3" i="25"/>
  <c r="L3" i="25"/>
  <c r="M3" i="25"/>
  <c r="N3" i="25"/>
  <c r="O3" i="25"/>
  <c r="P3" i="25"/>
  <c r="P36" i="2"/>
  <c r="E4" i="14"/>
  <c r="F4" i="14"/>
  <c r="G4" i="14"/>
  <c r="H4" i="14"/>
  <c r="I4" i="14"/>
  <c r="J4" i="14"/>
  <c r="K4" i="14"/>
  <c r="L4" i="14"/>
  <c r="M4" i="14"/>
  <c r="N4" i="14"/>
  <c r="O4" i="14"/>
  <c r="P4" i="14"/>
  <c r="D5" i="14"/>
  <c r="D5" i="22"/>
  <c r="E4" i="22"/>
  <c r="F4" i="22"/>
  <c r="G4" i="22"/>
  <c r="H4" i="22"/>
  <c r="I4" i="22"/>
  <c r="J4" i="22"/>
  <c r="K4" i="22"/>
  <c r="L4" i="22"/>
  <c r="M4" i="22"/>
  <c r="N4" i="22"/>
  <c r="O4" i="22"/>
  <c r="P4" i="22"/>
  <c r="D5" i="24"/>
  <c r="E4" i="24"/>
  <c r="F4" i="24"/>
  <c r="G4" i="24"/>
  <c r="H4" i="24"/>
  <c r="I4" i="24"/>
  <c r="J4" i="24"/>
  <c r="K4" i="24"/>
  <c r="L4" i="24"/>
  <c r="M4" i="24"/>
  <c r="N4" i="24"/>
  <c r="O4" i="24"/>
  <c r="P4" i="24"/>
  <c r="E5" i="17"/>
  <c r="F5" i="17"/>
  <c r="G5" i="17"/>
  <c r="H5" i="17"/>
  <c r="I5" i="17"/>
  <c r="J5" i="17"/>
  <c r="K5" i="17"/>
  <c r="L5" i="17"/>
  <c r="M5" i="17"/>
  <c r="N5" i="17"/>
  <c r="O5" i="17"/>
  <c r="P5" i="17"/>
  <c r="D6" i="17"/>
  <c r="D4" i="23"/>
  <c r="E3" i="23"/>
  <c r="F3" i="23"/>
  <c r="G3" i="23"/>
  <c r="H3" i="23"/>
  <c r="I3" i="23"/>
  <c r="J3" i="23"/>
  <c r="K3" i="23"/>
  <c r="L3" i="23"/>
  <c r="M3" i="23"/>
  <c r="N3" i="23"/>
  <c r="O3" i="23"/>
  <c r="P3" i="23"/>
  <c r="P37" i="2"/>
  <c r="D6" i="19"/>
  <c r="E5" i="19"/>
  <c r="F5" i="19"/>
  <c r="G5" i="19"/>
  <c r="H5" i="19"/>
  <c r="I5" i="19"/>
  <c r="J5" i="19"/>
  <c r="K5" i="19"/>
  <c r="L5" i="19"/>
  <c r="M5" i="19"/>
  <c r="N5" i="19"/>
  <c r="O5" i="19"/>
  <c r="P5" i="19"/>
  <c r="J38" i="2"/>
  <c r="J39" i="2"/>
  <c r="D5" i="28"/>
  <c r="E4" i="28"/>
  <c r="F4" i="28"/>
  <c r="G4" i="28"/>
  <c r="H4" i="28"/>
  <c r="I4" i="28"/>
  <c r="J4" i="28"/>
  <c r="K4" i="28"/>
  <c r="L4" i="28"/>
  <c r="M4" i="28"/>
  <c r="N4" i="28"/>
  <c r="O4" i="28"/>
  <c r="P4" i="28"/>
  <c r="E4" i="13"/>
  <c r="F4" i="13"/>
  <c r="G4" i="13"/>
  <c r="H4" i="13"/>
  <c r="I4" i="13"/>
  <c r="J4" i="13"/>
  <c r="K4" i="13"/>
  <c r="L4" i="13"/>
  <c r="M4" i="13"/>
  <c r="N4" i="13"/>
  <c r="O4" i="13"/>
  <c r="P4" i="13"/>
  <c r="D5" i="13"/>
  <c r="D6" i="21"/>
  <c r="E5" i="21"/>
  <c r="F5" i="21"/>
  <c r="G5" i="21"/>
  <c r="H5" i="21"/>
  <c r="I5" i="21"/>
  <c r="J5" i="21"/>
  <c r="K5" i="21"/>
  <c r="L5" i="21"/>
  <c r="M5" i="21"/>
  <c r="N5" i="21"/>
  <c r="O5" i="21"/>
  <c r="P5" i="21"/>
  <c r="P35" i="2"/>
  <c r="P38" i="2"/>
  <c r="D4" i="18"/>
  <c r="E3" i="18"/>
  <c r="F3" i="18"/>
  <c r="G3" i="18"/>
  <c r="H3" i="18"/>
  <c r="I3" i="18"/>
  <c r="J3" i="18"/>
  <c r="K3" i="18"/>
  <c r="L3" i="18"/>
  <c r="M3" i="18"/>
  <c r="N3" i="18"/>
  <c r="O3" i="18"/>
  <c r="P3" i="18"/>
  <c r="E4" i="20"/>
  <c r="F4" i="20"/>
  <c r="G4" i="20"/>
  <c r="H4" i="20"/>
  <c r="I4" i="20"/>
  <c r="J4" i="20"/>
  <c r="K4" i="20"/>
  <c r="L4" i="20"/>
  <c r="M4" i="20"/>
  <c r="N4" i="20"/>
  <c r="O4" i="20"/>
  <c r="P4" i="20"/>
  <c r="D5" i="20"/>
  <c r="P39" i="2"/>
  <c r="E6" i="27"/>
  <c r="F6" i="27"/>
  <c r="G6" i="27"/>
  <c r="H6" i="27"/>
  <c r="I6" i="27"/>
  <c r="J6" i="27"/>
  <c r="K6" i="27"/>
  <c r="L6" i="27"/>
  <c r="M6" i="27"/>
  <c r="N6" i="27"/>
  <c r="O6" i="27"/>
  <c r="P6" i="27"/>
  <c r="D7" i="27"/>
  <c r="D11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5" i="13"/>
  <c r="F5" i="13"/>
  <c r="G5" i="13"/>
  <c r="H5" i="13"/>
  <c r="I5" i="13"/>
  <c r="J5" i="13"/>
  <c r="K5" i="13"/>
  <c r="L5" i="13"/>
  <c r="M5" i="13"/>
  <c r="N5" i="13"/>
  <c r="O5" i="13"/>
  <c r="P5" i="13"/>
  <c r="D6" i="13"/>
  <c r="E5" i="14"/>
  <c r="F5" i="14"/>
  <c r="G5" i="14"/>
  <c r="H5" i="14"/>
  <c r="I5" i="14"/>
  <c r="J5" i="14"/>
  <c r="K5" i="14"/>
  <c r="L5" i="14"/>
  <c r="M5" i="14"/>
  <c r="N5" i="14"/>
  <c r="O5" i="14"/>
  <c r="P5" i="14"/>
  <c r="D6" i="14"/>
  <c r="D5" i="23"/>
  <c r="E4" i="23"/>
  <c r="F4" i="23"/>
  <c r="G4" i="23"/>
  <c r="H4" i="23"/>
  <c r="I4" i="23"/>
  <c r="J4" i="23"/>
  <c r="K4" i="23"/>
  <c r="L4" i="23"/>
  <c r="M4" i="23"/>
  <c r="N4" i="23"/>
  <c r="O4" i="23"/>
  <c r="P4" i="23"/>
  <c r="E6" i="16"/>
  <c r="F6" i="16"/>
  <c r="G6" i="16"/>
  <c r="H6" i="16"/>
  <c r="I6" i="16"/>
  <c r="J6" i="16"/>
  <c r="K6" i="16"/>
  <c r="L6" i="16"/>
  <c r="M6" i="16"/>
  <c r="N6" i="16"/>
  <c r="O6" i="16"/>
  <c r="P6" i="16"/>
  <c r="D7" i="16"/>
  <c r="D6" i="20"/>
  <c r="E5" i="20"/>
  <c r="F5" i="20"/>
  <c r="G5" i="20"/>
  <c r="H5" i="20"/>
  <c r="I5" i="20"/>
  <c r="J5" i="20"/>
  <c r="K5" i="20"/>
  <c r="L5" i="20"/>
  <c r="M5" i="20"/>
  <c r="N5" i="20"/>
  <c r="O5" i="20"/>
  <c r="P5" i="20"/>
  <c r="D6" i="24"/>
  <c r="E5" i="24"/>
  <c r="F5" i="24"/>
  <c r="G5" i="24"/>
  <c r="H5" i="24"/>
  <c r="I5" i="24"/>
  <c r="J5" i="24"/>
  <c r="K5" i="24"/>
  <c r="L5" i="24"/>
  <c r="M5" i="24"/>
  <c r="N5" i="24"/>
  <c r="O5" i="24"/>
  <c r="P5" i="24"/>
  <c r="E6" i="19"/>
  <c r="F6" i="19"/>
  <c r="G6" i="19"/>
  <c r="H6" i="19"/>
  <c r="I6" i="19"/>
  <c r="J6" i="19"/>
  <c r="K6" i="19"/>
  <c r="L6" i="19"/>
  <c r="M6" i="19"/>
  <c r="N6" i="19"/>
  <c r="O6" i="19"/>
  <c r="P6" i="19"/>
  <c r="D7" i="19"/>
  <c r="D7" i="21"/>
  <c r="E6" i="21"/>
  <c r="F6" i="21"/>
  <c r="G6" i="21"/>
  <c r="H6" i="21"/>
  <c r="I6" i="21"/>
  <c r="J6" i="21"/>
  <c r="K6" i="21"/>
  <c r="L6" i="21"/>
  <c r="M6" i="21"/>
  <c r="N6" i="21"/>
  <c r="O6" i="21"/>
  <c r="P6" i="21"/>
  <c r="E5" i="28"/>
  <c r="F5" i="28"/>
  <c r="G5" i="28"/>
  <c r="H5" i="28"/>
  <c r="I5" i="28"/>
  <c r="J5" i="28"/>
  <c r="K5" i="28"/>
  <c r="L5" i="28"/>
  <c r="M5" i="28"/>
  <c r="N5" i="28"/>
  <c r="O5" i="28"/>
  <c r="P5" i="28"/>
  <c r="D6" i="28"/>
  <c r="E6" i="17"/>
  <c r="F6" i="17"/>
  <c r="G6" i="17"/>
  <c r="H6" i="17"/>
  <c r="I6" i="17"/>
  <c r="J6" i="17"/>
  <c r="K6" i="17"/>
  <c r="L6" i="17"/>
  <c r="M6" i="17"/>
  <c r="N6" i="17"/>
  <c r="O6" i="17"/>
  <c r="P6" i="17"/>
  <c r="D7" i="17"/>
  <c r="D6" i="29"/>
  <c r="E5" i="29"/>
  <c r="F5" i="29"/>
  <c r="G5" i="29"/>
  <c r="H5" i="29"/>
  <c r="I5" i="29"/>
  <c r="J5" i="29"/>
  <c r="K5" i="29"/>
  <c r="L5" i="29"/>
  <c r="M5" i="29"/>
  <c r="N5" i="29"/>
  <c r="O5" i="29"/>
  <c r="P5" i="29"/>
  <c r="D5" i="25"/>
  <c r="E4" i="25"/>
  <c r="F4" i="25"/>
  <c r="G4" i="25"/>
  <c r="H4" i="25"/>
  <c r="I4" i="25"/>
  <c r="J4" i="25"/>
  <c r="K4" i="25"/>
  <c r="L4" i="25"/>
  <c r="M4" i="25"/>
  <c r="N4" i="25"/>
  <c r="O4" i="25"/>
  <c r="P4" i="25"/>
  <c r="D5" i="18"/>
  <c r="E4" i="18"/>
  <c r="F4" i="18"/>
  <c r="G4" i="18"/>
  <c r="H4" i="18"/>
  <c r="I4" i="18"/>
  <c r="J4" i="18"/>
  <c r="K4" i="18"/>
  <c r="L4" i="18"/>
  <c r="M4" i="18"/>
  <c r="N4" i="18"/>
  <c r="O4" i="18"/>
  <c r="P4" i="18"/>
  <c r="D6" i="22"/>
  <c r="E5" i="22"/>
  <c r="F5" i="22"/>
  <c r="G5" i="22"/>
  <c r="H5" i="22"/>
  <c r="I5" i="22"/>
  <c r="J5" i="22"/>
  <c r="K5" i="22"/>
  <c r="L5" i="22"/>
  <c r="M5" i="22"/>
  <c r="N5" i="22"/>
  <c r="O5" i="22"/>
  <c r="P5" i="22"/>
  <c r="D6" i="25"/>
  <c r="E5" i="25"/>
  <c r="F5" i="25"/>
  <c r="G5" i="25"/>
  <c r="H5" i="25"/>
  <c r="I5" i="25"/>
  <c r="J5" i="25"/>
  <c r="K5" i="25"/>
  <c r="L5" i="25"/>
  <c r="M5" i="25"/>
  <c r="N5" i="25"/>
  <c r="O5" i="25"/>
  <c r="P5" i="25"/>
  <c r="D7" i="28"/>
  <c r="E6" i="28"/>
  <c r="F6" i="28"/>
  <c r="G6" i="28"/>
  <c r="H6" i="28"/>
  <c r="I6" i="28"/>
  <c r="J6" i="28"/>
  <c r="K6" i="28"/>
  <c r="L6" i="28"/>
  <c r="M6" i="28"/>
  <c r="N6" i="28"/>
  <c r="O6" i="28"/>
  <c r="P6" i="28"/>
  <c r="D7" i="14"/>
  <c r="E6" i="14"/>
  <c r="F6" i="14"/>
  <c r="G6" i="14"/>
  <c r="H6" i="14"/>
  <c r="I6" i="14"/>
  <c r="J6" i="14"/>
  <c r="K6" i="14"/>
  <c r="L6" i="14"/>
  <c r="M6" i="14"/>
  <c r="N6" i="14"/>
  <c r="O6" i="14"/>
  <c r="P6" i="14"/>
  <c r="D6" i="18"/>
  <c r="E5" i="18"/>
  <c r="F5" i="18"/>
  <c r="G5" i="18"/>
  <c r="H5" i="18"/>
  <c r="I5" i="18"/>
  <c r="J5" i="18"/>
  <c r="K5" i="18"/>
  <c r="L5" i="18"/>
  <c r="M5" i="18"/>
  <c r="N5" i="18"/>
  <c r="O5" i="18"/>
  <c r="P5" i="18"/>
  <c r="D8" i="19"/>
  <c r="E7" i="19"/>
  <c r="F7" i="19"/>
  <c r="G7" i="19"/>
  <c r="H7" i="19"/>
  <c r="I7" i="19"/>
  <c r="J7" i="19"/>
  <c r="K7" i="19"/>
  <c r="L7" i="19"/>
  <c r="M7" i="19"/>
  <c r="N7" i="19"/>
  <c r="O7" i="19"/>
  <c r="P7" i="19"/>
  <c r="E11" i="26"/>
  <c r="F11" i="26"/>
  <c r="G11" i="26"/>
  <c r="H11" i="26"/>
  <c r="I11" i="26"/>
  <c r="J11" i="26"/>
  <c r="K11" i="26"/>
  <c r="L11" i="26"/>
  <c r="M11" i="26"/>
  <c r="N11" i="26"/>
  <c r="O11" i="26"/>
  <c r="P11" i="26"/>
  <c r="D12" i="26"/>
  <c r="E6" i="29"/>
  <c r="F6" i="29"/>
  <c r="G6" i="29"/>
  <c r="H6" i="29"/>
  <c r="I6" i="29"/>
  <c r="J6" i="29"/>
  <c r="K6" i="29"/>
  <c r="L6" i="29"/>
  <c r="M6" i="29"/>
  <c r="N6" i="29"/>
  <c r="O6" i="29"/>
  <c r="P6" i="29"/>
  <c r="D7" i="29"/>
  <c r="D8" i="27"/>
  <c r="E7" i="27"/>
  <c r="F7" i="27"/>
  <c r="G7" i="27"/>
  <c r="H7" i="27"/>
  <c r="I7" i="27"/>
  <c r="J7" i="27"/>
  <c r="K7" i="27"/>
  <c r="L7" i="27"/>
  <c r="M7" i="27"/>
  <c r="N7" i="27"/>
  <c r="O7" i="27"/>
  <c r="P7" i="27"/>
  <c r="D6" i="23"/>
  <c r="E5" i="23"/>
  <c r="F5" i="23"/>
  <c r="G5" i="23"/>
  <c r="H5" i="23"/>
  <c r="I5" i="23"/>
  <c r="J5" i="23"/>
  <c r="K5" i="23"/>
  <c r="L5" i="23"/>
  <c r="M5" i="23"/>
  <c r="N5" i="23"/>
  <c r="O5" i="23"/>
  <c r="P5" i="23"/>
  <c r="D8" i="21"/>
  <c r="E7" i="21"/>
  <c r="F7" i="21"/>
  <c r="G7" i="21"/>
  <c r="H7" i="21"/>
  <c r="I7" i="21"/>
  <c r="J7" i="21"/>
  <c r="K7" i="21"/>
  <c r="L7" i="21"/>
  <c r="M7" i="21"/>
  <c r="N7" i="21"/>
  <c r="O7" i="21"/>
  <c r="P7" i="21"/>
  <c r="D7" i="24"/>
  <c r="E6" i="24"/>
  <c r="F6" i="24"/>
  <c r="G6" i="24"/>
  <c r="H6" i="24"/>
  <c r="I6" i="24"/>
  <c r="J6" i="24"/>
  <c r="K6" i="24"/>
  <c r="L6" i="24"/>
  <c r="M6" i="24"/>
  <c r="N6" i="24"/>
  <c r="O6" i="24"/>
  <c r="P6" i="24"/>
  <c r="D7" i="20"/>
  <c r="E6" i="20"/>
  <c r="F6" i="20"/>
  <c r="G6" i="20"/>
  <c r="H6" i="20"/>
  <c r="I6" i="20"/>
  <c r="J6" i="20"/>
  <c r="K6" i="20"/>
  <c r="L6" i="20"/>
  <c r="M6" i="20"/>
  <c r="N6" i="20"/>
  <c r="O6" i="20"/>
  <c r="P6" i="20"/>
  <c r="E6" i="22"/>
  <c r="F6" i="22"/>
  <c r="G6" i="22"/>
  <c r="H6" i="22"/>
  <c r="I6" i="22"/>
  <c r="J6" i="22"/>
  <c r="K6" i="22"/>
  <c r="L6" i="22"/>
  <c r="M6" i="22"/>
  <c r="N6" i="22"/>
  <c r="O6" i="22"/>
  <c r="P6" i="22"/>
  <c r="D7" i="22"/>
  <c r="E6" i="13"/>
  <c r="F6" i="13"/>
  <c r="G6" i="13"/>
  <c r="H6" i="13"/>
  <c r="I6" i="13"/>
  <c r="J6" i="13"/>
  <c r="K6" i="13"/>
  <c r="L6" i="13"/>
  <c r="M6" i="13"/>
  <c r="N6" i="13"/>
  <c r="O6" i="13"/>
  <c r="P6" i="13"/>
  <c r="D7" i="13"/>
  <c r="D8" i="17"/>
  <c r="E7" i="17"/>
  <c r="F7" i="17"/>
  <c r="G7" i="17"/>
  <c r="H7" i="17"/>
  <c r="I7" i="17"/>
  <c r="J7" i="17"/>
  <c r="K7" i="17"/>
  <c r="L7" i="17"/>
  <c r="M7" i="17"/>
  <c r="N7" i="17"/>
  <c r="O7" i="17"/>
  <c r="P7" i="17"/>
  <c r="D8" i="16"/>
  <c r="E7" i="16"/>
  <c r="F7" i="16"/>
  <c r="G7" i="16"/>
  <c r="H7" i="16"/>
  <c r="I7" i="16"/>
  <c r="J7" i="16"/>
  <c r="K7" i="16"/>
  <c r="L7" i="16"/>
  <c r="M7" i="16"/>
  <c r="N7" i="16"/>
  <c r="O7" i="16"/>
  <c r="P7" i="16"/>
  <c r="D8" i="24"/>
  <c r="E7" i="24"/>
  <c r="F7" i="24"/>
  <c r="G7" i="24"/>
  <c r="H7" i="24"/>
  <c r="I7" i="24"/>
  <c r="J7" i="24"/>
  <c r="K7" i="24"/>
  <c r="L7" i="24"/>
  <c r="M7" i="24"/>
  <c r="N7" i="24"/>
  <c r="O7" i="24"/>
  <c r="P7" i="24"/>
  <c r="D9" i="16"/>
  <c r="E8" i="16"/>
  <c r="F8" i="16"/>
  <c r="G8" i="16"/>
  <c r="H8" i="16"/>
  <c r="I8" i="16"/>
  <c r="J8" i="16"/>
  <c r="K8" i="16"/>
  <c r="L8" i="16"/>
  <c r="M8" i="16"/>
  <c r="N8" i="16"/>
  <c r="O8" i="16"/>
  <c r="P8" i="16"/>
  <c r="E12" i="26"/>
  <c r="F12" i="26"/>
  <c r="G12" i="26"/>
  <c r="H12" i="26"/>
  <c r="I12" i="26"/>
  <c r="J12" i="26"/>
  <c r="K12" i="26"/>
  <c r="L12" i="26"/>
  <c r="M12" i="26"/>
  <c r="N12" i="26"/>
  <c r="O12" i="26"/>
  <c r="P12" i="26"/>
  <c r="D13" i="26"/>
  <c r="D8" i="14"/>
  <c r="E7" i="14"/>
  <c r="F7" i="14"/>
  <c r="G7" i="14"/>
  <c r="H7" i="14"/>
  <c r="I7" i="14"/>
  <c r="J7" i="14"/>
  <c r="K7" i="14"/>
  <c r="L7" i="14"/>
  <c r="M7" i="14"/>
  <c r="N7" i="14"/>
  <c r="O7" i="14"/>
  <c r="P7" i="14"/>
  <c r="E7" i="20"/>
  <c r="F7" i="20"/>
  <c r="G7" i="20"/>
  <c r="H7" i="20"/>
  <c r="I7" i="20"/>
  <c r="J7" i="20"/>
  <c r="K7" i="20"/>
  <c r="L7" i="20"/>
  <c r="M7" i="20"/>
  <c r="N7" i="20"/>
  <c r="O7" i="20"/>
  <c r="P7" i="20"/>
  <c r="D8" i="20"/>
  <c r="D9" i="17"/>
  <c r="E8" i="17"/>
  <c r="F8" i="17"/>
  <c r="G8" i="17"/>
  <c r="H8" i="17"/>
  <c r="I8" i="17"/>
  <c r="J8" i="17"/>
  <c r="K8" i="17"/>
  <c r="L8" i="17"/>
  <c r="M8" i="17"/>
  <c r="N8" i="17"/>
  <c r="O8" i="17"/>
  <c r="P8" i="17"/>
  <c r="D8" i="22"/>
  <c r="E7" i="22"/>
  <c r="F7" i="22"/>
  <c r="G7" i="22"/>
  <c r="H7" i="22"/>
  <c r="I7" i="22"/>
  <c r="J7" i="22"/>
  <c r="K7" i="22"/>
  <c r="L7" i="22"/>
  <c r="M7" i="22"/>
  <c r="N7" i="22"/>
  <c r="O7" i="22"/>
  <c r="P7" i="22"/>
  <c r="D8" i="29"/>
  <c r="E7" i="29"/>
  <c r="F7" i="29"/>
  <c r="G7" i="29"/>
  <c r="H7" i="29"/>
  <c r="I7" i="29"/>
  <c r="J7" i="29"/>
  <c r="K7" i="29"/>
  <c r="L7" i="29"/>
  <c r="M7" i="29"/>
  <c r="N7" i="29"/>
  <c r="O7" i="29"/>
  <c r="P7" i="29"/>
  <c r="D8" i="28"/>
  <c r="E7" i="28"/>
  <c r="F7" i="28"/>
  <c r="G7" i="28"/>
  <c r="H7" i="28"/>
  <c r="I7" i="28"/>
  <c r="J7" i="28"/>
  <c r="K7" i="28"/>
  <c r="L7" i="28"/>
  <c r="M7" i="28"/>
  <c r="N7" i="28"/>
  <c r="O7" i="28"/>
  <c r="P7" i="28"/>
  <c r="D8" i="13"/>
  <c r="E7" i="13"/>
  <c r="F7" i="13"/>
  <c r="G7" i="13"/>
  <c r="H7" i="13"/>
  <c r="I7" i="13"/>
  <c r="J7" i="13"/>
  <c r="K7" i="13"/>
  <c r="L7" i="13"/>
  <c r="M7" i="13"/>
  <c r="N7" i="13"/>
  <c r="O7" i="13"/>
  <c r="P7" i="13"/>
  <c r="E8" i="27"/>
  <c r="F8" i="27"/>
  <c r="G8" i="27"/>
  <c r="H8" i="27"/>
  <c r="I8" i="27"/>
  <c r="J8" i="27"/>
  <c r="K8" i="27"/>
  <c r="L8" i="27"/>
  <c r="M8" i="27"/>
  <c r="N8" i="27"/>
  <c r="O8" i="27"/>
  <c r="P8" i="27"/>
  <c r="D9" i="27"/>
  <c r="E8" i="19"/>
  <c r="F8" i="19"/>
  <c r="G8" i="19"/>
  <c r="H8" i="19"/>
  <c r="I8" i="19"/>
  <c r="J8" i="19"/>
  <c r="K8" i="19"/>
  <c r="L8" i="19"/>
  <c r="M8" i="19"/>
  <c r="N8" i="19"/>
  <c r="O8" i="19"/>
  <c r="P8" i="19"/>
  <c r="D9" i="19"/>
  <c r="D9" i="21"/>
  <c r="E8" i="21"/>
  <c r="F8" i="21"/>
  <c r="G8" i="21"/>
  <c r="H8" i="21"/>
  <c r="I8" i="21"/>
  <c r="J8" i="21"/>
  <c r="K8" i="21"/>
  <c r="L8" i="21"/>
  <c r="M8" i="21"/>
  <c r="N8" i="21"/>
  <c r="O8" i="21"/>
  <c r="P8" i="21"/>
  <c r="D7" i="18"/>
  <c r="E6" i="18"/>
  <c r="F6" i="18"/>
  <c r="G6" i="18"/>
  <c r="H6" i="18"/>
  <c r="I6" i="18"/>
  <c r="J6" i="18"/>
  <c r="K6" i="18"/>
  <c r="L6" i="18"/>
  <c r="M6" i="18"/>
  <c r="N6" i="18"/>
  <c r="O6" i="18"/>
  <c r="P6" i="18"/>
  <c r="D7" i="23"/>
  <c r="E6" i="23"/>
  <c r="F6" i="23"/>
  <c r="G6" i="23"/>
  <c r="H6" i="23"/>
  <c r="I6" i="23"/>
  <c r="J6" i="23"/>
  <c r="K6" i="23"/>
  <c r="L6" i="23"/>
  <c r="M6" i="23"/>
  <c r="N6" i="23"/>
  <c r="O6" i="23"/>
  <c r="P6" i="23"/>
  <c r="D7" i="25"/>
  <c r="E6" i="25"/>
  <c r="F6" i="25"/>
  <c r="G6" i="25"/>
  <c r="H6" i="25"/>
  <c r="I6" i="25"/>
  <c r="J6" i="25"/>
  <c r="K6" i="25"/>
  <c r="L6" i="25"/>
  <c r="M6" i="25"/>
  <c r="N6" i="25"/>
  <c r="O6" i="25"/>
  <c r="P6" i="25"/>
  <c r="D10" i="19"/>
  <c r="E9" i="19"/>
  <c r="F9" i="19"/>
  <c r="G9" i="19"/>
  <c r="H9" i="19"/>
  <c r="I9" i="19"/>
  <c r="J9" i="19"/>
  <c r="K9" i="19"/>
  <c r="L9" i="19"/>
  <c r="M9" i="19"/>
  <c r="N9" i="19"/>
  <c r="O9" i="19"/>
  <c r="P9" i="19"/>
  <c r="D10" i="27"/>
  <c r="E9" i="27"/>
  <c r="F9" i="27"/>
  <c r="G9" i="27"/>
  <c r="H9" i="27"/>
  <c r="I9" i="27"/>
  <c r="J9" i="27"/>
  <c r="K9" i="27"/>
  <c r="L9" i="27"/>
  <c r="M9" i="27"/>
  <c r="N9" i="27"/>
  <c r="O9" i="27"/>
  <c r="P9" i="27"/>
  <c r="E7" i="18"/>
  <c r="F7" i="18"/>
  <c r="G7" i="18"/>
  <c r="H7" i="18"/>
  <c r="I7" i="18"/>
  <c r="J7" i="18"/>
  <c r="K7" i="18"/>
  <c r="L7" i="18"/>
  <c r="M7" i="18"/>
  <c r="N7" i="18"/>
  <c r="O7" i="18"/>
  <c r="P7" i="18"/>
  <c r="D8" i="18"/>
  <c r="D10" i="17"/>
  <c r="E9" i="17"/>
  <c r="F9" i="17"/>
  <c r="G9" i="17"/>
  <c r="H9" i="17"/>
  <c r="I9" i="17"/>
  <c r="J9" i="17"/>
  <c r="K9" i="17"/>
  <c r="L9" i="17"/>
  <c r="M9" i="17"/>
  <c r="N9" i="17"/>
  <c r="O9" i="17"/>
  <c r="P9" i="17"/>
  <c r="E8" i="20"/>
  <c r="F8" i="20"/>
  <c r="G8" i="20"/>
  <c r="H8" i="20"/>
  <c r="I8" i="20"/>
  <c r="J8" i="20"/>
  <c r="K8" i="20"/>
  <c r="L8" i="20"/>
  <c r="M8" i="20"/>
  <c r="N8" i="20"/>
  <c r="O8" i="20"/>
  <c r="P8" i="20"/>
  <c r="D9" i="20"/>
  <c r="E8" i="13"/>
  <c r="F8" i="13"/>
  <c r="G8" i="13"/>
  <c r="H8" i="13"/>
  <c r="I8" i="13"/>
  <c r="J8" i="13"/>
  <c r="K8" i="13"/>
  <c r="L8" i="13"/>
  <c r="M8" i="13"/>
  <c r="N8" i="13"/>
  <c r="O8" i="13"/>
  <c r="P8" i="13"/>
  <c r="D9" i="13"/>
  <c r="E7" i="25"/>
  <c r="F7" i="25"/>
  <c r="G7" i="25"/>
  <c r="H7" i="25"/>
  <c r="I7" i="25"/>
  <c r="J7" i="25"/>
  <c r="K7" i="25"/>
  <c r="L7" i="25"/>
  <c r="M7" i="25"/>
  <c r="N7" i="25"/>
  <c r="O7" i="25"/>
  <c r="P7" i="25"/>
  <c r="D8" i="25"/>
  <c r="D9" i="14"/>
  <c r="E8" i="14"/>
  <c r="F8" i="14"/>
  <c r="G8" i="14"/>
  <c r="H8" i="14"/>
  <c r="I8" i="14"/>
  <c r="J8" i="14"/>
  <c r="K8" i="14"/>
  <c r="L8" i="14"/>
  <c r="M8" i="14"/>
  <c r="N8" i="14"/>
  <c r="O8" i="14"/>
  <c r="P8" i="14"/>
  <c r="D14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D8" i="23"/>
  <c r="E7" i="23"/>
  <c r="F7" i="23"/>
  <c r="G7" i="23"/>
  <c r="H7" i="23"/>
  <c r="I7" i="23"/>
  <c r="J7" i="23"/>
  <c r="K7" i="23"/>
  <c r="L7" i="23"/>
  <c r="M7" i="23"/>
  <c r="N7" i="23"/>
  <c r="O7" i="23"/>
  <c r="P7" i="23"/>
  <c r="D9" i="28"/>
  <c r="E8" i="28"/>
  <c r="F8" i="28"/>
  <c r="G8" i="28"/>
  <c r="H8" i="28"/>
  <c r="I8" i="28"/>
  <c r="J8" i="28"/>
  <c r="K8" i="28"/>
  <c r="L8" i="28"/>
  <c r="M8" i="28"/>
  <c r="N8" i="28"/>
  <c r="O8" i="28"/>
  <c r="P8" i="28"/>
  <c r="D9" i="29"/>
  <c r="E8" i="29"/>
  <c r="F8" i="29"/>
  <c r="G8" i="29"/>
  <c r="H8" i="29"/>
  <c r="I8" i="29"/>
  <c r="J8" i="29"/>
  <c r="K8" i="29"/>
  <c r="L8" i="29"/>
  <c r="M8" i="29"/>
  <c r="N8" i="29"/>
  <c r="O8" i="29"/>
  <c r="P8" i="29"/>
  <c r="D10" i="16"/>
  <c r="E9" i="16"/>
  <c r="F9" i="16"/>
  <c r="G9" i="16"/>
  <c r="H9" i="16"/>
  <c r="I9" i="16"/>
  <c r="J9" i="16"/>
  <c r="K9" i="16"/>
  <c r="L9" i="16"/>
  <c r="M9" i="16"/>
  <c r="N9" i="16"/>
  <c r="O9" i="16"/>
  <c r="P9" i="16"/>
  <c r="D10" i="21"/>
  <c r="E9" i="21"/>
  <c r="F9" i="21"/>
  <c r="G9" i="21"/>
  <c r="H9" i="21"/>
  <c r="I9" i="21"/>
  <c r="J9" i="21"/>
  <c r="K9" i="21"/>
  <c r="L9" i="21"/>
  <c r="M9" i="21"/>
  <c r="N9" i="21"/>
  <c r="O9" i="21"/>
  <c r="P9" i="21"/>
  <c r="D9" i="22"/>
  <c r="E8" i="22"/>
  <c r="F8" i="22"/>
  <c r="G8" i="22"/>
  <c r="H8" i="22"/>
  <c r="I8" i="22"/>
  <c r="J8" i="22"/>
  <c r="K8" i="22"/>
  <c r="L8" i="22"/>
  <c r="M8" i="22"/>
  <c r="N8" i="22"/>
  <c r="O8" i="22"/>
  <c r="P8" i="22"/>
  <c r="D9" i="24"/>
  <c r="E8" i="24"/>
  <c r="F8" i="24"/>
  <c r="G8" i="24"/>
  <c r="H8" i="24"/>
  <c r="I8" i="24"/>
  <c r="J8" i="24"/>
  <c r="K8" i="24"/>
  <c r="L8" i="24"/>
  <c r="M8" i="24"/>
  <c r="N8" i="24"/>
  <c r="O8" i="24"/>
  <c r="P8" i="24"/>
  <c r="D10" i="20"/>
  <c r="E9" i="20"/>
  <c r="F9" i="20"/>
  <c r="G9" i="20"/>
  <c r="H9" i="20"/>
  <c r="I9" i="20"/>
  <c r="J9" i="20"/>
  <c r="K9" i="20"/>
  <c r="L9" i="20"/>
  <c r="M9" i="20"/>
  <c r="N9" i="20"/>
  <c r="O9" i="20"/>
  <c r="P9" i="20"/>
  <c r="D10" i="28"/>
  <c r="E9" i="28"/>
  <c r="F9" i="28"/>
  <c r="G9" i="28"/>
  <c r="H9" i="28"/>
  <c r="I9" i="28"/>
  <c r="J9" i="28"/>
  <c r="K9" i="28"/>
  <c r="L9" i="28"/>
  <c r="M9" i="28"/>
  <c r="N9" i="28"/>
  <c r="O9" i="28"/>
  <c r="P9" i="28"/>
  <c r="D9" i="23"/>
  <c r="E8" i="23"/>
  <c r="F8" i="23"/>
  <c r="G8" i="23"/>
  <c r="H8" i="23"/>
  <c r="I8" i="23"/>
  <c r="J8" i="23"/>
  <c r="K8" i="23"/>
  <c r="L8" i="23"/>
  <c r="M8" i="23"/>
  <c r="N8" i="23"/>
  <c r="O8" i="23"/>
  <c r="P8" i="23"/>
  <c r="E9" i="22"/>
  <c r="F9" i="22"/>
  <c r="G9" i="22"/>
  <c r="H9" i="22"/>
  <c r="I9" i="22"/>
  <c r="J9" i="22"/>
  <c r="K9" i="22"/>
  <c r="L9" i="22"/>
  <c r="M9" i="22"/>
  <c r="N9" i="22"/>
  <c r="O9" i="22"/>
  <c r="P9" i="22"/>
  <c r="D10" i="22"/>
  <c r="E9" i="13"/>
  <c r="F9" i="13"/>
  <c r="G9" i="13"/>
  <c r="H9" i="13"/>
  <c r="I9" i="13"/>
  <c r="J9" i="13"/>
  <c r="K9" i="13"/>
  <c r="L9" i="13"/>
  <c r="M9" i="13"/>
  <c r="N9" i="13"/>
  <c r="O9" i="13"/>
  <c r="P9" i="13"/>
  <c r="D10" i="13"/>
  <c r="E9" i="29"/>
  <c r="F9" i="29"/>
  <c r="G9" i="29"/>
  <c r="H9" i="29"/>
  <c r="I9" i="29"/>
  <c r="J9" i="29"/>
  <c r="K9" i="29"/>
  <c r="L9" i="29"/>
  <c r="M9" i="29"/>
  <c r="N9" i="29"/>
  <c r="O9" i="29"/>
  <c r="P9" i="29"/>
  <c r="D10" i="29"/>
  <c r="D10" i="24"/>
  <c r="E9" i="24"/>
  <c r="F9" i="24"/>
  <c r="G9" i="24"/>
  <c r="H9" i="24"/>
  <c r="I9" i="24"/>
  <c r="J9" i="24"/>
  <c r="K9" i="24"/>
  <c r="L9" i="24"/>
  <c r="M9" i="24"/>
  <c r="N9" i="24"/>
  <c r="O9" i="24"/>
  <c r="P9" i="24"/>
  <c r="D11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D10" i="14"/>
  <c r="E9" i="14"/>
  <c r="F9" i="14"/>
  <c r="G9" i="14"/>
  <c r="H9" i="14"/>
  <c r="I9" i="14"/>
  <c r="J9" i="14"/>
  <c r="K9" i="14"/>
  <c r="L9" i="14"/>
  <c r="M9" i="14"/>
  <c r="N9" i="14"/>
  <c r="O9" i="14"/>
  <c r="P9" i="14"/>
  <c r="D11" i="27"/>
  <c r="E10" i="27"/>
  <c r="F10" i="27"/>
  <c r="G10" i="27"/>
  <c r="H10" i="27"/>
  <c r="I10" i="27"/>
  <c r="J10" i="27"/>
  <c r="K10" i="27"/>
  <c r="L10" i="27"/>
  <c r="M10" i="27"/>
  <c r="N10" i="27"/>
  <c r="O10" i="27"/>
  <c r="P10" i="27"/>
  <c r="D9" i="18"/>
  <c r="E8" i="18"/>
  <c r="F8" i="18"/>
  <c r="G8" i="18"/>
  <c r="H8" i="18"/>
  <c r="I8" i="18"/>
  <c r="J8" i="18"/>
  <c r="K8" i="18"/>
  <c r="L8" i="18"/>
  <c r="M8" i="18"/>
  <c r="N8" i="18"/>
  <c r="O8" i="18"/>
  <c r="P8" i="18"/>
  <c r="D15" i="26"/>
  <c r="E14" i="26"/>
  <c r="F14" i="26"/>
  <c r="G14" i="26"/>
  <c r="H14" i="26"/>
  <c r="I14" i="26"/>
  <c r="J14" i="26"/>
  <c r="K14" i="26"/>
  <c r="L14" i="26"/>
  <c r="M14" i="26"/>
  <c r="N14" i="26"/>
  <c r="O14" i="26"/>
  <c r="P14" i="26"/>
  <c r="D9" i="25"/>
  <c r="E8" i="25"/>
  <c r="F8" i="25"/>
  <c r="G8" i="25"/>
  <c r="H8" i="25"/>
  <c r="I8" i="25"/>
  <c r="J8" i="25"/>
  <c r="K8" i="25"/>
  <c r="L8" i="25"/>
  <c r="M8" i="25"/>
  <c r="N8" i="25"/>
  <c r="O8" i="25"/>
  <c r="P8" i="25"/>
  <c r="D11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E10" i="16"/>
  <c r="F10" i="16"/>
  <c r="G10" i="16"/>
  <c r="H10" i="16"/>
  <c r="I10" i="16"/>
  <c r="J10" i="16"/>
  <c r="K10" i="16"/>
  <c r="L10" i="16"/>
  <c r="M10" i="16"/>
  <c r="N10" i="16"/>
  <c r="O10" i="16"/>
  <c r="P10" i="16"/>
  <c r="D11" i="16"/>
  <c r="D11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D10" i="23"/>
  <c r="E9" i="23"/>
  <c r="F9" i="23"/>
  <c r="G9" i="23"/>
  <c r="H9" i="23"/>
  <c r="I9" i="23"/>
  <c r="J9" i="23"/>
  <c r="K9" i="23"/>
  <c r="L9" i="23"/>
  <c r="M9" i="23"/>
  <c r="N9" i="23"/>
  <c r="O9" i="23"/>
  <c r="P9" i="23"/>
  <c r="D11" i="29"/>
  <c r="E10" i="29"/>
  <c r="F10" i="29"/>
  <c r="G10" i="29"/>
  <c r="H10" i="29"/>
  <c r="I10" i="29"/>
  <c r="J10" i="29"/>
  <c r="K10" i="29"/>
  <c r="L10" i="29"/>
  <c r="M10" i="29"/>
  <c r="N10" i="29"/>
  <c r="O10" i="29"/>
  <c r="P10" i="29"/>
  <c r="E10" i="13"/>
  <c r="F10" i="13"/>
  <c r="G10" i="13"/>
  <c r="H10" i="13"/>
  <c r="I10" i="13"/>
  <c r="J10" i="13"/>
  <c r="K10" i="13"/>
  <c r="L10" i="13"/>
  <c r="M10" i="13"/>
  <c r="N10" i="13"/>
  <c r="O10" i="13"/>
  <c r="P10" i="13"/>
  <c r="D11" i="13"/>
  <c r="E11" i="17"/>
  <c r="F11" i="17"/>
  <c r="G11" i="17"/>
  <c r="H11" i="17"/>
  <c r="I11" i="17"/>
  <c r="J11" i="17"/>
  <c r="K11" i="17"/>
  <c r="L11" i="17"/>
  <c r="M11" i="17"/>
  <c r="N11" i="17"/>
  <c r="O11" i="17"/>
  <c r="P11" i="17"/>
  <c r="D12" i="17"/>
  <c r="E11" i="21"/>
  <c r="F11" i="21"/>
  <c r="G11" i="21"/>
  <c r="H11" i="21"/>
  <c r="I11" i="21"/>
  <c r="J11" i="21"/>
  <c r="K11" i="21"/>
  <c r="L11" i="21"/>
  <c r="M11" i="21"/>
  <c r="N11" i="21"/>
  <c r="O11" i="21"/>
  <c r="P11" i="21"/>
  <c r="D12" i="21"/>
  <c r="D11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E15" i="26"/>
  <c r="F15" i="26"/>
  <c r="G15" i="26"/>
  <c r="H15" i="26"/>
  <c r="I15" i="26"/>
  <c r="J15" i="26"/>
  <c r="K15" i="26"/>
  <c r="L15" i="26"/>
  <c r="M15" i="26"/>
  <c r="N15" i="26"/>
  <c r="O15" i="26"/>
  <c r="P15" i="26"/>
  <c r="D16" i="26"/>
  <c r="E9" i="18"/>
  <c r="F9" i="18"/>
  <c r="G9" i="18"/>
  <c r="H9" i="18"/>
  <c r="I9" i="18"/>
  <c r="J9" i="18"/>
  <c r="K9" i="18"/>
  <c r="L9" i="18"/>
  <c r="M9" i="18"/>
  <c r="N9" i="18"/>
  <c r="O9" i="18"/>
  <c r="P9" i="18"/>
  <c r="D10" i="18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D12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2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D12" i="27"/>
  <c r="E11" i="27"/>
  <c r="F11" i="27"/>
  <c r="G11" i="27"/>
  <c r="H11" i="27"/>
  <c r="I11" i="27"/>
  <c r="J11" i="27"/>
  <c r="K11" i="27"/>
  <c r="L11" i="27"/>
  <c r="M11" i="27"/>
  <c r="N11" i="27"/>
  <c r="O11" i="27"/>
  <c r="P11" i="27"/>
  <c r="D11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D10" i="25"/>
  <c r="E9" i="25"/>
  <c r="F9" i="25"/>
  <c r="G9" i="25"/>
  <c r="H9" i="25"/>
  <c r="I9" i="25"/>
  <c r="J9" i="25"/>
  <c r="K9" i="25"/>
  <c r="L9" i="25"/>
  <c r="M9" i="25"/>
  <c r="N9" i="25"/>
  <c r="O9" i="25"/>
  <c r="P9" i="25"/>
  <c r="E10" i="24"/>
  <c r="F10" i="24"/>
  <c r="G10" i="24"/>
  <c r="H10" i="24"/>
  <c r="I10" i="24"/>
  <c r="J10" i="24"/>
  <c r="K10" i="24"/>
  <c r="L10" i="24"/>
  <c r="M10" i="24"/>
  <c r="N10" i="24"/>
  <c r="O10" i="24"/>
  <c r="P10" i="24"/>
  <c r="D11" i="24"/>
  <c r="D11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D12" i="28"/>
  <c r="E11" i="28"/>
  <c r="F11" i="28"/>
  <c r="G11" i="28"/>
  <c r="H11" i="28"/>
  <c r="I11" i="28"/>
  <c r="J11" i="28"/>
  <c r="K11" i="28"/>
  <c r="L11" i="28"/>
  <c r="M11" i="28"/>
  <c r="N11" i="28"/>
  <c r="O11" i="28"/>
  <c r="P11" i="28"/>
  <c r="D13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D12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D13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D13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E12" i="17"/>
  <c r="F12" i="17"/>
  <c r="G12" i="17"/>
  <c r="H12" i="17"/>
  <c r="I12" i="17"/>
  <c r="J12" i="17"/>
  <c r="K12" i="17"/>
  <c r="L12" i="17"/>
  <c r="M12" i="17"/>
  <c r="N12" i="17"/>
  <c r="O12" i="17"/>
  <c r="P12" i="17"/>
  <c r="D13" i="17"/>
  <c r="D12" i="29"/>
  <c r="E11" i="29"/>
  <c r="F11" i="29"/>
  <c r="G11" i="29"/>
  <c r="H11" i="29"/>
  <c r="I11" i="29"/>
  <c r="J11" i="29"/>
  <c r="K11" i="29"/>
  <c r="L11" i="29"/>
  <c r="M11" i="29"/>
  <c r="N11" i="29"/>
  <c r="O11" i="29"/>
  <c r="P11" i="29"/>
  <c r="D12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D12" i="24"/>
  <c r="E11" i="24"/>
  <c r="F11" i="24"/>
  <c r="G11" i="24"/>
  <c r="H11" i="24"/>
  <c r="I11" i="24"/>
  <c r="J11" i="24"/>
  <c r="K11" i="24"/>
  <c r="L11" i="24"/>
  <c r="M11" i="24"/>
  <c r="N11" i="24"/>
  <c r="O11" i="24"/>
  <c r="P11" i="24"/>
  <c r="E12" i="27"/>
  <c r="F12" i="27"/>
  <c r="G12" i="27"/>
  <c r="H12" i="27"/>
  <c r="I12" i="27"/>
  <c r="J12" i="27"/>
  <c r="K12" i="27"/>
  <c r="L12" i="27"/>
  <c r="M12" i="27"/>
  <c r="N12" i="27"/>
  <c r="O12" i="27"/>
  <c r="P12" i="27"/>
  <c r="D13" i="27"/>
  <c r="D12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1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E10" i="25"/>
  <c r="F10" i="25"/>
  <c r="G10" i="25"/>
  <c r="H10" i="25"/>
  <c r="I10" i="25"/>
  <c r="J10" i="25"/>
  <c r="K10" i="25"/>
  <c r="L10" i="25"/>
  <c r="M10" i="25"/>
  <c r="N10" i="25"/>
  <c r="O10" i="25"/>
  <c r="P10" i="25"/>
  <c r="D11" i="25"/>
  <c r="D17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1" i="14"/>
  <c r="F11" i="14"/>
  <c r="G11" i="14"/>
  <c r="H11" i="14"/>
  <c r="I11" i="14"/>
  <c r="J11" i="14"/>
  <c r="K11" i="14"/>
  <c r="L11" i="14"/>
  <c r="M11" i="14"/>
  <c r="N11" i="14"/>
  <c r="O11" i="14"/>
  <c r="P11" i="14"/>
  <c r="D12" i="14"/>
  <c r="D11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E13" i="17"/>
  <c r="F13" i="17"/>
  <c r="G13" i="17"/>
  <c r="H13" i="17"/>
  <c r="I13" i="17"/>
  <c r="J13" i="17"/>
  <c r="K13" i="17"/>
  <c r="L13" i="17"/>
  <c r="M13" i="17"/>
  <c r="N13" i="17"/>
  <c r="O13" i="17"/>
  <c r="P13" i="17"/>
  <c r="D14" i="17"/>
  <c r="E13" i="19"/>
  <c r="F13" i="19"/>
  <c r="G13" i="19"/>
  <c r="H13" i="19"/>
  <c r="I13" i="19"/>
  <c r="J13" i="19"/>
  <c r="K13" i="19"/>
  <c r="L13" i="19"/>
  <c r="M13" i="19"/>
  <c r="N13" i="19"/>
  <c r="O13" i="19"/>
  <c r="P13" i="19"/>
  <c r="D14" i="19"/>
  <c r="D12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D13" i="24"/>
  <c r="E12" i="24"/>
  <c r="F12" i="24"/>
  <c r="G12" i="24"/>
  <c r="H12" i="24"/>
  <c r="I12" i="24"/>
  <c r="J12" i="24"/>
  <c r="K12" i="24"/>
  <c r="L12" i="24"/>
  <c r="M12" i="24"/>
  <c r="N12" i="24"/>
  <c r="O12" i="24"/>
  <c r="P12" i="24"/>
  <c r="D13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D13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4" i="27"/>
  <c r="E13" i="27"/>
  <c r="F13" i="27"/>
  <c r="G13" i="27"/>
  <c r="H13" i="27"/>
  <c r="I13" i="27"/>
  <c r="J13" i="27"/>
  <c r="K13" i="27"/>
  <c r="L13" i="27"/>
  <c r="M13" i="27"/>
  <c r="N13" i="27"/>
  <c r="O13" i="27"/>
  <c r="P13" i="27"/>
  <c r="D18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D13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D14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E11" i="18"/>
  <c r="F11" i="18"/>
  <c r="G11" i="18"/>
  <c r="H11" i="18"/>
  <c r="I11" i="18"/>
  <c r="J11" i="18"/>
  <c r="K11" i="18"/>
  <c r="L11" i="18"/>
  <c r="M11" i="18"/>
  <c r="N11" i="18"/>
  <c r="O11" i="18"/>
  <c r="P11" i="18"/>
  <c r="D12" i="18"/>
  <c r="D14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D12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D13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D13" i="29"/>
  <c r="E12" i="29"/>
  <c r="F12" i="29"/>
  <c r="G12" i="29"/>
  <c r="H12" i="29"/>
  <c r="I12" i="29"/>
  <c r="J12" i="29"/>
  <c r="K12" i="29"/>
  <c r="L12" i="29"/>
  <c r="M12" i="29"/>
  <c r="N12" i="29"/>
  <c r="O12" i="29"/>
  <c r="P12" i="29"/>
  <c r="D13" i="28"/>
  <c r="E12" i="28"/>
  <c r="F12" i="28"/>
  <c r="G12" i="28"/>
  <c r="H12" i="28"/>
  <c r="I12" i="28"/>
  <c r="J12" i="28"/>
  <c r="K12" i="28"/>
  <c r="L12" i="28"/>
  <c r="M12" i="28"/>
  <c r="N12" i="28"/>
  <c r="O12" i="28"/>
  <c r="P12" i="28"/>
  <c r="D14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E13" i="28"/>
  <c r="F13" i="28"/>
  <c r="G13" i="28"/>
  <c r="H13" i="28"/>
  <c r="I13" i="28"/>
  <c r="J13" i="28"/>
  <c r="K13" i="28"/>
  <c r="L13" i="28"/>
  <c r="M13" i="28"/>
  <c r="N13" i="28"/>
  <c r="O13" i="28"/>
  <c r="P13" i="28"/>
  <c r="D14" i="28"/>
  <c r="E14" i="21"/>
  <c r="F14" i="21"/>
  <c r="G14" i="21"/>
  <c r="H14" i="21"/>
  <c r="I14" i="21"/>
  <c r="J14" i="21"/>
  <c r="K14" i="21"/>
  <c r="L14" i="21"/>
  <c r="M14" i="21"/>
  <c r="N14" i="21"/>
  <c r="O14" i="21"/>
  <c r="P14" i="21"/>
  <c r="D15" i="21"/>
  <c r="D14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E12" i="23"/>
  <c r="F12" i="23"/>
  <c r="G12" i="23"/>
  <c r="H12" i="23"/>
  <c r="I12" i="23"/>
  <c r="J12" i="23"/>
  <c r="K12" i="23"/>
  <c r="L12" i="23"/>
  <c r="M12" i="23"/>
  <c r="N12" i="23"/>
  <c r="O12" i="23"/>
  <c r="P12" i="23"/>
  <c r="D13" i="23"/>
  <c r="D15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E13" i="24"/>
  <c r="F13" i="24"/>
  <c r="G13" i="24"/>
  <c r="H13" i="24"/>
  <c r="I13" i="24"/>
  <c r="J13" i="24"/>
  <c r="K13" i="24"/>
  <c r="L13" i="24"/>
  <c r="M13" i="24"/>
  <c r="N13" i="24"/>
  <c r="O13" i="24"/>
  <c r="P13" i="24"/>
  <c r="D14" i="24"/>
  <c r="D14" i="29"/>
  <c r="E13" i="29"/>
  <c r="F13" i="29"/>
  <c r="G13" i="29"/>
  <c r="H13" i="29"/>
  <c r="I13" i="29"/>
  <c r="J13" i="29"/>
  <c r="K13" i="29"/>
  <c r="L13" i="29"/>
  <c r="M13" i="29"/>
  <c r="N13" i="29"/>
  <c r="O13" i="29"/>
  <c r="P13" i="29"/>
  <c r="D19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D15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D13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D14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D15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D14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D13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D15" i="27"/>
  <c r="E14" i="27"/>
  <c r="F14" i="27"/>
  <c r="G14" i="27"/>
  <c r="H14" i="27"/>
  <c r="I14" i="27"/>
  <c r="J14" i="27"/>
  <c r="K14" i="27"/>
  <c r="L14" i="27"/>
  <c r="M14" i="27"/>
  <c r="N14" i="27"/>
  <c r="O14" i="27"/>
  <c r="P14" i="27"/>
  <c r="D16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E14" i="20"/>
  <c r="F14" i="20"/>
  <c r="G14" i="20"/>
  <c r="H14" i="20"/>
  <c r="I14" i="20"/>
  <c r="J14" i="20"/>
  <c r="K14" i="20"/>
  <c r="L14" i="20"/>
  <c r="M14" i="20"/>
  <c r="N14" i="20"/>
  <c r="O14" i="20"/>
  <c r="P14" i="20"/>
  <c r="D15" i="20"/>
  <c r="D14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E13" i="18"/>
  <c r="F13" i="18"/>
  <c r="G13" i="18"/>
  <c r="H13" i="18"/>
  <c r="I13" i="18"/>
  <c r="J13" i="18"/>
  <c r="K13" i="18"/>
  <c r="L13" i="18"/>
  <c r="M13" i="18"/>
  <c r="N13" i="18"/>
  <c r="O13" i="18"/>
  <c r="P13" i="18"/>
  <c r="D14" i="18"/>
  <c r="D15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D16" i="27"/>
  <c r="E15" i="27"/>
  <c r="F15" i="27"/>
  <c r="G15" i="27"/>
  <c r="H15" i="27"/>
  <c r="I15" i="27"/>
  <c r="J15" i="27"/>
  <c r="K15" i="27"/>
  <c r="L15" i="27"/>
  <c r="M15" i="27"/>
  <c r="N15" i="27"/>
  <c r="O15" i="27"/>
  <c r="P15" i="27"/>
  <c r="D16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E13" i="25"/>
  <c r="F13" i="25"/>
  <c r="G13" i="25"/>
  <c r="H13" i="25"/>
  <c r="I13" i="25"/>
  <c r="J13" i="25"/>
  <c r="K13" i="25"/>
  <c r="L13" i="25"/>
  <c r="M13" i="25"/>
  <c r="N13" i="25"/>
  <c r="O13" i="25"/>
  <c r="P13" i="25"/>
  <c r="D14" i="25"/>
  <c r="D20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14" i="28"/>
  <c r="F14" i="28"/>
  <c r="G14" i="28"/>
  <c r="H14" i="28"/>
  <c r="I14" i="28"/>
  <c r="J14" i="28"/>
  <c r="K14" i="28"/>
  <c r="L14" i="28"/>
  <c r="M14" i="28"/>
  <c r="N14" i="28"/>
  <c r="O14" i="28"/>
  <c r="P14" i="28"/>
  <c r="D15" i="28"/>
  <c r="D16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D15" i="29"/>
  <c r="E14" i="29"/>
  <c r="F14" i="29"/>
  <c r="G14" i="29"/>
  <c r="H14" i="29"/>
  <c r="I14" i="29"/>
  <c r="J14" i="29"/>
  <c r="K14" i="29"/>
  <c r="L14" i="29"/>
  <c r="M14" i="29"/>
  <c r="N14" i="29"/>
  <c r="O14" i="29"/>
  <c r="P14" i="29"/>
  <c r="E14" i="14"/>
  <c r="F14" i="14"/>
  <c r="G14" i="14"/>
  <c r="H14" i="14"/>
  <c r="I14" i="14"/>
  <c r="J14" i="14"/>
  <c r="K14" i="14"/>
  <c r="L14" i="14"/>
  <c r="M14" i="14"/>
  <c r="N14" i="14"/>
  <c r="O14" i="14"/>
  <c r="P14" i="14"/>
  <c r="D15" i="14"/>
  <c r="E14" i="24"/>
  <c r="F14" i="24"/>
  <c r="G14" i="24"/>
  <c r="H14" i="24"/>
  <c r="I14" i="24"/>
  <c r="J14" i="24"/>
  <c r="K14" i="24"/>
  <c r="L14" i="24"/>
  <c r="M14" i="24"/>
  <c r="N14" i="24"/>
  <c r="O14" i="24"/>
  <c r="P14" i="24"/>
  <c r="D15" i="24"/>
  <c r="E15" i="17"/>
  <c r="F15" i="17"/>
  <c r="G15" i="17"/>
  <c r="H15" i="17"/>
  <c r="I15" i="17"/>
  <c r="J15" i="17"/>
  <c r="K15" i="17"/>
  <c r="L15" i="17"/>
  <c r="M15" i="17"/>
  <c r="N15" i="17"/>
  <c r="O15" i="17"/>
  <c r="P15" i="17"/>
  <c r="D16" i="17"/>
  <c r="D15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6" i="29"/>
  <c r="E15" i="29"/>
  <c r="F15" i="29"/>
  <c r="G15" i="29"/>
  <c r="H15" i="29"/>
  <c r="I15" i="29"/>
  <c r="J15" i="29"/>
  <c r="K15" i="29"/>
  <c r="L15" i="29"/>
  <c r="M15" i="29"/>
  <c r="N15" i="29"/>
  <c r="O15" i="29"/>
  <c r="P15" i="29"/>
  <c r="D15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D16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E15" i="20"/>
  <c r="F15" i="20"/>
  <c r="G15" i="20"/>
  <c r="H15" i="20"/>
  <c r="I15" i="20"/>
  <c r="J15" i="20"/>
  <c r="K15" i="20"/>
  <c r="L15" i="20"/>
  <c r="M15" i="20"/>
  <c r="N15" i="20"/>
  <c r="O15" i="20"/>
  <c r="P15" i="20"/>
  <c r="D16" i="20"/>
  <c r="D21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D15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D17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E16" i="16"/>
  <c r="F16" i="16"/>
  <c r="G16" i="16"/>
  <c r="H16" i="16"/>
  <c r="I16" i="16"/>
  <c r="J16" i="16"/>
  <c r="K16" i="16"/>
  <c r="L16" i="16"/>
  <c r="M16" i="16"/>
  <c r="N16" i="16"/>
  <c r="O16" i="16"/>
  <c r="P16" i="16"/>
  <c r="D17" i="16"/>
  <c r="D16" i="28"/>
  <c r="E15" i="28"/>
  <c r="F15" i="28"/>
  <c r="G15" i="28"/>
  <c r="H15" i="28"/>
  <c r="I15" i="28"/>
  <c r="J15" i="28"/>
  <c r="K15" i="28"/>
  <c r="L15" i="28"/>
  <c r="M15" i="28"/>
  <c r="N15" i="28"/>
  <c r="O15" i="28"/>
  <c r="P15" i="28"/>
  <c r="D16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E16" i="17"/>
  <c r="F16" i="17"/>
  <c r="G16" i="17"/>
  <c r="H16" i="17"/>
  <c r="I16" i="17"/>
  <c r="J16" i="17"/>
  <c r="K16" i="17"/>
  <c r="L16" i="17"/>
  <c r="M16" i="17"/>
  <c r="N16" i="17"/>
  <c r="O16" i="17"/>
  <c r="P16" i="17"/>
  <c r="D17" i="17"/>
  <c r="E14" i="23"/>
  <c r="F14" i="23"/>
  <c r="G14" i="23"/>
  <c r="H14" i="23"/>
  <c r="I14" i="23"/>
  <c r="J14" i="23"/>
  <c r="K14" i="23"/>
  <c r="L14" i="23"/>
  <c r="M14" i="23"/>
  <c r="N14" i="23"/>
  <c r="O14" i="23"/>
  <c r="P14" i="23"/>
  <c r="D15" i="23"/>
  <c r="D16" i="24"/>
  <c r="E15" i="24"/>
  <c r="F15" i="24"/>
  <c r="G15" i="24"/>
  <c r="H15" i="24"/>
  <c r="I15" i="24"/>
  <c r="J15" i="24"/>
  <c r="K15" i="24"/>
  <c r="L15" i="24"/>
  <c r="M15" i="24"/>
  <c r="N15" i="24"/>
  <c r="O15" i="24"/>
  <c r="P15" i="24"/>
  <c r="E15" i="14"/>
  <c r="F15" i="14"/>
  <c r="G15" i="14"/>
  <c r="H15" i="14"/>
  <c r="I15" i="14"/>
  <c r="J15" i="14"/>
  <c r="K15" i="14"/>
  <c r="L15" i="14"/>
  <c r="M15" i="14"/>
  <c r="N15" i="14"/>
  <c r="O15" i="14"/>
  <c r="P15" i="14"/>
  <c r="D16" i="14"/>
  <c r="D17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D17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D16" i="25"/>
  <c r="E15" i="25"/>
  <c r="F15" i="25"/>
  <c r="G15" i="25"/>
  <c r="H15" i="25"/>
  <c r="I15" i="25"/>
  <c r="J15" i="25"/>
  <c r="K15" i="25"/>
  <c r="L15" i="25"/>
  <c r="M15" i="25"/>
  <c r="N15" i="25"/>
  <c r="O15" i="25"/>
  <c r="P15" i="25"/>
  <c r="E21" i="26"/>
  <c r="F21" i="26"/>
  <c r="G21" i="26"/>
  <c r="H21" i="26"/>
  <c r="I21" i="26"/>
  <c r="J21" i="26"/>
  <c r="K21" i="26"/>
  <c r="L21" i="26"/>
  <c r="M21" i="26"/>
  <c r="N21" i="26"/>
  <c r="O21" i="26"/>
  <c r="P21" i="26"/>
  <c r="D22" i="26"/>
  <c r="D18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D17" i="28"/>
  <c r="E16" i="28"/>
  <c r="F16" i="28"/>
  <c r="G16" i="28"/>
  <c r="H16" i="28"/>
  <c r="I16" i="28"/>
  <c r="J16" i="28"/>
  <c r="K16" i="28"/>
  <c r="L16" i="28"/>
  <c r="M16" i="28"/>
  <c r="N16" i="28"/>
  <c r="O16" i="28"/>
  <c r="P16" i="28"/>
  <c r="D16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D17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E16" i="22"/>
  <c r="F16" i="22"/>
  <c r="G16" i="22"/>
  <c r="H16" i="22"/>
  <c r="I16" i="22"/>
  <c r="J16" i="22"/>
  <c r="K16" i="22"/>
  <c r="L16" i="22"/>
  <c r="M16" i="22"/>
  <c r="N16" i="22"/>
  <c r="O16" i="22"/>
  <c r="P16" i="22"/>
  <c r="D17" i="22"/>
  <c r="E16" i="13"/>
  <c r="F16" i="13"/>
  <c r="G16" i="13"/>
  <c r="H16" i="13"/>
  <c r="I16" i="13"/>
  <c r="J16" i="13"/>
  <c r="K16" i="13"/>
  <c r="L16" i="13"/>
  <c r="M16" i="13"/>
  <c r="N16" i="13"/>
  <c r="O16" i="13"/>
  <c r="P16" i="13"/>
  <c r="D17" i="13"/>
  <c r="D17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E17" i="16"/>
  <c r="F17" i="16"/>
  <c r="G17" i="16"/>
  <c r="H17" i="16"/>
  <c r="I17" i="16"/>
  <c r="J17" i="16"/>
  <c r="K17" i="16"/>
  <c r="L17" i="16"/>
  <c r="M17" i="16"/>
  <c r="N17" i="16"/>
  <c r="O17" i="16"/>
  <c r="P17" i="16"/>
  <c r="D18" i="16"/>
  <c r="D16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E17" i="19"/>
  <c r="F17" i="19"/>
  <c r="G17" i="19"/>
  <c r="H17" i="19"/>
  <c r="I17" i="19"/>
  <c r="J17" i="19"/>
  <c r="K17" i="19"/>
  <c r="L17" i="19"/>
  <c r="M17" i="19"/>
  <c r="N17" i="19"/>
  <c r="O17" i="19"/>
  <c r="P17" i="19"/>
  <c r="D18" i="19"/>
  <c r="D18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D17" i="24"/>
  <c r="E16" i="24"/>
  <c r="F16" i="24"/>
  <c r="G16" i="24"/>
  <c r="H16" i="24"/>
  <c r="I16" i="24"/>
  <c r="J16" i="24"/>
  <c r="K16" i="24"/>
  <c r="L16" i="24"/>
  <c r="M16" i="24"/>
  <c r="N16" i="24"/>
  <c r="O16" i="24"/>
  <c r="P16" i="24"/>
  <c r="E17" i="27"/>
  <c r="F17" i="27"/>
  <c r="G17" i="27"/>
  <c r="H17" i="27"/>
  <c r="I17" i="27"/>
  <c r="J17" i="27"/>
  <c r="K17" i="27"/>
  <c r="L17" i="27"/>
  <c r="M17" i="27"/>
  <c r="N17" i="27"/>
  <c r="O17" i="27"/>
  <c r="P17" i="27"/>
  <c r="D18" i="27"/>
  <c r="D17" i="29"/>
  <c r="E16" i="29"/>
  <c r="F16" i="29"/>
  <c r="G16" i="29"/>
  <c r="H16" i="29"/>
  <c r="I16" i="29"/>
  <c r="J16" i="29"/>
  <c r="K16" i="29"/>
  <c r="L16" i="29"/>
  <c r="M16" i="29"/>
  <c r="N16" i="29"/>
  <c r="O16" i="29"/>
  <c r="P16" i="29"/>
  <c r="E16" i="23"/>
  <c r="F16" i="23"/>
  <c r="G16" i="23"/>
  <c r="H16" i="23"/>
  <c r="I16" i="23"/>
  <c r="J16" i="23"/>
  <c r="K16" i="23"/>
  <c r="L16" i="23"/>
  <c r="M16" i="23"/>
  <c r="N16" i="23"/>
  <c r="O16" i="23"/>
  <c r="P16" i="23"/>
  <c r="D17" i="23"/>
  <c r="E18" i="16"/>
  <c r="F18" i="16"/>
  <c r="G18" i="16"/>
  <c r="H18" i="16"/>
  <c r="I18" i="16"/>
  <c r="J18" i="16"/>
  <c r="K18" i="16"/>
  <c r="L18" i="16"/>
  <c r="M18" i="16"/>
  <c r="N18" i="16"/>
  <c r="O18" i="16"/>
  <c r="P18" i="16"/>
  <c r="D19" i="16"/>
  <c r="E18" i="17"/>
  <c r="F18" i="17"/>
  <c r="G18" i="17"/>
  <c r="H18" i="17"/>
  <c r="I18" i="17"/>
  <c r="J18" i="17"/>
  <c r="K18" i="17"/>
  <c r="L18" i="17"/>
  <c r="M18" i="17"/>
  <c r="N18" i="17"/>
  <c r="O18" i="17"/>
  <c r="P18" i="17"/>
  <c r="D19" i="17"/>
  <c r="D18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D23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D18" i="29"/>
  <c r="E17" i="29"/>
  <c r="F17" i="29"/>
  <c r="G17" i="29"/>
  <c r="H17" i="29"/>
  <c r="I17" i="29"/>
  <c r="J17" i="29"/>
  <c r="K17" i="29"/>
  <c r="L17" i="29"/>
  <c r="M17" i="29"/>
  <c r="N17" i="29"/>
  <c r="O17" i="29"/>
  <c r="P17" i="29"/>
  <c r="E17" i="20"/>
  <c r="F17" i="20"/>
  <c r="G17" i="20"/>
  <c r="H17" i="20"/>
  <c r="I17" i="20"/>
  <c r="J17" i="20"/>
  <c r="K17" i="20"/>
  <c r="L17" i="20"/>
  <c r="M17" i="20"/>
  <c r="N17" i="20"/>
  <c r="O17" i="20"/>
  <c r="P17" i="20"/>
  <c r="D18" i="20"/>
  <c r="D17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D18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D18" i="24"/>
  <c r="E17" i="24"/>
  <c r="F17" i="24"/>
  <c r="G17" i="24"/>
  <c r="H17" i="24"/>
  <c r="I17" i="24"/>
  <c r="J17" i="24"/>
  <c r="K17" i="24"/>
  <c r="L17" i="24"/>
  <c r="M17" i="24"/>
  <c r="N17" i="24"/>
  <c r="O17" i="24"/>
  <c r="P17" i="24"/>
  <c r="D19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D18" i="28"/>
  <c r="E17" i="28"/>
  <c r="F17" i="28"/>
  <c r="G17" i="28"/>
  <c r="H17" i="28"/>
  <c r="I17" i="28"/>
  <c r="J17" i="28"/>
  <c r="K17" i="28"/>
  <c r="L17" i="28"/>
  <c r="M17" i="28"/>
  <c r="N17" i="28"/>
  <c r="O17" i="28"/>
  <c r="P17" i="28"/>
  <c r="E18" i="27"/>
  <c r="F18" i="27"/>
  <c r="G18" i="27"/>
  <c r="H18" i="27"/>
  <c r="I18" i="27"/>
  <c r="J18" i="27"/>
  <c r="K18" i="27"/>
  <c r="L18" i="27"/>
  <c r="M18" i="27"/>
  <c r="N18" i="27"/>
  <c r="O18" i="27"/>
  <c r="P18" i="27"/>
  <c r="D19" i="27"/>
  <c r="D18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D19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D17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D19" i="29"/>
  <c r="E18" i="29"/>
  <c r="F18" i="29"/>
  <c r="G18" i="29"/>
  <c r="H18" i="29"/>
  <c r="I18" i="29"/>
  <c r="J18" i="29"/>
  <c r="K18" i="29"/>
  <c r="L18" i="29"/>
  <c r="M18" i="29"/>
  <c r="N18" i="29"/>
  <c r="O18" i="29"/>
  <c r="P18" i="29"/>
  <c r="E23" i="26"/>
  <c r="F23" i="26"/>
  <c r="G23" i="26"/>
  <c r="H23" i="26"/>
  <c r="I23" i="26"/>
  <c r="J23" i="26"/>
  <c r="K23" i="26"/>
  <c r="L23" i="26"/>
  <c r="M23" i="26"/>
  <c r="N23" i="26"/>
  <c r="O23" i="26"/>
  <c r="P23" i="26"/>
  <c r="D24" i="26"/>
  <c r="D19" i="24"/>
  <c r="E18" i="24"/>
  <c r="F18" i="24"/>
  <c r="G18" i="24"/>
  <c r="H18" i="24"/>
  <c r="I18" i="24"/>
  <c r="J18" i="24"/>
  <c r="K18" i="24"/>
  <c r="L18" i="24"/>
  <c r="M18" i="24"/>
  <c r="N18" i="24"/>
  <c r="O18" i="24"/>
  <c r="P18" i="24"/>
  <c r="D20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E18" i="28"/>
  <c r="F18" i="28"/>
  <c r="G18" i="28"/>
  <c r="H18" i="28"/>
  <c r="I18" i="28"/>
  <c r="J18" i="28"/>
  <c r="K18" i="28"/>
  <c r="L18" i="28"/>
  <c r="M18" i="28"/>
  <c r="N18" i="28"/>
  <c r="O18" i="28"/>
  <c r="P18" i="28"/>
  <c r="D19" i="28"/>
  <c r="D19" i="13"/>
  <c r="E18" i="13"/>
  <c r="F18" i="13"/>
  <c r="G18" i="13"/>
  <c r="H18" i="13"/>
  <c r="I18" i="13"/>
  <c r="J18" i="13"/>
  <c r="K18" i="13"/>
  <c r="L18" i="13"/>
  <c r="M18" i="13"/>
  <c r="N18" i="13"/>
  <c r="O18" i="13"/>
  <c r="P18" i="13"/>
  <c r="D20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D20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D18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D18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E18" i="14"/>
  <c r="F18" i="14"/>
  <c r="G18" i="14"/>
  <c r="H18" i="14"/>
  <c r="I18" i="14"/>
  <c r="J18" i="14"/>
  <c r="K18" i="14"/>
  <c r="L18" i="14"/>
  <c r="M18" i="14"/>
  <c r="N18" i="14"/>
  <c r="O18" i="14"/>
  <c r="P18" i="14"/>
  <c r="D19" i="14"/>
  <c r="E18" i="22"/>
  <c r="F18" i="22"/>
  <c r="G18" i="22"/>
  <c r="H18" i="22"/>
  <c r="I18" i="22"/>
  <c r="J18" i="22"/>
  <c r="K18" i="22"/>
  <c r="L18" i="22"/>
  <c r="M18" i="22"/>
  <c r="N18" i="22"/>
  <c r="O18" i="22"/>
  <c r="P18" i="22"/>
  <c r="D19" i="22"/>
  <c r="E19" i="27"/>
  <c r="F19" i="27"/>
  <c r="G19" i="27"/>
  <c r="H19" i="27"/>
  <c r="I19" i="27"/>
  <c r="J19" i="27"/>
  <c r="K19" i="27"/>
  <c r="L19" i="27"/>
  <c r="M19" i="27"/>
  <c r="N19" i="27"/>
  <c r="O19" i="27"/>
  <c r="P19" i="27"/>
  <c r="D20" i="27"/>
  <c r="E18" i="20"/>
  <c r="F18" i="20"/>
  <c r="G18" i="20"/>
  <c r="H18" i="20"/>
  <c r="I18" i="20"/>
  <c r="J18" i="20"/>
  <c r="K18" i="20"/>
  <c r="L18" i="20"/>
  <c r="M18" i="20"/>
  <c r="N18" i="20"/>
  <c r="O18" i="20"/>
  <c r="P18" i="20"/>
  <c r="D19" i="20"/>
  <c r="E17" i="23"/>
  <c r="F17" i="23"/>
  <c r="G17" i="23"/>
  <c r="H17" i="23"/>
  <c r="I17" i="23"/>
  <c r="J17" i="23"/>
  <c r="K17" i="23"/>
  <c r="L17" i="23"/>
  <c r="M17" i="23"/>
  <c r="N17" i="23"/>
  <c r="O17" i="23"/>
  <c r="P17" i="23"/>
  <c r="D18" i="23"/>
  <c r="D20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E19" i="13"/>
  <c r="F19" i="13"/>
  <c r="G19" i="13"/>
  <c r="H19" i="13"/>
  <c r="I19" i="13"/>
  <c r="J19" i="13"/>
  <c r="K19" i="13"/>
  <c r="L19" i="13"/>
  <c r="M19" i="13"/>
  <c r="N19" i="13"/>
  <c r="O19" i="13"/>
  <c r="P19" i="13"/>
  <c r="D20" i="13"/>
  <c r="E18" i="23"/>
  <c r="F18" i="23"/>
  <c r="G18" i="23"/>
  <c r="H18" i="23"/>
  <c r="I18" i="23"/>
  <c r="J18" i="23"/>
  <c r="K18" i="23"/>
  <c r="L18" i="23"/>
  <c r="M18" i="23"/>
  <c r="N18" i="23"/>
  <c r="O18" i="23"/>
  <c r="P18" i="23"/>
  <c r="D19" i="23"/>
  <c r="D20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E19" i="20"/>
  <c r="F19" i="20"/>
  <c r="G19" i="20"/>
  <c r="H19" i="20"/>
  <c r="I19" i="20"/>
  <c r="J19" i="20"/>
  <c r="K19" i="20"/>
  <c r="L19" i="20"/>
  <c r="M19" i="20"/>
  <c r="N19" i="20"/>
  <c r="O19" i="20"/>
  <c r="P19" i="20"/>
  <c r="D20" i="20"/>
  <c r="D25" i="26"/>
  <c r="E24" i="26"/>
  <c r="F24" i="26"/>
  <c r="G24" i="26"/>
  <c r="H24" i="26"/>
  <c r="I24" i="26"/>
  <c r="J24" i="26"/>
  <c r="K24" i="26"/>
  <c r="L24" i="26"/>
  <c r="M24" i="26"/>
  <c r="N24" i="26"/>
  <c r="O24" i="26"/>
  <c r="P24" i="26"/>
  <c r="E19" i="28"/>
  <c r="F19" i="28"/>
  <c r="G19" i="28"/>
  <c r="H19" i="28"/>
  <c r="I19" i="28"/>
  <c r="J19" i="28"/>
  <c r="K19" i="28"/>
  <c r="L19" i="28"/>
  <c r="M19" i="28"/>
  <c r="N19" i="28"/>
  <c r="O19" i="28"/>
  <c r="P19" i="28"/>
  <c r="D20" i="28"/>
  <c r="E18" i="18"/>
  <c r="F18" i="18"/>
  <c r="G18" i="18"/>
  <c r="H18" i="18"/>
  <c r="I18" i="18"/>
  <c r="J18" i="18"/>
  <c r="K18" i="18"/>
  <c r="L18" i="18"/>
  <c r="M18" i="18"/>
  <c r="N18" i="18"/>
  <c r="O18" i="18"/>
  <c r="P18" i="18"/>
  <c r="D19" i="18"/>
  <c r="D21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D20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D21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D19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D21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D21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D20" i="24"/>
  <c r="E19" i="24"/>
  <c r="F19" i="24"/>
  <c r="G19" i="24"/>
  <c r="H19" i="24"/>
  <c r="I19" i="24"/>
  <c r="J19" i="24"/>
  <c r="K19" i="24"/>
  <c r="L19" i="24"/>
  <c r="M19" i="24"/>
  <c r="N19" i="24"/>
  <c r="O19" i="24"/>
  <c r="P19" i="24"/>
  <c r="E20" i="16"/>
  <c r="F20" i="16"/>
  <c r="G20" i="16"/>
  <c r="H20" i="16"/>
  <c r="I20" i="16"/>
  <c r="J20" i="16"/>
  <c r="K20" i="16"/>
  <c r="L20" i="16"/>
  <c r="M20" i="16"/>
  <c r="N20" i="16"/>
  <c r="O20" i="16"/>
  <c r="P20" i="16"/>
  <c r="D21" i="16"/>
  <c r="E19" i="29"/>
  <c r="F19" i="29"/>
  <c r="G19" i="29"/>
  <c r="H19" i="29"/>
  <c r="I19" i="29"/>
  <c r="J19" i="29"/>
  <c r="K19" i="29"/>
  <c r="L19" i="29"/>
  <c r="M19" i="29"/>
  <c r="N19" i="29"/>
  <c r="O19" i="29"/>
  <c r="P19" i="29"/>
  <c r="D20" i="29"/>
  <c r="D22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D21" i="28"/>
  <c r="E20" i="28"/>
  <c r="F20" i="28"/>
  <c r="G20" i="28"/>
  <c r="H20" i="28"/>
  <c r="I20" i="28"/>
  <c r="J20" i="28"/>
  <c r="K20" i="28"/>
  <c r="L20" i="28"/>
  <c r="M20" i="28"/>
  <c r="N20" i="28"/>
  <c r="O20" i="28"/>
  <c r="P20" i="28"/>
  <c r="E25" i="26"/>
  <c r="F25" i="26"/>
  <c r="G25" i="26"/>
  <c r="H25" i="26"/>
  <c r="I25" i="26"/>
  <c r="J25" i="26"/>
  <c r="K25" i="26"/>
  <c r="L25" i="26"/>
  <c r="M25" i="26"/>
  <c r="N25" i="26"/>
  <c r="O25" i="26"/>
  <c r="P25" i="26"/>
  <c r="D26" i="26"/>
  <c r="E20" i="22"/>
  <c r="F20" i="22"/>
  <c r="G20" i="22"/>
  <c r="H20" i="22"/>
  <c r="I20" i="22"/>
  <c r="J20" i="22"/>
  <c r="K20" i="22"/>
  <c r="L20" i="22"/>
  <c r="M20" i="22"/>
  <c r="N20" i="22"/>
  <c r="O20" i="22"/>
  <c r="P20" i="22"/>
  <c r="D21" i="22"/>
  <c r="D20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D22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D20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E20" i="29"/>
  <c r="F20" i="29"/>
  <c r="G20" i="29"/>
  <c r="H20" i="29"/>
  <c r="I20" i="29"/>
  <c r="J20" i="29"/>
  <c r="K20" i="29"/>
  <c r="L20" i="29"/>
  <c r="M20" i="29"/>
  <c r="N20" i="29"/>
  <c r="O20" i="29"/>
  <c r="P20" i="29"/>
  <c r="D21" i="29"/>
  <c r="D21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D21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D21" i="24"/>
  <c r="E20" i="24"/>
  <c r="F20" i="24"/>
  <c r="G20" i="24"/>
  <c r="H20" i="24"/>
  <c r="I20" i="24"/>
  <c r="J20" i="24"/>
  <c r="K20" i="24"/>
  <c r="L20" i="24"/>
  <c r="M20" i="24"/>
  <c r="N20" i="24"/>
  <c r="O20" i="24"/>
  <c r="P20" i="24"/>
  <c r="D20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E20" i="13"/>
  <c r="F20" i="13"/>
  <c r="G20" i="13"/>
  <c r="H20" i="13"/>
  <c r="I20" i="13"/>
  <c r="J20" i="13"/>
  <c r="K20" i="13"/>
  <c r="L20" i="13"/>
  <c r="M20" i="13"/>
  <c r="N20" i="13"/>
  <c r="O20" i="13"/>
  <c r="P20" i="13"/>
  <c r="D21" i="13"/>
  <c r="D22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E21" i="16"/>
  <c r="F21" i="16"/>
  <c r="G21" i="16"/>
  <c r="H21" i="16"/>
  <c r="I21" i="16"/>
  <c r="J21" i="16"/>
  <c r="K21" i="16"/>
  <c r="L21" i="16"/>
  <c r="M21" i="16"/>
  <c r="N21" i="16"/>
  <c r="O21" i="16"/>
  <c r="P21" i="16"/>
  <c r="D22" i="16"/>
  <c r="D22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D22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D21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D22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D22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D23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D21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E22" i="27"/>
  <c r="F22" i="27"/>
  <c r="G22" i="27"/>
  <c r="H22" i="27"/>
  <c r="I22" i="27"/>
  <c r="J22" i="27"/>
  <c r="K22" i="27"/>
  <c r="L22" i="27"/>
  <c r="M22" i="27"/>
  <c r="N22" i="27"/>
  <c r="O22" i="27"/>
  <c r="P22" i="27"/>
  <c r="D23" i="27"/>
  <c r="E22" i="16"/>
  <c r="F22" i="16"/>
  <c r="G22" i="16"/>
  <c r="H22" i="16"/>
  <c r="I22" i="16"/>
  <c r="J22" i="16"/>
  <c r="K22" i="16"/>
  <c r="L22" i="16"/>
  <c r="M22" i="16"/>
  <c r="N22" i="16"/>
  <c r="O22" i="16"/>
  <c r="P22" i="16"/>
  <c r="D23" i="16"/>
  <c r="D22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D27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D22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E22" i="21"/>
  <c r="F22" i="21"/>
  <c r="G22" i="21"/>
  <c r="H22" i="21"/>
  <c r="I22" i="21"/>
  <c r="J22" i="21"/>
  <c r="K22" i="21"/>
  <c r="L22" i="21"/>
  <c r="M22" i="21"/>
  <c r="N22" i="21"/>
  <c r="O22" i="21"/>
  <c r="P22" i="21"/>
  <c r="D23" i="21"/>
  <c r="D22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D22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D21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D23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D24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D24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D28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D23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D23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D23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E23" i="17"/>
  <c r="F23" i="17"/>
  <c r="G23" i="17"/>
  <c r="H23" i="17"/>
  <c r="I23" i="17"/>
  <c r="J23" i="17"/>
  <c r="K23" i="17"/>
  <c r="L23" i="17"/>
  <c r="M23" i="17"/>
  <c r="N23" i="17"/>
  <c r="O23" i="17"/>
  <c r="P23" i="17"/>
  <c r="D24" i="17"/>
  <c r="D24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D22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D22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E21" i="25"/>
  <c r="F21" i="25"/>
  <c r="G21" i="25"/>
  <c r="H21" i="25"/>
  <c r="I21" i="25"/>
  <c r="J21" i="25"/>
  <c r="K21" i="25"/>
  <c r="L21" i="25"/>
  <c r="M21" i="25"/>
  <c r="N21" i="25"/>
  <c r="O21" i="25"/>
  <c r="P21" i="25"/>
  <c r="D22" i="25"/>
  <c r="E23" i="27"/>
  <c r="F23" i="27"/>
  <c r="G23" i="27"/>
  <c r="H23" i="27"/>
  <c r="I23" i="27"/>
  <c r="J23" i="27"/>
  <c r="K23" i="27"/>
  <c r="L23" i="27"/>
  <c r="M23" i="27"/>
  <c r="N23" i="27"/>
  <c r="O23" i="27"/>
  <c r="P23" i="27"/>
  <c r="D24" i="27"/>
  <c r="D23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D23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D23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D23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D25" i="27"/>
  <c r="E24" i="27"/>
  <c r="F24" i="27"/>
  <c r="G24" i="27"/>
  <c r="H24" i="27"/>
  <c r="I24" i="27"/>
  <c r="J24" i="27"/>
  <c r="K24" i="27"/>
  <c r="L24" i="27"/>
  <c r="M24" i="27"/>
  <c r="N24" i="27"/>
  <c r="O24" i="27"/>
  <c r="P24" i="27"/>
  <c r="D24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E23" i="24"/>
  <c r="F23" i="24"/>
  <c r="G23" i="24"/>
  <c r="H23" i="24"/>
  <c r="I23" i="24"/>
  <c r="J23" i="24"/>
  <c r="K23" i="24"/>
  <c r="L23" i="24"/>
  <c r="M23" i="24"/>
  <c r="N23" i="24"/>
  <c r="O23" i="24"/>
  <c r="P23" i="24"/>
  <c r="D24" i="24"/>
  <c r="D23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D25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D25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D24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E22" i="18"/>
  <c r="F22" i="18"/>
  <c r="G22" i="18"/>
  <c r="H22" i="18"/>
  <c r="I22" i="18"/>
  <c r="J22" i="18"/>
  <c r="K22" i="18"/>
  <c r="L22" i="18"/>
  <c r="M22" i="18"/>
  <c r="N22" i="18"/>
  <c r="O22" i="18"/>
  <c r="P22" i="18"/>
  <c r="D23" i="18"/>
  <c r="D29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4" i="17"/>
  <c r="F24" i="17"/>
  <c r="G24" i="17"/>
  <c r="H24" i="17"/>
  <c r="I24" i="17"/>
  <c r="J24" i="17"/>
  <c r="K24" i="17"/>
  <c r="L24" i="17"/>
  <c r="M24" i="17"/>
  <c r="N24" i="17"/>
  <c r="O24" i="17"/>
  <c r="P24" i="17"/>
  <c r="D25" i="17"/>
  <c r="D24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D23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D24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E23" i="13"/>
  <c r="F23" i="13"/>
  <c r="G23" i="13"/>
  <c r="H23" i="13"/>
  <c r="I23" i="13"/>
  <c r="J23" i="13"/>
  <c r="K23" i="13"/>
  <c r="L23" i="13"/>
  <c r="M23" i="13"/>
  <c r="N23" i="13"/>
  <c r="O23" i="13"/>
  <c r="P23" i="13"/>
  <c r="D24" i="13"/>
  <c r="D24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D25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D24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E24" i="24"/>
  <c r="F24" i="24"/>
  <c r="G24" i="24"/>
  <c r="H24" i="24"/>
  <c r="I24" i="24"/>
  <c r="J24" i="24"/>
  <c r="K24" i="24"/>
  <c r="L24" i="24"/>
  <c r="M24" i="24"/>
  <c r="N24" i="24"/>
  <c r="O24" i="24"/>
  <c r="P24" i="24"/>
  <c r="D25" i="24"/>
  <c r="E25" i="19"/>
  <c r="F25" i="19"/>
  <c r="G25" i="19"/>
  <c r="H25" i="19"/>
  <c r="I25" i="19"/>
  <c r="J25" i="19"/>
  <c r="K25" i="19"/>
  <c r="L25" i="19"/>
  <c r="M25" i="19"/>
  <c r="N25" i="19"/>
  <c r="O25" i="19"/>
  <c r="P25" i="19"/>
  <c r="D26" i="19"/>
  <c r="E25" i="21"/>
  <c r="F25" i="21"/>
  <c r="G25" i="21"/>
  <c r="H25" i="21"/>
  <c r="I25" i="21"/>
  <c r="J25" i="21"/>
  <c r="K25" i="21"/>
  <c r="L25" i="21"/>
  <c r="M25" i="21"/>
  <c r="N25" i="21"/>
  <c r="O25" i="21"/>
  <c r="P25" i="21"/>
  <c r="D26" i="21"/>
  <c r="D24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E24" i="29"/>
  <c r="F24" i="29"/>
  <c r="G24" i="29"/>
  <c r="H24" i="29"/>
  <c r="I24" i="29"/>
  <c r="J24" i="29"/>
  <c r="K24" i="29"/>
  <c r="L24" i="29"/>
  <c r="M24" i="29"/>
  <c r="N24" i="29"/>
  <c r="O24" i="29"/>
  <c r="P24" i="29"/>
  <c r="D25" i="29"/>
  <c r="E24" i="20"/>
  <c r="F24" i="20"/>
  <c r="G24" i="20"/>
  <c r="H24" i="20"/>
  <c r="I24" i="20"/>
  <c r="J24" i="20"/>
  <c r="K24" i="20"/>
  <c r="L24" i="20"/>
  <c r="M24" i="20"/>
  <c r="N24" i="20"/>
  <c r="O24" i="20"/>
  <c r="P24" i="20"/>
  <c r="D25" i="20"/>
  <c r="E24" i="14"/>
  <c r="F24" i="14"/>
  <c r="G24" i="14"/>
  <c r="H24" i="14"/>
  <c r="I24" i="14"/>
  <c r="J24" i="14"/>
  <c r="K24" i="14"/>
  <c r="L24" i="14"/>
  <c r="M24" i="14"/>
  <c r="N24" i="14"/>
  <c r="O24" i="14"/>
  <c r="P24" i="14"/>
  <c r="D25" i="14"/>
  <c r="D26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D26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D30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D24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D25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D25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E24" i="28"/>
  <c r="F24" i="28"/>
  <c r="G24" i="28"/>
  <c r="H24" i="28"/>
  <c r="I24" i="28"/>
  <c r="J24" i="28"/>
  <c r="K24" i="28"/>
  <c r="L24" i="28"/>
  <c r="M24" i="28"/>
  <c r="N24" i="28"/>
  <c r="O24" i="28"/>
  <c r="P24" i="28"/>
  <c r="D25" i="28"/>
  <c r="D26" i="27"/>
  <c r="E25" i="27"/>
  <c r="F25" i="27"/>
  <c r="G25" i="27"/>
  <c r="H25" i="27"/>
  <c r="I25" i="27"/>
  <c r="J25" i="27"/>
  <c r="K25" i="27"/>
  <c r="L25" i="27"/>
  <c r="M25" i="27"/>
  <c r="N25" i="27"/>
  <c r="O25" i="27"/>
  <c r="P25" i="27"/>
  <c r="D25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D26" i="28"/>
  <c r="E25" i="28"/>
  <c r="F25" i="28"/>
  <c r="G25" i="28"/>
  <c r="H25" i="28"/>
  <c r="I25" i="28"/>
  <c r="J25" i="28"/>
  <c r="K25" i="28"/>
  <c r="L25" i="28"/>
  <c r="M25" i="28"/>
  <c r="N25" i="28"/>
  <c r="O25" i="28"/>
  <c r="P25" i="28"/>
  <c r="D25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D26" i="24"/>
  <c r="E25" i="24"/>
  <c r="F25" i="24"/>
  <c r="G25" i="24"/>
  <c r="H25" i="24"/>
  <c r="I25" i="24"/>
  <c r="J25" i="24"/>
  <c r="K25" i="24"/>
  <c r="L25" i="24"/>
  <c r="M25" i="24"/>
  <c r="N25" i="24"/>
  <c r="O25" i="24"/>
  <c r="P25" i="24"/>
  <c r="D27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D27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D26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D26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D27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D27" i="27"/>
  <c r="E26" i="27"/>
  <c r="F26" i="27"/>
  <c r="G26" i="27"/>
  <c r="H26" i="27"/>
  <c r="I26" i="27"/>
  <c r="J26" i="27"/>
  <c r="K26" i="27"/>
  <c r="L26" i="27"/>
  <c r="M26" i="27"/>
  <c r="N26" i="27"/>
  <c r="O26" i="27"/>
  <c r="P26" i="27"/>
  <c r="D27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E25" i="14"/>
  <c r="F25" i="14"/>
  <c r="G25" i="14"/>
  <c r="H25" i="14"/>
  <c r="I25" i="14"/>
  <c r="J25" i="14"/>
  <c r="K25" i="14"/>
  <c r="L25" i="14"/>
  <c r="M25" i="14"/>
  <c r="N25" i="14"/>
  <c r="O25" i="14"/>
  <c r="P25" i="14"/>
  <c r="D26" i="14"/>
  <c r="D26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D26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E24" i="25"/>
  <c r="F24" i="25"/>
  <c r="G24" i="25"/>
  <c r="H24" i="25"/>
  <c r="I24" i="25"/>
  <c r="J24" i="25"/>
  <c r="K24" i="25"/>
  <c r="L24" i="25"/>
  <c r="M24" i="25"/>
  <c r="N24" i="25"/>
  <c r="O24" i="25"/>
  <c r="P24" i="25"/>
  <c r="D25" i="25"/>
  <c r="E26" i="14"/>
  <c r="F26" i="14"/>
  <c r="G26" i="14"/>
  <c r="H26" i="14"/>
  <c r="I26" i="14"/>
  <c r="J26" i="14"/>
  <c r="K26" i="14"/>
  <c r="L26" i="14"/>
  <c r="M26" i="14"/>
  <c r="N26" i="14"/>
  <c r="O26" i="14"/>
  <c r="P26" i="14"/>
  <c r="D27" i="14"/>
  <c r="E27" i="17"/>
  <c r="F27" i="17"/>
  <c r="G27" i="17"/>
  <c r="H27" i="17"/>
  <c r="I27" i="17"/>
  <c r="J27" i="17"/>
  <c r="K27" i="17"/>
  <c r="L27" i="17"/>
  <c r="M27" i="17"/>
  <c r="N27" i="17"/>
  <c r="O27" i="17"/>
  <c r="P27" i="17"/>
  <c r="D28" i="17"/>
  <c r="D28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E26" i="24"/>
  <c r="F26" i="24"/>
  <c r="G26" i="24"/>
  <c r="H26" i="24"/>
  <c r="I26" i="24"/>
  <c r="J26" i="24"/>
  <c r="K26" i="24"/>
  <c r="L26" i="24"/>
  <c r="M26" i="24"/>
  <c r="N26" i="24"/>
  <c r="O26" i="24"/>
  <c r="P26" i="24"/>
  <c r="D27" i="24"/>
  <c r="E25" i="25"/>
  <c r="F25" i="25"/>
  <c r="G25" i="25"/>
  <c r="H25" i="25"/>
  <c r="I25" i="25"/>
  <c r="J25" i="25"/>
  <c r="K25" i="25"/>
  <c r="L25" i="25"/>
  <c r="M25" i="25"/>
  <c r="N25" i="25"/>
  <c r="O25" i="25"/>
  <c r="P25" i="25"/>
  <c r="D26" i="25"/>
  <c r="D27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D27" i="28"/>
  <c r="E26" i="28"/>
  <c r="F26" i="28"/>
  <c r="G26" i="28"/>
  <c r="H26" i="28"/>
  <c r="I26" i="28"/>
  <c r="J26" i="28"/>
  <c r="K26" i="28"/>
  <c r="L26" i="28"/>
  <c r="M26" i="28"/>
  <c r="N26" i="28"/>
  <c r="O26" i="28"/>
  <c r="P26" i="28"/>
  <c r="D28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D26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E27" i="19"/>
  <c r="F27" i="19"/>
  <c r="G27" i="19"/>
  <c r="H27" i="19"/>
  <c r="I27" i="19"/>
  <c r="J27" i="19"/>
  <c r="K27" i="19"/>
  <c r="L27" i="19"/>
  <c r="M27" i="19"/>
  <c r="N27" i="19"/>
  <c r="O27" i="19"/>
  <c r="P27" i="19"/>
  <c r="D28" i="19"/>
  <c r="D28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E26" i="29"/>
  <c r="F26" i="29"/>
  <c r="G26" i="29"/>
  <c r="H26" i="29"/>
  <c r="I26" i="29"/>
  <c r="J26" i="29"/>
  <c r="K26" i="29"/>
  <c r="L26" i="29"/>
  <c r="M26" i="29"/>
  <c r="N26" i="29"/>
  <c r="O26" i="29"/>
  <c r="P26" i="29"/>
  <c r="D27" i="29"/>
  <c r="E26" i="20"/>
  <c r="F26" i="20"/>
  <c r="G26" i="20"/>
  <c r="H26" i="20"/>
  <c r="I26" i="20"/>
  <c r="J26" i="20"/>
  <c r="K26" i="20"/>
  <c r="L26" i="20"/>
  <c r="M26" i="20"/>
  <c r="N26" i="20"/>
  <c r="O26" i="20"/>
  <c r="P26" i="20"/>
  <c r="D27" i="20"/>
  <c r="D27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D26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E27" i="24"/>
  <c r="F27" i="24"/>
  <c r="G27" i="24"/>
  <c r="H27" i="24"/>
  <c r="I27" i="24"/>
  <c r="J27" i="24"/>
  <c r="K27" i="24"/>
  <c r="L27" i="24"/>
  <c r="M27" i="24"/>
  <c r="N27" i="24"/>
  <c r="O27" i="24"/>
  <c r="P27" i="24"/>
  <c r="D28" i="24"/>
  <c r="D29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D27" i="25"/>
  <c r="E26" i="25"/>
  <c r="F26" i="25"/>
  <c r="G26" i="25"/>
  <c r="H26" i="25"/>
  <c r="I26" i="25"/>
  <c r="J26" i="25"/>
  <c r="K26" i="25"/>
  <c r="L26" i="25"/>
  <c r="M26" i="25"/>
  <c r="N26" i="25"/>
  <c r="O26" i="25"/>
  <c r="P26" i="25"/>
  <c r="E28" i="19"/>
  <c r="F28" i="19"/>
  <c r="G28" i="19"/>
  <c r="H28" i="19"/>
  <c r="I28" i="19"/>
  <c r="J28" i="19"/>
  <c r="K28" i="19"/>
  <c r="L28" i="19"/>
  <c r="M28" i="19"/>
  <c r="N28" i="19"/>
  <c r="O28" i="19"/>
  <c r="P28" i="19"/>
  <c r="D29" i="19"/>
  <c r="E26" i="23"/>
  <c r="F26" i="23"/>
  <c r="G26" i="23"/>
  <c r="H26" i="23"/>
  <c r="I26" i="23"/>
  <c r="J26" i="23"/>
  <c r="K26" i="23"/>
  <c r="L26" i="23"/>
  <c r="M26" i="23"/>
  <c r="N26" i="23"/>
  <c r="O26" i="23"/>
  <c r="P26" i="23"/>
  <c r="D27" i="23"/>
  <c r="D29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E28" i="17"/>
  <c r="F28" i="17"/>
  <c r="G28" i="17"/>
  <c r="H28" i="17"/>
  <c r="I28" i="17"/>
  <c r="J28" i="17"/>
  <c r="K28" i="17"/>
  <c r="L28" i="17"/>
  <c r="M28" i="17"/>
  <c r="N28" i="17"/>
  <c r="O28" i="17"/>
  <c r="P28" i="17"/>
  <c r="D29" i="17"/>
  <c r="D28" i="29"/>
  <c r="E27" i="29"/>
  <c r="F27" i="29"/>
  <c r="G27" i="29"/>
  <c r="H27" i="29"/>
  <c r="I27" i="29"/>
  <c r="J27" i="29"/>
  <c r="K27" i="29"/>
  <c r="L27" i="29"/>
  <c r="M27" i="29"/>
  <c r="N27" i="29"/>
  <c r="O27" i="29"/>
  <c r="P27" i="29"/>
  <c r="D28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D28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D28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D27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E28" i="16"/>
  <c r="F28" i="16"/>
  <c r="G28" i="16"/>
  <c r="H28" i="16"/>
  <c r="I28" i="16"/>
  <c r="J28" i="16"/>
  <c r="K28" i="16"/>
  <c r="L28" i="16"/>
  <c r="M28" i="16"/>
  <c r="N28" i="16"/>
  <c r="O28" i="16"/>
  <c r="P28" i="16"/>
  <c r="D29" i="16"/>
  <c r="D28" i="20"/>
  <c r="E27" i="20"/>
  <c r="F27" i="20"/>
  <c r="G27" i="20"/>
  <c r="H27" i="20"/>
  <c r="I27" i="20"/>
  <c r="J27" i="20"/>
  <c r="K27" i="20"/>
  <c r="L27" i="20"/>
  <c r="M27" i="20"/>
  <c r="N27" i="20"/>
  <c r="O27" i="20"/>
  <c r="P27" i="20"/>
  <c r="D28" i="28"/>
  <c r="E27" i="28"/>
  <c r="F27" i="28"/>
  <c r="G27" i="28"/>
  <c r="H27" i="28"/>
  <c r="I27" i="28"/>
  <c r="J27" i="28"/>
  <c r="K27" i="28"/>
  <c r="L27" i="28"/>
  <c r="M27" i="28"/>
  <c r="N27" i="28"/>
  <c r="O27" i="28"/>
  <c r="P27" i="28"/>
  <c r="D28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E29" i="19"/>
  <c r="F29" i="19"/>
  <c r="G29" i="19"/>
  <c r="H29" i="19"/>
  <c r="I29" i="19"/>
  <c r="J29" i="19"/>
  <c r="K29" i="19"/>
  <c r="L29" i="19"/>
  <c r="M29" i="19"/>
  <c r="N29" i="19"/>
  <c r="O29" i="19"/>
  <c r="P29" i="19"/>
  <c r="D30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D29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D29" i="28"/>
  <c r="E28" i="28"/>
  <c r="F28" i="28"/>
  <c r="G28" i="28"/>
  <c r="H28" i="28"/>
  <c r="I28" i="28"/>
  <c r="J28" i="28"/>
  <c r="K28" i="28"/>
  <c r="L28" i="28"/>
  <c r="M28" i="28"/>
  <c r="N28" i="28"/>
  <c r="O28" i="28"/>
  <c r="P28" i="28"/>
  <c r="D29" i="13"/>
  <c r="E28" i="13"/>
  <c r="F28" i="13"/>
  <c r="G28" i="13"/>
  <c r="H28" i="13"/>
  <c r="I28" i="13"/>
  <c r="J28" i="13"/>
  <c r="K28" i="13"/>
  <c r="L28" i="13"/>
  <c r="M28" i="13"/>
  <c r="N28" i="13"/>
  <c r="O28" i="13"/>
  <c r="P28" i="13"/>
  <c r="D28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D29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D30" i="21"/>
  <c r="E30" i="21"/>
  <c r="F30" i="21"/>
  <c r="G30" i="21"/>
  <c r="H30" i="21"/>
  <c r="I30" i="21"/>
  <c r="J30" i="21"/>
  <c r="K30" i="21"/>
  <c r="L30" i="21"/>
  <c r="M30" i="21"/>
  <c r="N30" i="21"/>
  <c r="O30" i="21"/>
  <c r="P30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E28" i="14"/>
  <c r="F28" i="14"/>
  <c r="G28" i="14"/>
  <c r="H28" i="14"/>
  <c r="I28" i="14"/>
  <c r="J28" i="14"/>
  <c r="K28" i="14"/>
  <c r="L28" i="14"/>
  <c r="M28" i="14"/>
  <c r="N28" i="14"/>
  <c r="O28" i="14"/>
  <c r="P28" i="14"/>
  <c r="D29" i="14"/>
  <c r="E28" i="20"/>
  <c r="F28" i="20"/>
  <c r="G28" i="20"/>
  <c r="H28" i="20"/>
  <c r="I28" i="20"/>
  <c r="J28" i="20"/>
  <c r="K28" i="20"/>
  <c r="L28" i="20"/>
  <c r="M28" i="20"/>
  <c r="N28" i="20"/>
  <c r="O28" i="20"/>
  <c r="P28" i="20"/>
  <c r="D29" i="20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D29" i="24"/>
  <c r="E28" i="24"/>
  <c r="F28" i="24"/>
  <c r="G28" i="24"/>
  <c r="H28" i="24"/>
  <c r="I28" i="24"/>
  <c r="J28" i="24"/>
  <c r="K28" i="24"/>
  <c r="L28" i="24"/>
  <c r="M28" i="24"/>
  <c r="N28" i="24"/>
  <c r="O28" i="24"/>
  <c r="P28" i="24"/>
  <c r="E29" i="27"/>
  <c r="F29" i="27"/>
  <c r="G29" i="27"/>
  <c r="H29" i="27"/>
  <c r="I29" i="27"/>
  <c r="J29" i="27"/>
  <c r="K29" i="27"/>
  <c r="L29" i="27"/>
  <c r="M29" i="27"/>
  <c r="N29" i="27"/>
  <c r="O29" i="27"/>
  <c r="P29" i="27"/>
  <c r="D30" i="27"/>
  <c r="E30" i="27"/>
  <c r="F30" i="27"/>
  <c r="G30" i="27"/>
  <c r="H30" i="27"/>
  <c r="I30" i="27"/>
  <c r="J30" i="27"/>
  <c r="K30" i="27"/>
  <c r="L30" i="27"/>
  <c r="M30" i="27"/>
  <c r="N30" i="27"/>
  <c r="O30" i="27"/>
  <c r="P30" i="27"/>
  <c r="E27" i="23"/>
  <c r="F27" i="23"/>
  <c r="G27" i="23"/>
  <c r="H27" i="23"/>
  <c r="I27" i="23"/>
  <c r="J27" i="23"/>
  <c r="K27" i="23"/>
  <c r="L27" i="23"/>
  <c r="M27" i="23"/>
  <c r="N27" i="23"/>
  <c r="O27" i="23"/>
  <c r="P27" i="23"/>
  <c r="D28" i="23"/>
  <c r="D29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E29" i="13"/>
  <c r="F29" i="13"/>
  <c r="G29" i="13"/>
  <c r="H29" i="13"/>
  <c r="I29" i="13"/>
  <c r="J29" i="13"/>
  <c r="K29" i="13"/>
  <c r="L29" i="13"/>
  <c r="M29" i="13"/>
  <c r="N29" i="13"/>
  <c r="O29" i="13"/>
  <c r="P29" i="13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D30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D29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E29" i="14"/>
  <c r="F29" i="14"/>
  <c r="G29" i="14"/>
  <c r="H29" i="14"/>
  <c r="I29" i="14"/>
  <c r="J29" i="14"/>
  <c r="K29" i="14"/>
  <c r="L29" i="14"/>
  <c r="M29" i="14"/>
  <c r="N29" i="14"/>
  <c r="O29" i="14"/>
  <c r="P29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E29" i="28"/>
  <c r="F29" i="28"/>
  <c r="G29" i="28"/>
  <c r="H29" i="28"/>
  <c r="I29" i="28"/>
  <c r="J29" i="28"/>
  <c r="K29" i="28"/>
  <c r="L29" i="28"/>
  <c r="M29" i="28"/>
  <c r="N29" i="28"/>
  <c r="O29" i="28"/>
  <c r="P29" i="28"/>
  <c r="D30" i="28"/>
  <c r="E30" i="28"/>
  <c r="F30" i="28"/>
  <c r="G30" i="28"/>
  <c r="H30" i="28"/>
  <c r="I30" i="28"/>
  <c r="J30" i="28"/>
  <c r="K30" i="28"/>
  <c r="L30" i="28"/>
  <c r="M30" i="28"/>
  <c r="N30" i="28"/>
  <c r="O30" i="28"/>
  <c r="P30" i="28"/>
  <c r="E29" i="22"/>
  <c r="F29" i="22"/>
  <c r="G29" i="22"/>
  <c r="H29" i="22"/>
  <c r="I29" i="22"/>
  <c r="J29" i="22"/>
  <c r="K29" i="22"/>
  <c r="L29" i="22"/>
  <c r="M29" i="22"/>
  <c r="N29" i="22"/>
  <c r="O29" i="22"/>
  <c r="P29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D30" i="24"/>
  <c r="E30" i="24"/>
  <c r="F30" i="24"/>
  <c r="G30" i="24"/>
  <c r="H30" i="24"/>
  <c r="I30" i="24"/>
  <c r="J30" i="24"/>
  <c r="K30" i="24"/>
  <c r="L30" i="24"/>
  <c r="M30" i="24"/>
  <c r="N30" i="24"/>
  <c r="O30" i="24"/>
  <c r="P30" i="24"/>
  <c r="E29" i="24"/>
  <c r="F29" i="24"/>
  <c r="G29" i="24"/>
  <c r="H29" i="24"/>
  <c r="I29" i="24"/>
  <c r="J29" i="24"/>
  <c r="K29" i="24"/>
  <c r="L29" i="24"/>
  <c r="M29" i="24"/>
  <c r="N29" i="24"/>
  <c r="O29" i="24"/>
  <c r="P29" i="24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D29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E29" i="23"/>
  <c r="F29" i="23"/>
  <c r="G29" i="23"/>
  <c r="H29" i="23"/>
  <c r="I29" i="23"/>
  <c r="J29" i="23"/>
  <c r="K29" i="23"/>
  <c r="L29" i="23"/>
  <c r="M29" i="23"/>
  <c r="N29" i="23"/>
  <c r="O29" i="23"/>
  <c r="P29" i="23"/>
  <c r="D30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D30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H3" i="1"/>
  <c r="G8" i="1"/>
  <c r="F37" i="2"/>
  <c r="N31" i="2"/>
  <c r="L31" i="2" s="1"/>
  <c r="N32" i="2"/>
  <c r="L32" i="2" s="1"/>
  <c r="F36" i="2"/>
  <c r="F33" i="2"/>
  <c r="M27" i="2"/>
  <c r="K27" i="2" s="1"/>
  <c r="M24" i="2"/>
  <c r="M26" i="2"/>
  <c r="K26" i="2" s="1"/>
  <c r="G25" i="2"/>
  <c r="N35" i="2"/>
  <c r="L35" i="2" s="1"/>
  <c r="F32" i="2"/>
  <c r="G27" i="2"/>
  <c r="H34" i="2"/>
  <c r="H31" i="2"/>
  <c r="G26" i="2"/>
  <c r="G24" i="2"/>
  <c r="H33" i="2"/>
  <c r="H35" i="2"/>
  <c r="F34" i="2"/>
  <c r="N36" i="2"/>
  <c r="L36" i="2" s="1"/>
  <c r="H37" i="2"/>
  <c r="E24" i="2"/>
  <c r="E26" i="2"/>
  <c r="E25" i="2"/>
  <c r="H32" i="2"/>
  <c r="N34" i="2"/>
  <c r="L34" i="2" s="1"/>
  <c r="N37" i="2"/>
  <c r="L37" i="2" s="1"/>
  <c r="H36" i="2"/>
  <c r="N33" i="2"/>
  <c r="L33" i="2" s="1"/>
  <c r="E27" i="2"/>
  <c r="M25" i="2"/>
  <c r="K25" i="2" s="1"/>
  <c r="F31" i="2"/>
  <c r="G29" i="2" l="1"/>
  <c r="H38" i="2"/>
  <c r="H39" i="2" s="1"/>
  <c r="F38" i="2"/>
  <c r="F39" i="2" s="1"/>
  <c r="E29" i="2"/>
  <c r="M29" i="2"/>
  <c r="K29" i="2" s="1"/>
  <c r="N38" i="2"/>
  <c r="L38" i="2" s="1"/>
  <c r="N39" i="2" l="1"/>
  <c r="L39" i="2" s="1"/>
</calcChain>
</file>

<file path=xl/sharedStrings.xml><?xml version="1.0" encoding="utf-8"?>
<sst xmlns="http://schemas.openxmlformats.org/spreadsheetml/2006/main" count="1917" uniqueCount="492">
  <si>
    <t>Variabili del periodo</t>
  </si>
  <si>
    <t>Quarter</t>
  </si>
  <si>
    <t>Mese</t>
  </si>
  <si>
    <t>Anno</t>
  </si>
  <si>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</si>
  <si>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</si>
  <si>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</si>
  <si>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</si>
  <si>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</si>
  <si>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</si>
  <si>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</si>
  <si>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</si>
  <si>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</si>
  <si>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</si>
  <si>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</si>
  <si>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</si>
  <si>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</si>
  <si>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</si>
  <si>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</si>
  <si>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</si>
  <si>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</si>
  <si>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</si>
  <si>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</si>
  <si>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</si>
  <si>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</si>
  <si>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</si>
  <si>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</si>
  <si>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</si>
  <si>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</si>
  <si>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</si>
  <si>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</si>
  <si>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</si>
  <si>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</si>
  <si>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</si>
  <si>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</si>
  <si>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</si>
  <si>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</si>
  <si>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</si>
  <si>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</si>
  <si>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</si>
  <si>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</si>
  <si>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</si>
  <si>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</si>
  <si>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</si>
  <si>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</si>
  <si>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</si>
  <si>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</si>
  <si>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</si>
  <si>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</si>
  <si>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</si>
  <si>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</si>
  <si>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</si>
  <si>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</si>
  <si>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</si>
  <si>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</si>
  <si>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</si>
  <si>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BussinessArea Cluster 1_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</si>
  <si>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</si>
  <si>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</si>
  <si>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</si>
  <si>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</si>
  <si>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</si>
  <si>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</si>
  <si>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</si>
  <si>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</si>
  <si>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</si>
  <si>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</si>
  <si>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</si>
  <si>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</si>
  <si>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</si>
  <si>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</si>
  <si>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</si>
  <si>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</si>
  <si>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</si>
  <si>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</si>
  <si>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</si>
  <si>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</si>
  <si>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</si>
  <si>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</si>
  <si>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</si>
  <si>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</si>
  <si>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</si>
  <si>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</si>
  <si>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</si>
  <si>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</si>
  <si>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</si>
  <si>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</si>
  <si>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</si>
  <si>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</si>
  <si>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</si>
  <si>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</si>
  <si>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</si>
  <si>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</si>
  <si>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</si>
  <si>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</si>
  <si>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</si>
  <si>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</si>
  <si>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</si>
  <si>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</si>
  <si>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</si>
  <si>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</si>
  <si>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</si>
  <si>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</si>
  <si>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</si>
  <si>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</si>
  <si>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</si>
  <si>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</si>
  <si>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</si>
  <si>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</si>
  <si>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</si>
  <si>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</si>
  <si>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</si>
  <si>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</si>
  <si>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</si>
  <si>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</si>
  <si>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</si>
  <si>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</si>
  <si>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</si>
  <si>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</si>
  <si>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</si>
  <si>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</si>
  <si>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</si>
  <si>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</si>
  <si>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</si>
  <si>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</si>
  <si>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</si>
  <si>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</si>
  <si>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</si>
  <si>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</si>
  <si>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</si>
  <si>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</si>
  <si>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</si>
  <si>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</si>
  <si>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</si>
  <si>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</si>
  <si>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</si>
  <si>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</si>
  <si>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</si>
  <si>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</si>
  <si>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</si>
  <si>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</si>
  <si>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</si>
  <si>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</si>
  <si>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</si>
  <si>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</si>
  <si>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</si>
  <si>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</si>
  <si>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</si>
  <si>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</si>
  <si>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</si>
  <si>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</si>
  <si>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</si>
  <si>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Presentazione casi test 2.pptx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</si>
  <si>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</si>
  <si>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</si>
  <si>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</si>
  <si>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</si>
  <si>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</si>
  <si>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</si>
  <si>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</si>
  <si>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</si>
  <si>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</si>
  <si>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</si>
  <si>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</si>
  <si>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Caso Pippo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</si>
  <si>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</si>
  <si>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</si>
  <si>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</si>
  <si>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</si>
  <si>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</si>
  <si>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</si>
  <si>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</si>
  <si>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</si>
  <si>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</si>
  <si>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</si>
  <si>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</si>
  <si>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</si>
  <si>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</si>
  <si>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</si>
  <si>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</si>
  <si>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</si>
  <si>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</si>
  <si>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</si>
  <si>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</si>
  <si>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</si>
  <si>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</si>
  <si>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</si>
  <si>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</si>
  <si>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</si>
  <si>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</si>
  <si>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</si>
  <si>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</si>
  <si>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</si>
  <si>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</si>
  <si>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D1:P10</t>
  </si>
  <si>
    <t>D1:P20</t>
  </si>
  <si>
    <t>D1:P30</t>
  </si>
  <si>
    <t>D1:H30</t>
  </si>
  <si>
    <t>D1:M30</t>
  </si>
  <si>
    <t>PP_15</t>
  </si>
  <si>
    <t>PP_16</t>
  </si>
  <si>
    <t>PP_17</t>
  </si>
  <si>
    <t>1</t>
  </si>
  <si>
    <t>2</t>
  </si>
  <si>
    <t>3</t>
  </si>
  <si>
    <t>4</t>
  </si>
  <si>
    <t>5</t>
  </si>
  <si>
    <t>6</t>
  </si>
  <si>
    <t>7</t>
  </si>
  <si>
    <t>13</t>
  </si>
  <si>
    <t>14</t>
  </si>
  <si>
    <t>15</t>
  </si>
  <si>
    <t>16</t>
  </si>
  <si>
    <t>17</t>
  </si>
  <si>
    <t>22</t>
  </si>
  <si>
    <t>23</t>
  </si>
  <si>
    <t>24</t>
  </si>
  <si>
    <t>25</t>
  </si>
  <si>
    <t>26</t>
  </si>
  <si>
    <t>27</t>
  </si>
  <si>
    <t>Caso 1</t>
  </si>
  <si>
    <t>32</t>
  </si>
  <si>
    <t>33</t>
  </si>
  <si>
    <t>34</t>
  </si>
  <si>
    <t>35</t>
  </si>
  <si>
    <t>36</t>
  </si>
  <si>
    <t>37</t>
  </si>
  <si>
    <t>42</t>
  </si>
  <si>
    <t>43</t>
  </si>
  <si>
    <t>44</t>
  </si>
  <si>
    <t>45</t>
  </si>
  <si>
    <t>46</t>
  </si>
  <si>
    <t>47</t>
  </si>
  <si>
    <t>52</t>
  </si>
  <si>
    <t>53</t>
  </si>
  <si>
    <t>54</t>
  </si>
  <si>
    <t>55</t>
  </si>
  <si>
    <t>56</t>
  </si>
  <si>
    <t>57</t>
  </si>
  <si>
    <t>62</t>
  </si>
  <si>
    <t>63</t>
  </si>
  <si>
    <t>64</t>
  </si>
  <si>
    <t>65</t>
  </si>
  <si>
    <t>66</t>
  </si>
  <si>
    <t>67</t>
  </si>
  <si>
    <t>8</t>
  </si>
  <si>
    <t>72</t>
  </si>
  <si>
    <t>73</t>
  </si>
  <si>
    <t>74</t>
  </si>
  <si>
    <t>75</t>
  </si>
  <si>
    <t>76</t>
  </si>
  <si>
    <t>77</t>
  </si>
  <si>
    <t>9</t>
  </si>
  <si>
    <t>82</t>
  </si>
  <si>
    <t>83</t>
  </si>
  <si>
    <t>84</t>
  </si>
  <si>
    <t>85</t>
  </si>
  <si>
    <t>86</t>
  </si>
  <si>
    <t>87</t>
  </si>
  <si>
    <t>92</t>
  </si>
  <si>
    <t>93</t>
  </si>
  <si>
    <t>94</t>
  </si>
  <si>
    <t>95</t>
  </si>
  <si>
    <t>96</t>
  </si>
  <si>
    <t>97</t>
  </si>
  <si>
    <t>102</t>
  </si>
  <si>
    <t>103</t>
  </si>
  <si>
    <t>104</t>
  </si>
  <si>
    <t>105</t>
  </si>
  <si>
    <t>106</t>
  </si>
  <si>
    <t>107</t>
  </si>
  <si>
    <t>112</t>
  </si>
  <si>
    <t>113</t>
  </si>
  <si>
    <t>114</t>
  </si>
  <si>
    <t>115</t>
  </si>
  <si>
    <t>116</t>
  </si>
  <si>
    <t>117</t>
  </si>
  <si>
    <t>122</t>
  </si>
  <si>
    <t>123</t>
  </si>
  <si>
    <t>124</t>
  </si>
  <si>
    <t>125</t>
  </si>
  <si>
    <t>126</t>
  </si>
  <si>
    <t>127</t>
  </si>
  <si>
    <t>132</t>
  </si>
  <si>
    <t>133</t>
  </si>
  <si>
    <t>134</t>
  </si>
  <si>
    <t>135</t>
  </si>
  <si>
    <t>136</t>
  </si>
  <si>
    <t>137</t>
  </si>
  <si>
    <t>142</t>
  </si>
  <si>
    <t>143</t>
  </si>
  <si>
    <t>144</t>
  </si>
  <si>
    <t>145</t>
  </si>
  <si>
    <t>146</t>
  </si>
  <si>
    <t>147</t>
  </si>
  <si>
    <t>152</t>
  </si>
  <si>
    <t>153</t>
  </si>
  <si>
    <t>154</t>
  </si>
  <si>
    <t>155</t>
  </si>
  <si>
    <t>156</t>
  </si>
  <si>
    <t>157</t>
  </si>
  <si>
    <t>Pluto 1</t>
  </si>
  <si>
    <t>Pippo 1</t>
  </si>
  <si>
    <t>162</t>
  </si>
  <si>
    <t>163</t>
  </si>
  <si>
    <t>164</t>
  </si>
  <si>
    <t>165</t>
  </si>
  <si>
    <t>166</t>
  </si>
  <si>
    <t>167</t>
  </si>
  <si>
    <t>Pluto 2</t>
  </si>
  <si>
    <t>Pippo 2</t>
  </si>
  <si>
    <t>18</t>
  </si>
  <si>
    <t>172</t>
  </si>
  <si>
    <t>173</t>
  </si>
  <si>
    <t>174</t>
  </si>
  <si>
    <t>175</t>
  </si>
  <si>
    <t>176</t>
  </si>
  <si>
    <t>177</t>
  </si>
  <si>
    <t>Pluto 3</t>
  </si>
  <si>
    <t>Pippo 3</t>
  </si>
  <si>
    <t>19</t>
  </si>
  <si>
    <t>182</t>
  </si>
  <si>
    <t>183</t>
  </si>
  <si>
    <t>184</t>
  </si>
  <si>
    <t>185</t>
  </si>
  <si>
    <t>186</t>
  </si>
  <si>
    <t>187</t>
  </si>
  <si>
    <t>20</t>
  </si>
  <si>
    <t>192</t>
  </si>
  <si>
    <t>193</t>
  </si>
  <si>
    <t>194</t>
  </si>
  <si>
    <t>195</t>
  </si>
  <si>
    <t>196</t>
  </si>
  <si>
    <t>197</t>
  </si>
  <si>
    <t>21</t>
  </si>
  <si>
    <t>202</t>
  </si>
  <si>
    <t>203</t>
  </si>
  <si>
    <t>204</t>
  </si>
  <si>
    <t>205</t>
  </si>
  <si>
    <t>206</t>
  </si>
  <si>
    <t>207</t>
  </si>
  <si>
    <t>212</t>
  </si>
  <si>
    <t>213</t>
  </si>
  <si>
    <t>214</t>
  </si>
  <si>
    <t>215</t>
  </si>
  <si>
    <t>216</t>
  </si>
  <si>
    <t>217</t>
  </si>
  <si>
    <t>Pluto</t>
  </si>
  <si>
    <t>Pippo</t>
  </si>
  <si>
    <t>222</t>
  </si>
  <si>
    <t>223</t>
  </si>
  <si>
    <t>224</t>
  </si>
  <si>
    <t>225</t>
  </si>
  <si>
    <t>226</t>
  </si>
  <si>
    <t>227</t>
  </si>
  <si>
    <t>232</t>
  </si>
  <si>
    <t>233</t>
  </si>
  <si>
    <t>234</t>
  </si>
  <si>
    <t>235</t>
  </si>
  <si>
    <t>236</t>
  </si>
  <si>
    <t>237</t>
  </si>
  <si>
    <t>108</t>
  </si>
  <si>
    <t>109</t>
  </si>
  <si>
    <t>118</t>
  </si>
  <si>
    <t>119</t>
  </si>
  <si>
    <t>128</t>
  </si>
  <si>
    <t>129</t>
  </si>
  <si>
    <t>138</t>
  </si>
  <si>
    <t>139</t>
  </si>
  <si>
    <t>148</t>
  </si>
  <si>
    <t>149</t>
  </si>
  <si>
    <t>158</t>
  </si>
  <si>
    <t>159</t>
  </si>
  <si>
    <t>168</t>
  </si>
  <si>
    <t>169</t>
  </si>
  <si>
    <t>178</t>
  </si>
  <si>
    <t>179</t>
  </si>
  <si>
    <t>181</t>
  </si>
  <si>
    <t>188</t>
  </si>
  <si>
    <t>189</t>
  </si>
  <si>
    <t>191</t>
  </si>
  <si>
    <t>198</t>
  </si>
  <si>
    <t>199</t>
  </si>
  <si>
    <t>201</t>
  </si>
  <si>
    <t>208</t>
  </si>
  <si>
    <t>209</t>
  </si>
  <si>
    <t>211</t>
  </si>
  <si>
    <t>218</t>
  </si>
  <si>
    <t>219</t>
  </si>
  <si>
    <t>C005RD319</t>
  </si>
  <si>
    <t>MIL ANTONY</t>
  </si>
  <si>
    <t>ANALISI RICHIESTE MINORI KIT+QUOT. TOB</t>
  </si>
  <si>
    <t>5320326</t>
  </si>
  <si>
    <t>SW ANALISI E STESURA SPECIFICHE</t>
  </si>
  <si>
    <t>K005.01001</t>
  </si>
  <si>
    <t>Int.</t>
  </si>
  <si>
    <t>CONV NGP PLATFORM ENG</t>
  </si>
  <si>
    <t>Landi M.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</si>
  <si>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</si>
  <si>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</si>
  <si>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</si>
  <si>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</si>
  <si>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</si>
  <si>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</si>
  <si>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</si>
  <si>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</si>
  <si>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</si>
  <si>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</si>
  <si>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</si>
  <si>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FATTIBILITA' DEL 2025 TOBACCO</t>
  </si>
  <si>
    <t>5447634</t>
  </si>
  <si>
    <t>LAYOUT - PROPOSTE E DEFINIZIONE</t>
  </si>
  <si>
    <t>K005.00012</t>
  </si>
  <si>
    <t>Bianchi G.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</si>
  <si>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</si>
  <si>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</si>
  <si>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</si>
  <si>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</si>
  <si>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</si>
  <si>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</si>
  <si>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</si>
  <si>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</si>
  <si>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SMEI LUCA</t>
  </si>
  <si>
    <t>F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</si>
  <si>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</si>
  <si>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</si>
  <si>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</si>
  <si>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</si>
  <si>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</si>
  <si>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</si>
  <si>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</si>
  <si>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</si>
  <si>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</si>
  <si>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</si>
  <si>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</si>
  <si>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</si>
  <si>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</si>
  <si>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Cambiato nome foglio "Superdettagli" in "Superdetails"</t>
  </si>
  <si>
    <t>Questo foglio verrà usato come log delle modifiche solo durante lo sviluppo</t>
  </si>
  <si>
    <t>Sender Cost Center2</t>
  </si>
  <si>
    <t>Personnel Number3</t>
  </si>
  <si>
    <t>Last name First name4</t>
  </si>
  <si>
    <t>Project Description5</t>
  </si>
  <si>
    <t>WBS Element6</t>
  </si>
  <si>
    <t>Network7</t>
  </si>
  <si>
    <t>Operation/Activity8</t>
  </si>
  <si>
    <t>Acct assgnt text9</t>
  </si>
  <si>
    <t>WBS Element - Project Definition (Text)</t>
  </si>
  <si>
    <t>Network descr</t>
  </si>
  <si>
    <t>PROJ CODE10</t>
  </si>
  <si>
    <t>INT/EST</t>
  </si>
  <si>
    <t>RAGGR X STRUTTURA 11</t>
  </si>
  <si>
    <t>MESE</t>
  </si>
  <si>
    <t>Resp 2°liv12</t>
  </si>
  <si>
    <t>CDC bdg13</t>
  </si>
  <si>
    <t>Resp 1°liv14</t>
  </si>
  <si>
    <t>Resp DT15</t>
  </si>
  <si>
    <t>TIPO REP16</t>
  </si>
  <si>
    <t>Bus Area GDLT</t>
  </si>
  <si>
    <t>Bus Area_217</t>
  </si>
  <si>
    <t>tipo progetto18</t>
  </si>
  <si>
    <t>Proj name19</t>
  </si>
  <si>
    <t>machine code20</t>
  </si>
  <si>
    <t>product area21</t>
  </si>
  <si>
    <t>Resp del Prodotto22</t>
  </si>
  <si>
    <t>Area di bdg</t>
  </si>
  <si>
    <t>Macchina23</t>
  </si>
  <si>
    <t>Sottotipo</t>
  </si>
  <si>
    <t>Cluster</t>
  </si>
  <si>
    <t>Quadrante</t>
  </si>
  <si>
    <t>01.AAAA</t>
  </si>
  <si>
    <t>02.AAAA</t>
  </si>
  <si>
    <t>03.AAAA</t>
  </si>
  <si>
    <t>04.AAAA</t>
  </si>
  <si>
    <t>05.AAAA</t>
  </si>
  <si>
    <t>06.AAAA</t>
  </si>
  <si>
    <t>07.AAAA</t>
  </si>
  <si>
    <t>08.AAAA</t>
  </si>
  <si>
    <t>09.AAAA</t>
  </si>
  <si>
    <t>10.AAAA</t>
  </si>
  <si>
    <t>11.AAAA</t>
  </si>
  <si>
    <t>12.AAAA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</si>
  <si>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</si>
  <si>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</si>
  <si>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</si>
  <si>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</si>
  <si>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</si>
  <si>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</si>
  <si>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</si>
  <si>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</si>
  <si>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Stay</t>
  </si>
  <si>
    <t>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</si>
</sst>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rgb="FFFFFFFF"/>
      </patternFill>
    </fill>
  </fills>
  <borders count="6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5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</cellStyleXfs>
  <cellXfs count="143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25" borderId="0" xfId="0" applyFont="1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0" fillId="29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16" fontId="0" fillId="0" borderId="0" xfId="0" applyNumberFormat="1"/>
    <xf numFmtId="49" fontId="14" fillId="33" borderId="61" xfId="0" applyNumberFormat="1" applyFont="1" applyFill="1" applyBorder="1" applyAlignment="1">
      <alignment horizontal="left" vertical="center" wrapText="1"/>
    </xf>
    <xf numFmtId="0" fontId="15" fillId="0" borderId="0" xfId="0" applyFont="1"/>
    <xf numFmtId="168" fontId="0" fillId="0" borderId="0" xfId="4" applyNumberFormat="1" applyFont="1"/>
    <xf numFmtId="14" fontId="0" fillId="0" borderId="0" xfId="0" applyNumberFormat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6" xfId="0" applyFill="1" applyBorder="1" applyAlignment="1">
      <alignment horizontal="center"/>
    </xf>
    <xf numFmtId="0" fontId="0" fillId="24" borderId="37" xfId="0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</cellXfs>
  <cellStyles count="5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</cellStyles>
  <dxfs count="69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26" totalsRowShown="0">
  <autoFilter ref="A2:S26" xr:uid="{00000000-0009-0000-0100-000002000000}"/>
  <tableColumns count="19">
    <tableColumn id="1" xr3:uid="{00000000-0010-0000-0000-000001000000}" name="da considerare?_" dataDxfId="68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7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6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5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4"/>
    <tableColumn id="7" xr3:uid="{00000000-0010-0000-0000-000007000000}" name="EngUnit area cluster 1_" dataDxfId="63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2">
      <calculatedColumnFormula>tblBudget[[#This Row],[EST]]+tblBudget[[#This Row],[EST3]]</calculatedColumnFormula>
    </tableColumn>
    <tableColumn id="9" xr3:uid="{00000000-0010-0000-0000-000009000000}" name="BDG int_" dataDxfId="61">
      <calculatedColumnFormula>tblBudget[[#This Row],[INT]]+tblBudget[[#This Row],[INT2]]</calculatedColumnFormula>
    </tableColumn>
    <tableColumn id="10" xr3:uid="{00000000-0010-0000-0000-00000A000000}" name="BDG_" dataDxfId="60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14" totalsRowShown="0">
  <autoFilter ref="A2:X14" xr:uid="{00000000-0009-0000-0100-000003000000}"/>
  <tableColumns count="24">
    <tableColumn id="1" xr3:uid="{00000000-0010-0000-0100-000001000000}" name="da considerare?" dataDxfId="59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8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7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6">
      <calculatedColumnFormula>IF(tblForecast[[#This Row],[Business ]]&gt;"",    tblForecast[[#This Row],[Business ]],D2)</calculatedColumnFormula>
    </tableColumn>
    <tableColumn id="5" xr3:uid="{00000000-0010-0000-0100-000005000000}" name="CATEGORIA_" dataDxfId="55">
      <calculatedColumnFormula>tblForecast[[#This Row],[CATEGORIA TMP]]&amp;""</calculatedColumnFormula>
    </tableColumn>
    <tableColumn id="6" xr3:uid="{00000000-0010-0000-0100-000006000000}" name="ENG TOB - INT_" dataDxfId="54">
      <calculatedColumnFormula>tblForecast[[#This Row],[INT]]</calculatedColumnFormula>
    </tableColumn>
    <tableColumn id="7" xr3:uid="{00000000-0010-0000-0100-000007000000}" name="ENG TOB - EST_" dataDxfId="53">
      <calculatedColumnFormula>tblForecast[[#This Row],[EST]]</calculatedColumnFormula>
    </tableColumn>
    <tableColumn id="8" xr3:uid="{00000000-0010-0000-0100-000008000000}" name="ENG TOB Totale_" dataDxfId="52">
      <calculatedColumnFormula>tblForecast[[#This Row],[totale Gamberini]]</calculatedColumnFormula>
    </tableColumn>
    <tableColumn id="9" xr3:uid="{00000000-0010-0000-0100-000009000000}" name="ENG LPP - INT_" dataDxfId="51">
      <calculatedColumnFormula>tblForecast[[#This Row],[INT2]]</calculatedColumnFormula>
    </tableColumn>
    <tableColumn id="10" xr3:uid="{00000000-0010-0000-0100-00000A000000}" name="ENG LPP - EST_" dataDxfId="50">
      <calculatedColumnFormula>tblForecast[[#This Row],[EST3]]</calculatedColumnFormula>
    </tableColumn>
    <tableColumn id="11" xr3:uid="{00000000-0010-0000-0100-00000B000000}" name="ENG LPP Totale_" dataDxfId="49">
      <calculatedColumnFormula>tblForecast[[#This Row],[totale Lanzarini]]</calculatedColumnFormula>
    </tableColumn>
    <tableColumn id="12" xr3:uid="{00000000-0010-0000-0100-00000C000000}" name="int FORECAST_" dataDxfId="48">
      <calculatedColumnFormula>tblForecast[[#This Row],[INT]]+tblForecast[[#This Row],[INT2]]</calculatedColumnFormula>
    </tableColumn>
    <tableColumn id="13" xr3:uid="{00000000-0010-0000-0100-00000D000000}" name="ext FORECAST_" dataDxfId="47">
      <calculatedColumnFormula>tblForecast[[#This Row],[EST]]+tblForecast[[#This Row],[EST3]]</calculatedColumnFormula>
    </tableColumn>
    <tableColumn id="14" xr3:uid="{00000000-0010-0000-0100-00000E000000}" name="FORECAST Totale_" dataDxfId="46">
      <calculatedColumnFormula>tblForecast[[#This Row],[TOTALE TOT]]</calculatedColumnFormula>
    </tableColumn>
    <tableColumn id="15" xr3:uid="{00000000-0010-0000-0100-00000F000000}" name="CATEGORIA TMP" dataDxfId="45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4">
  <autoFilter ref="A1:L2" xr:uid="{00000000-0009-0000-0100-000004000000}"/>
  <tableColumns count="12">
    <tableColumn id="1" xr3:uid="{00000000-0010-0000-0200-000001000000}" name="01" dataDxfId="43"/>
    <tableColumn id="2" xr3:uid="{00000000-0010-0000-0200-000002000000}" name="02" dataDxfId="42"/>
    <tableColumn id="3" xr3:uid="{00000000-0010-0000-0200-000003000000}" name="03" dataDxfId="41"/>
    <tableColumn id="4" xr3:uid="{00000000-0010-0000-0200-000004000000}" name="04" dataDxfId="40"/>
    <tableColumn id="5" xr3:uid="{00000000-0010-0000-0200-000005000000}" name="05" dataDxfId="39"/>
    <tableColumn id="6" xr3:uid="{00000000-0010-0000-0200-000006000000}" name="06" dataDxfId="38"/>
    <tableColumn id="7" xr3:uid="{00000000-0010-0000-0200-000007000000}" name="07" dataDxfId="37"/>
    <tableColumn id="8" xr3:uid="{00000000-0010-0000-0200-000008000000}" name="08" dataDxfId="36"/>
    <tableColumn id="9" xr3:uid="{00000000-0010-0000-0200-000009000000}" name="09" dataDxfId="35"/>
    <tableColumn id="10" xr3:uid="{00000000-0010-0000-0200-00000A000000}" name="10" dataDxfId="34"/>
    <tableColumn id="11" xr3:uid="{00000000-0010-0000-0200-00000B000000}" name="11" dataDxfId="33"/>
    <tableColumn id="12" xr3:uid="{00000000-0010-0000-0200-00000C000000}" name="12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C8" totalsRowShown="0" headerRowDxfId="31">
  <autoFilter ref="A2:CC8" xr:uid="{00000000-0009-0000-0100-000001000000}"/>
  <tableColumns count="81">
    <tableColumn id="1" xr3:uid="{00000000-0010-0000-0300-000001000000}" name="da considerare?_" dataDxfId="30">
      <calculatedColumnFormula>IF(  UPPER(LEFT( tabSuperdettagli[[#This Row],[WBE Status]],1) ) = "S",  "sì",  "no"   )</calculatedColumnFormula>
    </tableColumn>
    <tableColumn id="2" xr3:uid="{00000000-0010-0000-0300-000002000000}" name="Anno_" dataDxfId="29"/>
    <tableColumn id="3" xr3:uid="{00000000-0010-0000-0300-000003000000}" name="Anno di prima marcatura (=anno di apertura progetto)"/>
    <tableColumn id="4" xr3:uid="{00000000-0010-0000-0300-000004000000}" name="WBS_" dataDxfId="28">
      <calculatedColumnFormula>LEFT(tabSuperdettagli[[#This Row],[Network7]], 10)</calculatedColumnFormula>
    </tableColumn>
    <tableColumn id="5" xr3:uid="{00000000-0010-0000-0300-000005000000}" name="ProjType_" dataDxfId="27">
      <calculatedColumnFormula>LEFT(tabSuperdettagli[[#This Row],[Network7]],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 1_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 2_" dataDxfId="24">
      <calculatedColumnFormula>IF( OR( tabSuperdettagli[[#This Row],[ProjType_]]="A", tabSuperdettagli[[#This Row],[ProjType_]]="R", tabSuperdettagli[[#This Row],[ProjType_]]="E"),
       "A R E",
        tabSuperdettagli[[#This Row],[ProjType_]])</calculatedColumnFormula>
    </tableColumn>
    <tableColumn id="9" xr3:uid="{00000000-0010-0000-0300-000009000000}" name="BussinessArea Cluster 1_" dataDxfId="23">
      <calculatedColumnFormula>IF(  TRIM(#REF!)&gt; "", TRIM(#REF!), TRIM(tabSuperdettagli[[#This Row],[Resp DT15]] ) )</calculatedColumnFormula>
    </tableColumn>
    <tableColumn id="10" xr3:uid="{00000000-0010-0000-0300-00000A000000}" name="ORE_" dataDxfId="22">
      <calculatedColumnFormula>tabSuperdettagli[[#This Row],[07.AAAA]]</calculatedColumnFormula>
    </tableColumn>
    <tableColumn id="11" xr3:uid="{00000000-0010-0000-0300-00000B000000}" name="gen_" dataDxfId="21">
      <calculatedColumnFormula>tabSuperdettagli[[#This Row],[Resp del Prodotto22]]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Row],[PROJ CODE10]]</calculatedColumnFormula>
    </tableColumn>
    <tableColumn id="24" xr3:uid="{00000000-0010-0000-0300-000018000000}" name="Resp 1°liv_" dataDxfId="19">
      <calculatedColumnFormula>tabSuperdettagli[[#This Row],[Resp 2°liv12]]&amp;""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2°liv12]],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Row],[WBS Element6]]&amp;""</calculatedColumnFormula>
    </tableColumn>
    <tableColumn id="27" xr3:uid="{00000000-0010-0000-0300-00001B000000}" name="WBE description_" dataDxfId="16">
      <calculatedColumnFormula>tabSuperdettagli[[#This Row],[09.AAAA]]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Row],[Network7]], 18 )</calculatedColumnFormula>
    </tableColumn>
    <tableColumn id="31" xr3:uid="{00000000-0010-0000-0300-00001F000000}" name="Sender Cost Center2"/>
    <tableColumn id="32" xr3:uid="{00000000-0010-0000-0300-000020000000}" name="Personnel Number3"/>
    <tableColumn id="33" xr3:uid="{00000000-0010-0000-0300-000021000000}" name="Last name First name4"/>
    <tableColumn id="34" xr3:uid="{00000000-0010-0000-0300-000022000000}" name="Project Description5"/>
    <tableColumn id="35" xr3:uid="{00000000-0010-0000-0300-000023000000}" name="WBS Element6"/>
    <tableColumn id="36" xr3:uid="{00000000-0010-0000-0300-000024000000}" name="Network7"/>
    <tableColumn id="37" xr3:uid="{00000000-0010-0000-0300-000025000000}" name="Operation/Activity8"/>
    <tableColumn id="38" xr3:uid="{00000000-0010-0000-0300-000026000000}" name="Acct assgnt text9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10"/>
    <tableColumn id="42" xr3:uid="{00000000-0010-0000-0300-00002A000000}" name="INT/EST"/>
    <tableColumn id="43" xr3:uid="{00000000-0010-0000-0300-00002B000000}" name="RAGGR X STRUTTURA 11"/>
    <tableColumn id="44" xr3:uid="{00000000-0010-0000-0300-00002C000000}" name="MESE"/>
    <tableColumn id="45" xr3:uid="{00000000-0010-0000-0300-00002D000000}" name="Resp 2°liv12"/>
    <tableColumn id="46" xr3:uid="{00000000-0010-0000-0300-00002E000000}" name="CDC bdg13"/>
    <tableColumn id="47" xr3:uid="{00000000-0010-0000-0300-00002F000000}" name="Resp 1°liv14"/>
    <tableColumn id="48" xr3:uid="{00000000-0010-0000-0300-000030000000}" name="Resp DT15"/>
    <tableColumn id="49" xr3:uid="{00000000-0010-0000-0300-000031000000}" name="TIPO REP16"/>
    <tableColumn id="50" xr3:uid="{00000000-0010-0000-0300-000032000000}" name="Bus Area GDLT"/>
    <tableColumn id="51" xr3:uid="{00000000-0010-0000-0300-000033000000}" name="Bus Area_217"/>
    <tableColumn id="52" xr3:uid="{00000000-0010-0000-0300-000034000000}" name="tipo progetto18"/>
    <tableColumn id="53" xr3:uid="{00000000-0010-0000-0300-000035000000}" name="Proj name19"/>
    <tableColumn id="54" xr3:uid="{00000000-0010-0000-0300-000036000000}" name="machine code20"/>
    <tableColumn id="55" xr3:uid="{00000000-0010-0000-0300-000037000000}" name="product area21"/>
    <tableColumn id="56" xr3:uid="{00000000-0010-0000-0300-000038000000}" name="Resp del Prodotto22"/>
    <tableColumn id="57" xr3:uid="{00000000-0010-0000-0300-000039000000}" name="Area di bdg"/>
    <tableColumn id="58" xr3:uid="{00000000-0010-0000-0300-00003A000000}" name="Macchina23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AAAA"/>
    <tableColumn id="63" xr3:uid="{00000000-0010-0000-0300-00003F000000}" name="02.AAAA"/>
    <tableColumn id="64" xr3:uid="{00000000-0010-0000-0300-000040000000}" name="03.AAAA"/>
    <tableColumn id="65" xr3:uid="{00000000-0010-0000-0300-000041000000}" name="04.AAAA"/>
    <tableColumn id="66" xr3:uid="{00000000-0010-0000-0300-000042000000}" name="05.AAAA"/>
    <tableColumn id="67" xr3:uid="{00000000-0010-0000-0300-000043000000}" name="06.AAAA"/>
    <tableColumn id="68" xr3:uid="{00000000-0010-0000-0300-000044000000}" name="07.AAAA"/>
    <tableColumn id="69" xr3:uid="{00000000-0010-0000-0300-000045000000}" name="08.AAAA"/>
    <tableColumn id="70" xr3:uid="{00000000-0010-0000-0300-000046000000}" name="09.AAAA"/>
    <tableColumn id="71" xr3:uid="{00000000-0010-0000-0300-000047000000}" name="10.AAAA"/>
    <tableColumn id="72" xr3:uid="{00000000-0010-0000-0300-000048000000}" name="11.AAAA"/>
    <tableColumn id="73" xr3:uid="{00000000-0010-0000-0300-000049000000}" name="12.AAAA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7F4E-92A0-47CC-811D-967D95118DBC}">
  <dimension ref="A1:G3"/>
  <sheetViews>
    <sheetView workbookViewId="0">
      <selection activeCell="A2" sqref="A2"/>
    </sheetView>
  </sheetViews>
  <sheetFormatPr defaultRowHeight="15" x14ac:dyDescent="0.25"/>
  <cols>
    <col min="2" max="2" width="51.5703125" bestFit="1" customWidth="1"/>
  </cols>
  <sheetData>
    <row r="1" spans="1:7" x14ac:dyDescent="0.25">
      <c r="A1" t="s">
        <v>438</v>
      </c>
      <c r="E1" t="s">
        <v>0</v>
      </c>
    </row>
    <row r="2" spans="1:7" x14ac:dyDescent="0.25">
      <c r="E2" t="s">
        <v>1</v>
      </c>
      <c r="F2" t="s">
        <v>2</v>
      </c>
      <c r="G2" t="s">
        <v>3</v>
      </c>
    </row>
    <row r="3" spans="1:7" x14ac:dyDescent="0.25">
      <c r="A3" s="114">
        <v>45967</v>
      </c>
      <c r="B3" t="s">
        <v>437</v>
      </c>
      <c r="E3" t="str">
        <f>quarter</f>
        <v>Q4</v>
      </c>
      <c r="F3" t="str">
        <f>mese</f>
        <v>10</v>
      </c>
      <c r="G3" t="str">
        <f>anno</f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26"/>
  <sheetViews>
    <sheetView workbookViewId="0">
      <selection sqref="A1:J1"/>
    </sheetView>
  </sheetViews>
  <sheetFormatPr defaultRowHeight="15" x14ac:dyDescent="0.25"/>
  <cols>
    <col min="1" max="1" width="24.85546875" bestFit="1" customWidth="1"/>
    <col min="2" max="2" width="17.5703125" customWidth="1"/>
    <col min="3" max="3" width="12.140625" bestFit="1" customWidth="1"/>
    <col min="4" max="5" width="20.140625" customWidth="1"/>
    <col min="6" max="7" width="24.85546875" bestFit="1" customWidth="1"/>
    <col min="8" max="8" width="11.140625" customWidth="1"/>
    <col min="9" max="9" width="10.85546875" customWidth="1"/>
    <col min="11" max="11" width="15.85546875" customWidth="1"/>
    <col min="12" max="12" width="17.85546875" customWidth="1"/>
    <col min="13" max="13" width="11.85546875" customWidth="1"/>
    <col min="14" max="14" width="22.140625" customWidth="1"/>
    <col min="15" max="15" width="17.42578125" bestFit="1" customWidth="1"/>
    <col min="16" max="16" width="11" customWidth="1"/>
    <col min="17" max="17" width="13" customWidth="1"/>
    <col min="19" max="19" width="26.7109375" customWidth="1"/>
  </cols>
  <sheetData>
    <row r="1" spans="1:19" x14ac:dyDescent="0.25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1"/>
      <c r="K1" s="122" t="s">
        <v>5</v>
      </c>
      <c r="L1" s="123"/>
      <c r="M1" s="123"/>
      <c r="N1" s="123"/>
      <c r="O1" s="123"/>
      <c r="P1" s="123"/>
      <c r="Q1" s="123"/>
      <c r="R1" s="123"/>
      <c r="S1" s="123"/>
    </row>
    <row r="2" spans="1:19" x14ac:dyDescent="0.25">
      <c r="A2" s="68" t="s">
        <v>6</v>
      </c>
      <c r="B2" s="68" t="s">
        <v>7</v>
      </c>
      <c r="C2" s="68" t="s">
        <v>8</v>
      </c>
      <c r="D2" s="68" t="s">
        <v>9</v>
      </c>
      <c r="E2" s="68" t="s">
        <v>10</v>
      </c>
      <c r="F2" s="68" t="s">
        <v>11</v>
      </c>
      <c r="G2" s="68" t="s">
        <v>12</v>
      </c>
      <c r="H2" s="68" t="s">
        <v>13</v>
      </c>
      <c r="I2" s="68" t="s">
        <v>14</v>
      </c>
      <c r="J2" s="68" t="s">
        <v>15</v>
      </c>
      <c r="K2" s="88" t="s">
        <v>424</v>
      </c>
      <c r="L2" s="88" t="s">
        <v>16</v>
      </c>
      <c r="M2" s="88" t="s">
        <v>17</v>
      </c>
      <c r="N2" s="88" t="s">
        <v>18</v>
      </c>
      <c r="O2" s="88" t="s">
        <v>19</v>
      </c>
      <c r="P2" s="88" t="s">
        <v>20</v>
      </c>
      <c r="Q2" s="88" t="s">
        <v>21</v>
      </c>
      <c r="R2" s="88" t="s">
        <v>22</v>
      </c>
      <c r="S2" s="88" t="s">
        <v>23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*cccc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7</v>
      </c>
      <c r="I3">
        <f>tblBudget[[#This Row],[INT]]+tblBudget[[#This Row],[INT2]]</f>
        <v>5</v>
      </c>
      <c r="J3" t="str">
        <f>tblBudget[[#This Row],[TOTALE TOT]]</f>
        <v>7</v>
      </c>
      <c r="K3" t="s">
        <v>171</v>
      </c>
      <c r="L3" t="s">
        <v>155</v>
      </c>
      <c r="M3" t="s">
        <v>202</v>
      </c>
      <c r="N3" t="s">
        <v>203</v>
      </c>
      <c r="O3" t="s">
        <v>204</v>
      </c>
      <c r="P3" t="s">
        <v>205</v>
      </c>
      <c r="Q3" t="s">
        <v>206</v>
      </c>
      <c r="R3" t="s">
        <v>207</v>
      </c>
      <c r="S3" t="s">
        <v>208</v>
      </c>
    </row>
    <row r="4" spans="1:19" x14ac:dyDescent="0.25">
      <c r="A4" t="str">
        <f>IF(AND(tblBudget[[#This Row],[Business ]]&gt;"",tblBudget[[#This Row],[CATEGORIA]]=""),"no","sì")</f>
        <v>sì</v>
      </c>
      <c r="B4" t="str">
        <f>tblBudget[[#This Row],[Business ]]</f>
        <v>Match caso 3</v>
      </c>
      <c r="C4" t="e">
        <f>INDEX(tab_ProjTypeCluster[ProjType],MATCH(tblBudget[[#This Row],[CATEGORIA]],tab_ProjTypeCluster[Macro area],0))</f>
        <v>#N/A</v>
      </c>
      <c r="D4" t="e">
        <f>INDEX(tab_ProjTypeCluster[ProjType Cluster 1],MATCH(tblBudget[[#This Row],[CATEGORIA]],tab_ProjTypeCluster[Macro area],0))</f>
        <v>#N/A</v>
      </c>
      <c r="E4" t="e">
        <f>INDEX(tab_ProjTypeCluster[ProjType Cluster 2],MATCH(tblBudget[[#This Row],[CATEGORIA]],tab_ProjTypeCluster[Macro area],0))</f>
        <v>#N/A</v>
      </c>
      <c r="G4" t="e">
        <f>INDEX(tab_resp1liv[EngUnit area cluster 1_],MATCH(SUBSTITUTE(SUBSTITUTE(#REF!,"(ai)","")," ",""),tab_resp1liv[SearchKey],0))</f>
        <v>#REF!</v>
      </c>
      <c r="H4">
        <f>tblBudget[[#This Row],[EST]]+tblBudget[[#This Row],[EST3]]</f>
        <v>27</v>
      </c>
      <c r="I4">
        <f>tblBudget[[#This Row],[INT]]+tblBudget[[#This Row],[INT2]]</f>
        <v>16</v>
      </c>
      <c r="J4" t="str">
        <f>tblBudget[[#This Row],[TOTALE TOT]]</f>
        <v>17</v>
      </c>
      <c r="K4" t="s">
        <v>160</v>
      </c>
      <c r="L4" t="s">
        <v>157</v>
      </c>
      <c r="M4" t="s">
        <v>203</v>
      </c>
      <c r="N4" t="s">
        <v>51</v>
      </c>
      <c r="O4" t="s">
        <v>209</v>
      </c>
      <c r="P4" t="s">
        <v>210</v>
      </c>
      <c r="Q4" t="s">
        <v>211</v>
      </c>
      <c r="R4" t="s">
        <v>212</v>
      </c>
      <c r="S4" t="s">
        <v>213</v>
      </c>
    </row>
    <row r="5" spans="1:19" x14ac:dyDescent="0.25">
      <c r="A5" t="str">
        <f>IF(AND(tblBudget[[#This Row],[Business ]]&gt;"",tblBudget[[#This Row],[CATEGORIA]]=""),"no","sì")</f>
        <v>sì</v>
      </c>
      <c r="B5" t="str">
        <f>tblBudget[[#This Row],[Business ]]</f>
        <v>aaaa*</v>
      </c>
      <c r="C5" t="e">
        <f>INDEX(tab_ProjTypeCluster[ProjType],MATCH(tblBudget[[#This Row],[CATEGORIA]],tab_ProjTypeCluster[Macro area],0))</f>
        <v>#N/A</v>
      </c>
      <c r="D5" t="e">
        <f>INDEX(tab_ProjTypeCluster[ProjType Cluster 1],MATCH(tblBudget[[#This Row],[CATEGORIA]],tab_ProjTypeCluster[Macro area],0))</f>
        <v>#N/A</v>
      </c>
      <c r="E5" t="e">
        <f>INDEX(tab_ProjTypeCluster[ProjType Cluster 2],MATCH(tblBudget[[#This Row],[CATEGORIA]],tab_ProjTypeCluster[Macro area],0))</f>
        <v>#N/A</v>
      </c>
      <c r="G5" t="e">
        <f>INDEX(tab_resp1liv[EngUnit area cluster 1_],MATCH(SUBSTITUTE(SUBSTITUTE(#REF!,"(ai)","")," ",""),tab_resp1liv[SearchKey],0))</f>
        <v>#REF!</v>
      </c>
      <c r="H5">
        <f>tblBudget[[#This Row],[EST]]+tblBudget[[#This Row],[EST3]]</f>
        <v>47</v>
      </c>
      <c r="I5">
        <f>tblBudget[[#This Row],[INT]]+tblBudget[[#This Row],[INT2]]</f>
        <v>27</v>
      </c>
      <c r="J5" t="str">
        <f>tblBudget[[#This Row],[TOTALE TOT]]</f>
        <v>27</v>
      </c>
      <c r="K5" t="s">
        <v>167</v>
      </c>
      <c r="L5" t="s">
        <v>174</v>
      </c>
      <c r="M5" t="s">
        <v>204</v>
      </c>
      <c r="N5" t="s">
        <v>214</v>
      </c>
      <c r="O5" t="s">
        <v>215</v>
      </c>
      <c r="P5" t="s">
        <v>216</v>
      </c>
      <c r="Q5" t="s">
        <v>217</v>
      </c>
      <c r="R5" t="s">
        <v>218</v>
      </c>
      <c r="S5" t="s">
        <v>219</v>
      </c>
    </row>
    <row r="6" spans="1:19" x14ac:dyDescent="0.25">
      <c r="A6" t="str">
        <f>IF(AND(tblBudget[[#This Row],[Business ]]&gt;"",tblBudget[[#This Row],[CATEGORIA]]=""),"no","sì")</f>
        <v>sì</v>
      </c>
      <c r="B6" t="str">
        <f>tblBudget[[#This Row],[Business ]]</f>
        <v>Match caso 1</v>
      </c>
      <c r="C6" t="e">
        <f>INDEX(tab_ProjTypeCluster[ProjType],MATCH(tblBudget[[#This Row],[CATEGORIA]],tab_ProjTypeCluster[Macro area],0))</f>
        <v>#N/A</v>
      </c>
      <c r="D6" t="e">
        <f>INDEX(tab_ProjTypeCluster[ProjType Cluster 1],MATCH(tblBudget[[#This Row],[CATEGORIA]],tab_ProjTypeCluster[Macro area],0))</f>
        <v>#N/A</v>
      </c>
      <c r="E6" t="e">
        <f>INDEX(tab_ProjTypeCluster[ProjType Cluster 2],MATCH(tblBudget[[#This Row],[CATEGORIA]],tab_ProjTypeCluster[Macro area],0))</f>
        <v>#N/A</v>
      </c>
      <c r="G6" t="e">
        <f>INDEX(tab_resp1liv[EngUnit area cluster 1_],MATCH(SUBSTITUTE(SUBSTITUTE(#REF!,"(ai)","")," ",""),tab_resp1liv[SearchKey],0))</f>
        <v>#REF!</v>
      </c>
      <c r="H6">
        <f>tblBudget[[#This Row],[EST]]+tblBudget[[#This Row],[EST3]]</f>
        <v>67</v>
      </c>
      <c r="I6">
        <f>tblBudget[[#This Row],[INT]]+tblBudget[[#This Row],[INT2]]</f>
        <v>38</v>
      </c>
      <c r="J6" t="str">
        <f>tblBudget[[#This Row],[TOTALE TOT]]</f>
        <v>37</v>
      </c>
      <c r="K6" t="s">
        <v>156</v>
      </c>
      <c r="L6" t="s">
        <v>220</v>
      </c>
      <c r="M6" t="s">
        <v>205</v>
      </c>
      <c r="N6" t="s">
        <v>221</v>
      </c>
      <c r="O6" t="s">
        <v>222</v>
      </c>
      <c r="P6" t="s">
        <v>223</v>
      </c>
      <c r="Q6" t="s">
        <v>224</v>
      </c>
      <c r="R6" t="s">
        <v>225</v>
      </c>
      <c r="S6" t="s">
        <v>226</v>
      </c>
    </row>
    <row r="7" spans="1:19" x14ac:dyDescent="0.25">
      <c r="A7" t="str">
        <f>IF(AND(tblBudget[[#This Row],[Business ]]&gt;"",tblBudget[[#This Row],[CATEGORIA]]=""),"no","sì")</f>
        <v>sì</v>
      </c>
      <c r="B7" t="str">
        <f>tblBudget[[#This Row],[Business ]]</f>
        <v>bb*bb</v>
      </c>
      <c r="C7" t="e">
        <f>INDEX(tab_ProjTypeCluster[ProjType],MATCH(tblBudget[[#This Row],[CATEGORIA]],tab_ProjTypeCluster[Macro area],0))</f>
        <v>#N/A</v>
      </c>
      <c r="D7" t="e">
        <f>INDEX(tab_ProjTypeCluster[ProjType Cluster 1],MATCH(tblBudget[[#This Row],[CATEGORIA]],tab_ProjTypeCluster[Macro area],0))</f>
        <v>#N/A</v>
      </c>
      <c r="E7" t="e">
        <f>INDEX(tab_ProjTypeCluster[ProjType Cluster 2],MATCH(tblBudget[[#This Row],[CATEGORIA]],tab_ProjTypeCluster[Macro area],0))</f>
        <v>#N/A</v>
      </c>
      <c r="G7" t="e">
        <f>INDEX(tab_resp1liv[EngUnit area cluster 1_],MATCH(SUBSTITUTE(SUBSTITUTE(#REF!,"(ai)","")," ",""),tab_resp1liv[SearchKey],0))</f>
        <v>#REF!</v>
      </c>
      <c r="H7">
        <f>tblBudget[[#This Row],[EST]]+tblBudget[[#This Row],[EST3]]</f>
        <v>87</v>
      </c>
      <c r="I7">
        <f>tblBudget[[#This Row],[INT]]+tblBudget[[#This Row],[INT2]]</f>
        <v>49</v>
      </c>
      <c r="J7" t="str">
        <f>tblBudget[[#This Row],[TOTALE TOT]]</f>
        <v>47</v>
      </c>
      <c r="K7" t="s">
        <v>169</v>
      </c>
      <c r="L7" t="s">
        <v>170</v>
      </c>
      <c r="M7" t="s">
        <v>206</v>
      </c>
      <c r="N7" t="s">
        <v>227</v>
      </c>
      <c r="O7" t="s">
        <v>228</v>
      </c>
      <c r="P7" t="s">
        <v>229</v>
      </c>
      <c r="Q7" t="s">
        <v>230</v>
      </c>
      <c r="R7" t="s">
        <v>231</v>
      </c>
      <c r="S7" t="s">
        <v>232</v>
      </c>
    </row>
    <row r="8" spans="1:19" x14ac:dyDescent="0.25">
      <c r="A8" t="str">
        <f>IF(AND(tblBudget[[#This Row],[Business ]]&gt;"",tblBudget[[#This Row],[CATEGORIA]]=""),"no","sì")</f>
        <v>sì</v>
      </c>
      <c r="B8" t="str">
        <f>tblBudget[[#This Row],[Business ]]</f>
        <v>Caso 1</v>
      </c>
      <c r="C8" t="e">
        <f>INDEX(tab_ProjTypeCluster[ProjType],MATCH(tblBudget[[#This Row],[CATEGORIA]],tab_ProjTypeCluster[Macro area],0))</f>
        <v>#N/A</v>
      </c>
      <c r="D8" t="e">
        <f>INDEX(tab_ProjTypeCluster[ProjType Cluster 1],MATCH(tblBudget[[#This Row],[CATEGORIA]],tab_ProjTypeCluster[Macro area],0))</f>
        <v>#N/A</v>
      </c>
      <c r="E8" t="e">
        <f>INDEX(tab_ProjTypeCluster[ProjType Cluster 2],MATCH(tblBudget[[#This Row],[CATEGORIA]],tab_ProjTypeCluster[Macro area],0))</f>
        <v>#N/A</v>
      </c>
      <c r="G8" t="e">
        <f>INDEX(tab_resp1liv[EngUnit area cluster 1_],MATCH(SUBSTITUTE(SUBSTITUTE(#REF!,"(ai)","")," ",""),tab_resp1liv[SearchKey],0))</f>
        <v>#REF!</v>
      </c>
      <c r="H8">
        <f>tblBudget[[#This Row],[EST]]+tblBudget[[#This Row],[EST3]]</f>
        <v>107</v>
      </c>
      <c r="I8">
        <f>tblBudget[[#This Row],[INT]]+tblBudget[[#This Row],[INT2]]</f>
        <v>60</v>
      </c>
      <c r="J8" t="str">
        <f>tblBudget[[#This Row],[TOTALE TOT]]</f>
        <v>57</v>
      </c>
      <c r="K8" t="s">
        <v>220</v>
      </c>
      <c r="L8" t="s">
        <v>168</v>
      </c>
      <c r="M8" t="s">
        <v>207</v>
      </c>
      <c r="N8" t="s">
        <v>233</v>
      </c>
      <c r="O8" t="s">
        <v>234</v>
      </c>
      <c r="P8" t="s">
        <v>235</v>
      </c>
      <c r="Q8" t="s">
        <v>236</v>
      </c>
      <c r="R8" t="s">
        <v>237</v>
      </c>
      <c r="S8" t="s">
        <v>238</v>
      </c>
    </row>
    <row r="9" spans="1:19" x14ac:dyDescent="0.25">
      <c r="A9" t="str">
        <f>IF(AND(tblBudget[[#This Row],[Business ]]&gt;"",tblBudget[[#This Row],[CATEGORIA]]=""),"no","sì")</f>
        <v>sì</v>
      </c>
      <c r="B9" t="str">
        <f>tblBudget[[#This Row],[Business ]]</f>
        <v>Caso D</v>
      </c>
      <c r="C9" t="e">
        <f>INDEX(tab_ProjTypeCluster[ProjType],MATCH(tblBudget[[#This Row],[CATEGORIA]],tab_ProjTypeCluster[Macro area],0))</f>
        <v>#N/A</v>
      </c>
      <c r="D9" t="e">
        <f>INDEX(tab_ProjTypeCluster[ProjType Cluster 1],MATCH(tblBudget[[#This Row],[CATEGORIA]],tab_ProjTypeCluster[Macro area],0))</f>
        <v>#N/A</v>
      </c>
      <c r="E9" t="e">
        <f>INDEX(tab_ProjTypeCluster[ProjType Cluster 2],MATCH(tblBudget[[#This Row],[CATEGORIA]],tab_ProjTypeCluster[Macro area],0))</f>
        <v>#N/A</v>
      </c>
      <c r="G9" t="e">
        <f>INDEX(tab_resp1liv[EngUnit area cluster 1_],MATCH(SUBSTITUTE(SUBSTITUTE(#REF!,"(ai)","")," ",""),tab_resp1liv[SearchKey],0))</f>
        <v>#REF!</v>
      </c>
      <c r="H9">
        <f>tblBudget[[#This Row],[EST]]+tblBudget[[#This Row],[EST3]]</f>
        <v>127</v>
      </c>
      <c r="I9">
        <f>tblBudget[[#This Row],[INT]]+tblBudget[[#This Row],[INT2]]</f>
        <v>71</v>
      </c>
      <c r="J9" t="str">
        <f>tblBudget[[#This Row],[TOTALE TOT]]</f>
        <v>67</v>
      </c>
      <c r="K9" t="s">
        <v>173</v>
      </c>
      <c r="L9" t="s">
        <v>159</v>
      </c>
      <c r="M9" t="s">
        <v>208</v>
      </c>
      <c r="N9" t="s">
        <v>239</v>
      </c>
      <c r="O9" t="s">
        <v>240</v>
      </c>
      <c r="P9" t="s">
        <v>241</v>
      </c>
      <c r="Q9" t="s">
        <v>242</v>
      </c>
      <c r="R9" t="s">
        <v>243</v>
      </c>
      <c r="S9" t="s">
        <v>244</v>
      </c>
    </row>
    <row r="10" spans="1:19" x14ac:dyDescent="0.25">
      <c r="A10" t="str">
        <f>IF(AND(tblBudget[[#This Row],[Business ]]&gt;"",tblBudget[[#This Row],[CATEGORIA]]=""),"no","sì")</f>
        <v>sì</v>
      </c>
      <c r="B10" t="str">
        <f>tblBudget[[#This Row],[Business ]]</f>
        <v>Match caso 2</v>
      </c>
      <c r="C10" t="e">
        <f>INDEX(tab_ProjTypeCluster[ProjType],MATCH(tblBudget[[#This Row],[CATEGORIA]],tab_ProjTypeCluster[Macro area],0))</f>
        <v>#N/A</v>
      </c>
      <c r="D10" t="e">
        <f>INDEX(tab_ProjTypeCluster[ProjType Cluster 1],MATCH(tblBudget[[#This Row],[CATEGORIA]],tab_ProjTypeCluster[Macro area],0))</f>
        <v>#N/A</v>
      </c>
      <c r="E10" t="e">
        <f>INDEX(tab_ProjTypeCluster[ProjType Cluster 2],MATCH(tblBudget[[#This Row],[CATEGORIA]],tab_ProjTypeCluster[Macro area],0))</f>
        <v>#N/A</v>
      </c>
      <c r="G10" t="e">
        <f>INDEX(tab_resp1liv[EngUnit area cluster 1_],MATCH(SUBSTITUTE(SUBSTITUTE(#REF!,"(ai)","")," ",""),tab_resp1liv[SearchKey],0))</f>
        <v>#REF!</v>
      </c>
      <c r="H10">
        <f>tblBudget[[#This Row],[EST]]+tblBudget[[#This Row],[EST3]]</f>
        <v>147</v>
      </c>
      <c r="I10">
        <f>tblBudget[[#This Row],[INT]]+tblBudget[[#This Row],[INT2]]</f>
        <v>82</v>
      </c>
      <c r="J10" t="str">
        <f>tblBudget[[#This Row],[TOTALE TOT]]</f>
        <v>77</v>
      </c>
      <c r="K10" t="s">
        <v>158</v>
      </c>
      <c r="L10" t="s">
        <v>172</v>
      </c>
      <c r="M10" t="s">
        <v>245</v>
      </c>
      <c r="N10" t="s">
        <v>246</v>
      </c>
      <c r="O10" t="s">
        <v>247</v>
      </c>
      <c r="P10" t="s">
        <v>248</v>
      </c>
      <c r="Q10" t="s">
        <v>249</v>
      </c>
      <c r="R10" t="s">
        <v>250</v>
      </c>
      <c r="S10" t="s">
        <v>251</v>
      </c>
    </row>
    <row r="11" spans="1:19" x14ac:dyDescent="0.25">
      <c r="A11" t="str">
        <f>IF(AND(tblBudget[[#This Row],[Business ]]&gt;"",tblBudget[[#This Row],[CATEGORIA]]=""),"no","sì")</f>
        <v>sì</v>
      </c>
      <c r="B11" t="str">
        <f>tblBudget[[#This Row],[Business ]]</f>
        <v>*cccc</v>
      </c>
      <c r="C11" t="e">
        <f>INDEX(tab_ProjTypeCluster[ProjType],MATCH(tblBudget[[#This Row],[CATEGORIA]],tab_ProjTypeCluster[Macro area],0))</f>
        <v>#N/A</v>
      </c>
      <c r="D11" t="e">
        <f>INDEX(tab_ProjTypeCluster[ProjType Cluster 1],MATCH(tblBudget[[#This Row],[CATEGORIA]],tab_ProjTypeCluster[Macro area],0))</f>
        <v>#N/A</v>
      </c>
      <c r="E11" t="e">
        <f>INDEX(tab_ProjTypeCluster[ProjType Cluster 2],MATCH(tblBudget[[#This Row],[CATEGORIA]],tab_ProjTypeCluster[Macro area],0))</f>
        <v>#N/A</v>
      </c>
      <c r="G11" t="e">
        <f>INDEX(tab_resp1liv[EngUnit area cluster 1_],MATCH(SUBSTITUTE(SUBSTITUTE(#REF!,"(ai)","")," ",""),tab_resp1liv[SearchKey],0))</f>
        <v>#REF!</v>
      </c>
      <c r="H11">
        <f>tblBudget[[#This Row],[EST]]+tblBudget[[#This Row],[EST3]]</f>
        <v>167</v>
      </c>
      <c r="I11">
        <f>tblBudget[[#This Row],[INT]]+tblBudget[[#This Row],[INT2]]</f>
        <v>93</v>
      </c>
      <c r="J11" t="str">
        <f>tblBudget[[#This Row],[TOTALE TOT]]</f>
        <v>87</v>
      </c>
      <c r="K11" t="s">
        <v>171</v>
      </c>
      <c r="L11" t="s">
        <v>155</v>
      </c>
      <c r="M11" t="s">
        <v>252</v>
      </c>
      <c r="N11" t="s">
        <v>253</v>
      </c>
      <c r="O11" t="s">
        <v>254</v>
      </c>
      <c r="P11" t="s">
        <v>255</v>
      </c>
      <c r="Q11" t="s">
        <v>256</v>
      </c>
      <c r="R11" t="s">
        <v>257</v>
      </c>
      <c r="S11" t="s">
        <v>258</v>
      </c>
    </row>
    <row r="12" spans="1:19" x14ac:dyDescent="0.25">
      <c r="A12" t="str">
        <f>IF(AND(tblBudget[[#This Row],[Business ]]&gt;"",tblBudget[[#This Row],[CATEGORIA]]=""),"no","sì")</f>
        <v>sì</v>
      </c>
      <c r="B12" t="str">
        <f>tblBudget[[#This Row],[Business ]]</f>
        <v>Match caso 3</v>
      </c>
      <c r="C12" t="e">
        <f>INDEX(tab_ProjTypeCluster[ProjType],MATCH(tblBudget[[#This Row],[CATEGORIA]],tab_ProjTypeCluster[Macro area],0))</f>
        <v>#N/A</v>
      </c>
      <c r="D12" t="e">
        <f>INDEX(tab_ProjTypeCluster[ProjType Cluster 1],MATCH(tblBudget[[#This Row],[CATEGORIA]],tab_ProjTypeCluster[Macro area],0))</f>
        <v>#N/A</v>
      </c>
      <c r="E12" t="e">
        <f>INDEX(tab_ProjTypeCluster[ProjType Cluster 2],MATCH(tblBudget[[#This Row],[CATEGORIA]],tab_ProjTypeCluster[Macro area],0))</f>
        <v>#N/A</v>
      </c>
      <c r="G12" t="e">
        <f>INDEX(tab_resp1liv[EngUnit area cluster 1_],MATCH(SUBSTITUTE(SUBSTITUTE(#REF!,"(ai)","")," ",""),tab_resp1liv[SearchKey],0))</f>
        <v>#REF!</v>
      </c>
      <c r="H12">
        <f>tblBudget[[#This Row],[EST]]+tblBudget[[#This Row],[EST3]]</f>
        <v>187</v>
      </c>
      <c r="I12">
        <f>tblBudget[[#This Row],[INT]]+tblBudget[[#This Row],[INT2]]</f>
        <v>104</v>
      </c>
      <c r="J12" t="str">
        <f>tblBudget[[#This Row],[TOTALE TOT]]</f>
        <v>97</v>
      </c>
      <c r="K12" t="s">
        <v>160</v>
      </c>
      <c r="L12" t="s">
        <v>157</v>
      </c>
      <c r="M12" t="s">
        <v>49</v>
      </c>
      <c r="N12" t="s">
        <v>259</v>
      </c>
      <c r="O12" t="s">
        <v>260</v>
      </c>
      <c r="P12" t="s">
        <v>261</v>
      </c>
      <c r="Q12" t="s">
        <v>262</v>
      </c>
      <c r="R12" t="s">
        <v>263</v>
      </c>
      <c r="S12" t="s">
        <v>264</v>
      </c>
    </row>
    <row r="13" spans="1:19" x14ac:dyDescent="0.25">
      <c r="A13" t="str">
        <f>IF(AND(tblBudget[[#This Row],[Business ]]&gt;"",tblBudget[[#This Row],[CATEGORIA]]=""),"no","sì")</f>
        <v>sì</v>
      </c>
      <c r="B13" t="str">
        <f>tblBudget[[#This Row],[Business ]]</f>
        <v>aaaa*</v>
      </c>
      <c r="C13" t="e">
        <f>INDEX(tab_ProjTypeCluster[ProjType],MATCH(tblBudget[[#This Row],[CATEGORIA]],tab_ProjTypeCluster[Macro area],0))</f>
        <v>#N/A</v>
      </c>
      <c r="D13" t="e">
        <f>INDEX(tab_ProjTypeCluster[ProjType Cluster 1],MATCH(tblBudget[[#This Row],[CATEGORIA]],tab_ProjTypeCluster[Macro area],0))</f>
        <v>#N/A</v>
      </c>
      <c r="E13" t="e">
        <f>INDEX(tab_ProjTypeCluster[ProjType Cluster 2],MATCH(tblBudget[[#This Row],[CATEGORIA]],tab_ProjTypeCluster[Macro area],0))</f>
        <v>#N/A</v>
      </c>
      <c r="G13" t="e">
        <f>INDEX(tab_resp1liv[EngUnit area cluster 1_],MATCH(SUBSTITUTE(SUBSTITUTE(#REF!,"(ai)","")," ",""),tab_resp1liv[SearchKey],0))</f>
        <v>#REF!</v>
      </c>
      <c r="H13">
        <f>tblBudget[[#This Row],[EST]]+tblBudget[[#This Row],[EST3]]</f>
        <v>207</v>
      </c>
      <c r="I13">
        <f>tblBudget[[#This Row],[INT]]+tblBudget[[#This Row],[INT2]]</f>
        <v>115</v>
      </c>
      <c r="J13" t="str">
        <f>tblBudget[[#This Row],[TOTALE TOT]]</f>
        <v>107</v>
      </c>
      <c r="K13" t="s">
        <v>167</v>
      </c>
      <c r="L13" t="s">
        <v>174</v>
      </c>
      <c r="M13" t="s">
        <v>50</v>
      </c>
      <c r="N13" t="s">
        <v>265</v>
      </c>
      <c r="O13" t="s">
        <v>266</v>
      </c>
      <c r="P13" t="s">
        <v>267</v>
      </c>
      <c r="Q13" t="s">
        <v>268</v>
      </c>
      <c r="R13" t="s">
        <v>269</v>
      </c>
      <c r="S13" t="s">
        <v>270</v>
      </c>
    </row>
    <row r="14" spans="1:19" x14ac:dyDescent="0.25">
      <c r="A14" t="str">
        <f>IF(AND(tblBudget[[#This Row],[Business ]]&gt;"",tblBudget[[#This Row],[CATEGORIA]]=""),"no","sì")</f>
        <v>sì</v>
      </c>
      <c r="B14" t="str">
        <f>tblBudget[[#This Row],[Business ]]</f>
        <v>Match caso 1</v>
      </c>
      <c r="C14" t="e">
        <f>INDEX(tab_ProjTypeCluster[ProjType],MATCH(tblBudget[[#This Row],[CATEGORIA]],tab_ProjTypeCluster[Macro area],0))</f>
        <v>#N/A</v>
      </c>
      <c r="D14" t="e">
        <f>INDEX(tab_ProjTypeCluster[ProjType Cluster 1],MATCH(tblBudget[[#This Row],[CATEGORIA]],tab_ProjTypeCluster[Macro area],0))</f>
        <v>#N/A</v>
      </c>
      <c r="E14" t="e">
        <f>INDEX(tab_ProjTypeCluster[ProjType Cluster 2],MATCH(tblBudget[[#This Row],[CATEGORIA]],tab_ProjTypeCluster[Macro area],0))</f>
        <v>#N/A</v>
      </c>
      <c r="G14" t="e">
        <f>INDEX(tab_resp1liv[EngUnit area cluster 1_],MATCH(SUBSTITUTE(SUBSTITUTE(#REF!,"(ai)","")," ",""),tab_resp1liv[SearchKey],0))</f>
        <v>#REF!</v>
      </c>
      <c r="H14">
        <f>tblBudget[[#This Row],[EST]]+tblBudget[[#This Row],[EST3]]</f>
        <v>227</v>
      </c>
      <c r="I14">
        <f>tblBudget[[#This Row],[INT]]+tblBudget[[#This Row],[INT2]]</f>
        <v>126</v>
      </c>
      <c r="J14" t="str">
        <f>tblBudget[[#This Row],[TOTALE TOT]]</f>
        <v>117</v>
      </c>
      <c r="K14" t="s">
        <v>156</v>
      </c>
      <c r="L14" t="s">
        <v>220</v>
      </c>
      <c r="M14" t="s">
        <v>51</v>
      </c>
      <c r="N14" t="s">
        <v>271</v>
      </c>
      <c r="O14" t="s">
        <v>272</v>
      </c>
      <c r="P14" t="s">
        <v>273</v>
      </c>
      <c r="Q14" t="s">
        <v>274</v>
      </c>
      <c r="R14" t="s">
        <v>275</v>
      </c>
      <c r="S14" t="s">
        <v>276</v>
      </c>
    </row>
    <row r="15" spans="1:19" x14ac:dyDescent="0.25">
      <c r="A15" t="str">
        <f>IF(AND(tblBudget[[#This Row],[Business ]]&gt;"",tblBudget[[#This Row],[CATEGORIA]]=""),"no","sì")</f>
        <v>sì</v>
      </c>
      <c r="B15" t="str">
        <f>tblBudget[[#This Row],[Business ]]</f>
        <v>bb*bb</v>
      </c>
      <c r="C15" t="e">
        <f>INDEX(tab_ProjTypeCluster[ProjType],MATCH(tblBudget[[#This Row],[CATEGORIA]],tab_ProjTypeCluster[Macro area],0))</f>
        <v>#N/A</v>
      </c>
      <c r="D15" t="e">
        <f>INDEX(tab_ProjTypeCluster[ProjType Cluster 1],MATCH(tblBudget[[#This Row],[CATEGORIA]],tab_ProjTypeCluster[Macro area],0))</f>
        <v>#N/A</v>
      </c>
      <c r="E15" t="e">
        <f>INDEX(tab_ProjTypeCluster[ProjType Cluster 2],MATCH(tblBudget[[#This Row],[CATEGORIA]],tab_ProjTypeCluster[Macro area],0))</f>
        <v>#N/A</v>
      </c>
      <c r="G15" t="e">
        <f>INDEX(tab_resp1liv[EngUnit area cluster 1_],MATCH(SUBSTITUTE(SUBSTITUTE(#REF!,"(ai)","")," ",""),tab_resp1liv[SearchKey],0))</f>
        <v>#REF!</v>
      </c>
      <c r="H15">
        <f>tblBudget[[#This Row],[EST]]+tblBudget[[#This Row],[EST3]]</f>
        <v>247</v>
      </c>
      <c r="I15">
        <f>tblBudget[[#This Row],[INT]]+tblBudget[[#This Row],[INT2]]</f>
        <v>137</v>
      </c>
      <c r="J15" t="str">
        <f>tblBudget[[#This Row],[TOTALE TOT]]</f>
        <v>127</v>
      </c>
      <c r="K15" t="s">
        <v>169</v>
      </c>
      <c r="L15" t="s">
        <v>170</v>
      </c>
      <c r="M15" t="s">
        <v>209</v>
      </c>
      <c r="N15" t="s">
        <v>277</v>
      </c>
      <c r="O15" t="s">
        <v>278</v>
      </c>
      <c r="P15" t="s">
        <v>279</v>
      </c>
      <c r="Q15" t="s">
        <v>280</v>
      </c>
      <c r="R15" t="s">
        <v>281</v>
      </c>
      <c r="S15" t="s">
        <v>282</v>
      </c>
    </row>
    <row r="16" spans="1:19" x14ac:dyDescent="0.25">
      <c r="A16" t="str">
        <f>IF(AND(tblBudget[[#This Row],[Business ]]&gt;"",tblBudget[[#This Row],[CATEGORIA]]=""),"no","sì")</f>
        <v>sì</v>
      </c>
      <c r="B16" t="str">
        <f>tblBudget[[#This Row],[Business ]]</f>
        <v>Caso 1</v>
      </c>
      <c r="C16" t="e">
        <f>INDEX(tab_ProjTypeCluster[ProjType],MATCH(tblBudget[[#This Row],[CATEGORIA]],tab_ProjTypeCluster[Macro area],0))</f>
        <v>#N/A</v>
      </c>
      <c r="D16" t="e">
        <f>INDEX(tab_ProjTypeCluster[ProjType Cluster 1],MATCH(tblBudget[[#This Row],[CATEGORIA]],tab_ProjTypeCluster[Macro area],0))</f>
        <v>#N/A</v>
      </c>
      <c r="E16" t="e">
        <f>INDEX(tab_ProjTypeCluster[ProjType Cluster 2],MATCH(tblBudget[[#This Row],[CATEGORIA]],tab_ProjTypeCluster[Macro area],0))</f>
        <v>#N/A</v>
      </c>
      <c r="G16" t="e">
        <f>INDEX(tab_resp1liv[EngUnit area cluster 1_],MATCH(SUBSTITUTE(SUBSTITUTE(#REF!,"(ai)","")," ",""),tab_resp1liv[SearchKey],0))</f>
        <v>#REF!</v>
      </c>
      <c r="H16">
        <f>tblBudget[[#This Row],[EST]]+tblBudget[[#This Row],[EST3]]</f>
        <v>267</v>
      </c>
      <c r="I16">
        <f>tblBudget[[#This Row],[INT]]+tblBudget[[#This Row],[INT2]]</f>
        <v>148</v>
      </c>
      <c r="J16" t="str">
        <f>tblBudget[[#This Row],[TOTALE TOT]]</f>
        <v>137</v>
      </c>
      <c r="K16" t="s">
        <v>220</v>
      </c>
      <c r="L16" t="s">
        <v>168</v>
      </c>
      <c r="M16" t="s">
        <v>210</v>
      </c>
      <c r="N16" t="s">
        <v>283</v>
      </c>
      <c r="O16" t="s">
        <v>284</v>
      </c>
      <c r="P16" t="s">
        <v>285</v>
      </c>
      <c r="Q16" t="s">
        <v>286</v>
      </c>
      <c r="R16" t="s">
        <v>287</v>
      </c>
      <c r="S16" t="s">
        <v>288</v>
      </c>
    </row>
    <row r="17" spans="1:19" x14ac:dyDescent="0.25">
      <c r="A17" t="str">
        <f>IF(AND(tblBudget[[#This Row],[Business ]]&gt;"",tblBudget[[#This Row],[CATEGORIA]]=""),"no","sì")</f>
        <v>sì</v>
      </c>
      <c r="B17" t="str">
        <f>tblBudget[[#This Row],[Business ]]</f>
        <v>Caso D</v>
      </c>
      <c r="C17" t="e">
        <f>INDEX(tab_ProjTypeCluster[ProjType],MATCH(tblBudget[[#This Row],[CATEGORIA]],tab_ProjTypeCluster[Macro area],0))</f>
        <v>#N/A</v>
      </c>
      <c r="D17" t="e">
        <f>INDEX(tab_ProjTypeCluster[ProjType Cluster 1],MATCH(tblBudget[[#This Row],[CATEGORIA]],tab_ProjTypeCluster[Macro area],0))</f>
        <v>#N/A</v>
      </c>
      <c r="E17" t="e">
        <f>INDEX(tab_ProjTypeCluster[ProjType Cluster 2],MATCH(tblBudget[[#This Row],[CATEGORIA]],tab_ProjTypeCluster[Macro area],0))</f>
        <v>#N/A</v>
      </c>
      <c r="G17" t="e">
        <f>INDEX(tab_resp1liv[EngUnit area cluster 1_],MATCH(SUBSTITUTE(SUBSTITUTE(#REF!,"(ai)","")," ",""),tab_resp1liv[SearchKey],0))</f>
        <v>#REF!</v>
      </c>
      <c r="H17">
        <f>tblBudget[[#This Row],[EST]]+tblBudget[[#This Row],[EST3]]</f>
        <v>287</v>
      </c>
      <c r="I17">
        <f>tblBudget[[#This Row],[INT]]+tblBudget[[#This Row],[INT2]]</f>
        <v>159</v>
      </c>
      <c r="J17" t="str">
        <f>tblBudget[[#This Row],[TOTALE TOT]]</f>
        <v>147</v>
      </c>
      <c r="K17" t="s">
        <v>173</v>
      </c>
      <c r="L17" t="s">
        <v>159</v>
      </c>
      <c r="M17" t="s">
        <v>211</v>
      </c>
      <c r="N17" t="s">
        <v>289</v>
      </c>
      <c r="O17" t="s">
        <v>290</v>
      </c>
      <c r="P17" t="s">
        <v>291</v>
      </c>
      <c r="Q17" t="s">
        <v>292</v>
      </c>
      <c r="R17" t="s">
        <v>293</v>
      </c>
      <c r="S17" t="s">
        <v>294</v>
      </c>
    </row>
    <row r="18" spans="1:19" x14ac:dyDescent="0.25">
      <c r="A18" t="str">
        <f>IF(AND(tblBudget[[#This Row],[Business ]]&gt;"",tblBudget[[#This Row],[CATEGORIA]]=""),"no","sì")</f>
        <v>sì</v>
      </c>
      <c r="B18" t="str">
        <f>tblBudget[[#This Row],[Business ]]</f>
        <v>Match caso 2</v>
      </c>
      <c r="C18" t="e">
        <f>INDEX(tab_ProjTypeCluster[ProjType],MATCH(tblBudget[[#This Row],[CATEGORIA]],tab_ProjTypeCluster[Macro area],0))</f>
        <v>#N/A</v>
      </c>
      <c r="D18" t="e">
        <f>INDEX(tab_ProjTypeCluster[ProjType Cluster 1],MATCH(tblBudget[[#This Row],[CATEGORIA]],tab_ProjTypeCluster[Macro area],0))</f>
        <v>#N/A</v>
      </c>
      <c r="E18" t="e">
        <f>INDEX(tab_ProjTypeCluster[ProjType Cluster 2],MATCH(tblBudget[[#This Row],[CATEGORIA]],tab_ProjTypeCluster[Macro area],0))</f>
        <v>#N/A</v>
      </c>
      <c r="G18" t="e">
        <f>INDEX(tab_resp1liv[EngUnit area cluster 1_],MATCH(SUBSTITUTE(SUBSTITUTE(#REF!,"(ai)","")," ",""),tab_resp1liv[SearchKey],0))</f>
        <v>#REF!</v>
      </c>
      <c r="H18">
        <f>tblBudget[[#This Row],[EST]]+tblBudget[[#This Row],[EST3]]</f>
        <v>307</v>
      </c>
      <c r="I18">
        <f>tblBudget[[#This Row],[INT]]+tblBudget[[#This Row],[INT2]]</f>
        <v>170</v>
      </c>
      <c r="J18" t="str">
        <f>tblBudget[[#This Row],[TOTALE TOT]]</f>
        <v>157</v>
      </c>
      <c r="K18" t="s">
        <v>158</v>
      </c>
      <c r="L18" t="s">
        <v>172</v>
      </c>
      <c r="M18" t="s">
        <v>212</v>
      </c>
      <c r="N18" t="s">
        <v>295</v>
      </c>
      <c r="O18" t="s">
        <v>296</v>
      </c>
      <c r="P18" t="s">
        <v>297</v>
      </c>
      <c r="Q18" t="s">
        <v>298</v>
      </c>
      <c r="R18" t="s">
        <v>299</v>
      </c>
      <c r="S18" t="s">
        <v>300</v>
      </c>
    </row>
    <row r="19" spans="1:19" x14ac:dyDescent="0.25">
      <c r="A19" t="str">
        <f>IF(AND(tblBudget[[#This Row],[Business ]]&gt;"",tblBudget[[#This Row],[CATEGORIA]]=""),"no","sì")</f>
        <v>sì</v>
      </c>
      <c r="B19" t="str">
        <f>tblBudget[[#This Row],[Business ]]</f>
        <v>Pluto 1</v>
      </c>
      <c r="C19" t="e">
        <f>INDEX(tab_ProjTypeCluster[ProjType],MATCH(tblBudget[[#This Row],[CATEGORIA]],tab_ProjTypeCluster[Macro area],0))</f>
        <v>#N/A</v>
      </c>
      <c r="D19" t="e">
        <f>INDEX(tab_ProjTypeCluster[ProjType Cluster 1],MATCH(tblBudget[[#This Row],[CATEGORIA]],tab_ProjTypeCluster[Macro area],0))</f>
        <v>#N/A</v>
      </c>
      <c r="E19" t="e">
        <f>INDEX(tab_ProjTypeCluster[ProjType Cluster 2],MATCH(tblBudget[[#This Row],[CATEGORIA]],tab_ProjTypeCluster[Macro area],0))</f>
        <v>#N/A</v>
      </c>
      <c r="G19" t="e">
        <f>INDEX(tab_resp1liv[EngUnit area cluster 1_],MATCH(SUBSTITUTE(SUBSTITUTE(#REF!,"(ai)","")," ",""),tab_resp1liv[SearchKey],0))</f>
        <v>#REF!</v>
      </c>
      <c r="H19">
        <f>tblBudget[[#This Row],[EST]]+tblBudget[[#This Row],[EST3]]</f>
        <v>327</v>
      </c>
      <c r="I19">
        <f>tblBudget[[#This Row],[INT]]+tblBudget[[#This Row],[INT2]]</f>
        <v>181</v>
      </c>
      <c r="J19" t="str">
        <f>tblBudget[[#This Row],[TOTALE TOT]]</f>
        <v>167</v>
      </c>
      <c r="K19" t="s">
        <v>301</v>
      </c>
      <c r="L19" t="s">
        <v>302</v>
      </c>
      <c r="M19" t="s">
        <v>213</v>
      </c>
      <c r="N19" t="s">
        <v>303</v>
      </c>
      <c r="O19" t="s">
        <v>304</v>
      </c>
      <c r="P19" t="s">
        <v>305</v>
      </c>
      <c r="Q19" t="s">
        <v>306</v>
      </c>
      <c r="R19" t="s">
        <v>307</v>
      </c>
      <c r="S19" t="s">
        <v>308</v>
      </c>
    </row>
    <row r="20" spans="1:19" x14ac:dyDescent="0.25">
      <c r="A20" t="str">
        <f>IF(AND(tblBudget[[#This Row],[Business ]]&gt;"",tblBudget[[#This Row],[CATEGORIA]]=""),"no","sì")</f>
        <v>sì</v>
      </c>
      <c r="B20" t="str">
        <f>tblBudget[[#This Row],[Business ]]</f>
        <v>Pluto 2</v>
      </c>
      <c r="C20" t="e">
        <f>INDEX(tab_ProjTypeCluster[ProjType],MATCH(tblBudget[[#This Row],[CATEGORIA]],tab_ProjTypeCluster[Macro area],0))</f>
        <v>#N/A</v>
      </c>
      <c r="D20" t="e">
        <f>INDEX(tab_ProjTypeCluster[ProjType Cluster 1],MATCH(tblBudget[[#This Row],[CATEGORIA]],tab_ProjTypeCluster[Macro area],0))</f>
        <v>#N/A</v>
      </c>
      <c r="E20" t="e">
        <f>INDEX(tab_ProjTypeCluster[ProjType Cluster 2],MATCH(tblBudget[[#This Row],[CATEGORIA]],tab_ProjTypeCluster[Macro area],0))</f>
        <v>#N/A</v>
      </c>
      <c r="G20" t="e">
        <f>INDEX(tab_resp1liv[EngUnit area cluster 1_],MATCH(SUBSTITUTE(SUBSTITUTE(#REF!,"(ai)","")," ",""),tab_resp1liv[SearchKey],0))</f>
        <v>#REF!</v>
      </c>
      <c r="H20">
        <f>tblBudget[[#This Row],[EST]]+tblBudget[[#This Row],[EST3]]</f>
        <v>347</v>
      </c>
      <c r="I20">
        <f>tblBudget[[#This Row],[INT]]+tblBudget[[#This Row],[INT2]]</f>
        <v>192</v>
      </c>
      <c r="J20" t="str">
        <f>tblBudget[[#This Row],[TOTALE TOT]]</f>
        <v>177</v>
      </c>
      <c r="K20" t="s">
        <v>309</v>
      </c>
      <c r="L20" t="s">
        <v>310</v>
      </c>
      <c r="M20" t="s">
        <v>311</v>
      </c>
      <c r="N20" t="s">
        <v>312</v>
      </c>
      <c r="O20" t="s">
        <v>313</v>
      </c>
      <c r="P20" t="s">
        <v>314</v>
      </c>
      <c r="Q20" t="s">
        <v>315</v>
      </c>
      <c r="R20" t="s">
        <v>316</v>
      </c>
      <c r="S20" t="s">
        <v>317</v>
      </c>
    </row>
    <row r="21" spans="1:19" x14ac:dyDescent="0.25">
      <c r="A21" t="str">
        <f>IF(AND(tblBudget[[#This Row],[Business ]]&gt;"",tblBudget[[#This Row],[CATEGORIA]]=""),"no","sì")</f>
        <v>sì</v>
      </c>
      <c r="B21" t="str">
        <f>tblBudget[[#This Row],[Business ]]</f>
        <v>Pluto 3</v>
      </c>
      <c r="C21" t="e">
        <f>INDEX(tab_ProjTypeCluster[ProjType],MATCH(tblBudget[[#This Row],[CATEGORIA]],tab_ProjTypeCluster[Macro area],0))</f>
        <v>#N/A</v>
      </c>
      <c r="D21" t="e">
        <f>INDEX(tab_ProjTypeCluster[ProjType Cluster 1],MATCH(tblBudget[[#This Row],[CATEGORIA]],tab_ProjTypeCluster[Macro area],0))</f>
        <v>#N/A</v>
      </c>
      <c r="E21" t="e">
        <f>INDEX(tab_ProjTypeCluster[ProjType Cluster 2],MATCH(tblBudget[[#This Row],[CATEGORIA]],tab_ProjTypeCluster[Macro area],0))</f>
        <v>#N/A</v>
      </c>
      <c r="G21" t="e">
        <f>INDEX(tab_resp1liv[EngUnit area cluster 1_],MATCH(SUBSTITUTE(SUBSTITUTE(#REF!,"(ai)","")," ",""),tab_resp1liv[SearchKey],0))</f>
        <v>#REF!</v>
      </c>
      <c r="H21">
        <f>tblBudget[[#This Row],[EST]]+tblBudget[[#This Row],[EST3]]</f>
        <v>367</v>
      </c>
      <c r="I21">
        <f>tblBudget[[#This Row],[INT]]+tblBudget[[#This Row],[INT2]]</f>
        <v>203</v>
      </c>
      <c r="J21" t="str">
        <f>tblBudget[[#This Row],[TOTALE TOT]]</f>
        <v>187</v>
      </c>
      <c r="K21" t="s">
        <v>318</v>
      </c>
      <c r="L21" t="s">
        <v>319</v>
      </c>
      <c r="M21" t="s">
        <v>320</v>
      </c>
      <c r="N21" t="s">
        <v>321</v>
      </c>
      <c r="O21" t="s">
        <v>322</v>
      </c>
      <c r="P21" t="s">
        <v>323</v>
      </c>
      <c r="Q21" t="s">
        <v>324</v>
      </c>
      <c r="R21" t="s">
        <v>325</v>
      </c>
      <c r="S21" t="s">
        <v>326</v>
      </c>
    </row>
    <row r="22" spans="1:19" x14ac:dyDescent="0.25">
      <c r="A22" t="str">
        <f>IF(AND(tblBudget[[#This Row],[Business ]]&gt;"",tblBudget[[#This Row],[CATEGORIA]]=""),"no","sì")</f>
        <v>sì</v>
      </c>
      <c r="B22" t="str">
        <f>tblBudget[[#This Row],[Business ]]</f>
        <v>Caso Pippo</v>
      </c>
      <c r="C22" t="e">
        <f>INDEX(tab_ProjTypeCluster[ProjType],MATCH(tblBudget[[#This Row],[CATEGORIA]],tab_ProjTypeCluster[Macro area],0))</f>
        <v>#N/A</v>
      </c>
      <c r="D22" t="e">
        <f>INDEX(tab_ProjTypeCluster[ProjType Cluster 1],MATCH(tblBudget[[#This Row],[CATEGORIA]],tab_ProjTypeCluster[Macro area],0))</f>
        <v>#N/A</v>
      </c>
      <c r="E22" t="e">
        <f>INDEX(tab_ProjTypeCluster[ProjType Cluster 2],MATCH(tblBudget[[#This Row],[CATEGORIA]],tab_ProjTypeCluster[Macro area],0))</f>
        <v>#N/A</v>
      </c>
      <c r="G22" t="e">
        <f>INDEX(tab_resp1liv[EngUnit area cluster 1_],MATCH(SUBSTITUTE(SUBSTITUTE(#REF!,"(ai)","")," ",""),tab_resp1liv[SearchKey],0))</f>
        <v>#REF!</v>
      </c>
      <c r="H22">
        <f>tblBudget[[#This Row],[EST]]+tblBudget[[#This Row],[EST3]]</f>
        <v>387</v>
      </c>
      <c r="I22">
        <f>tblBudget[[#This Row],[INT]]+tblBudget[[#This Row],[INT2]]</f>
        <v>214</v>
      </c>
      <c r="J22" t="str">
        <f>tblBudget[[#This Row],[TOTALE TOT]]</f>
        <v>197</v>
      </c>
      <c r="K22" t="s">
        <v>164</v>
      </c>
      <c r="L22" t="s">
        <v>301</v>
      </c>
      <c r="M22" t="s">
        <v>327</v>
      </c>
      <c r="N22" t="s">
        <v>328</v>
      </c>
      <c r="O22" t="s">
        <v>329</v>
      </c>
      <c r="P22" t="s">
        <v>330</v>
      </c>
      <c r="Q22" t="s">
        <v>331</v>
      </c>
      <c r="R22" t="s">
        <v>332</v>
      </c>
      <c r="S22" t="s">
        <v>333</v>
      </c>
    </row>
    <row r="23" spans="1:19" x14ac:dyDescent="0.25">
      <c r="A23" t="str">
        <f>IF(AND(tblBudget[[#This Row],[Business ]]&gt;"",tblBudget[[#This Row],[CATEGORIA]]=""),"no","sì")</f>
        <v>sì</v>
      </c>
      <c r="B23" t="str">
        <f>tblBudget[[#This Row],[Business ]]</f>
        <v>Caso Pippo</v>
      </c>
      <c r="C23" t="e">
        <f>INDEX(tab_ProjTypeCluster[ProjType],MATCH(tblBudget[[#This Row],[CATEGORIA]],tab_ProjTypeCluster[Macro area],0))</f>
        <v>#N/A</v>
      </c>
      <c r="D23" t="e">
        <f>INDEX(tab_ProjTypeCluster[ProjType Cluster 1],MATCH(tblBudget[[#This Row],[CATEGORIA]],tab_ProjTypeCluster[Macro area],0))</f>
        <v>#N/A</v>
      </c>
      <c r="E23" t="e">
        <f>INDEX(tab_ProjTypeCluster[ProjType Cluster 2],MATCH(tblBudget[[#This Row],[CATEGORIA]],tab_ProjTypeCluster[Macro area],0))</f>
        <v>#N/A</v>
      </c>
      <c r="G23" t="e">
        <f>INDEX(tab_resp1liv[EngUnit area cluster 1_],MATCH(SUBSTITUTE(SUBSTITUTE(#REF!,"(ai)","")," ",""),tab_resp1liv[SearchKey],0))</f>
        <v>#REF!</v>
      </c>
      <c r="H23">
        <f>tblBudget[[#This Row],[EST]]+tblBudget[[#This Row],[EST3]]</f>
        <v>407</v>
      </c>
      <c r="I23">
        <f>tblBudget[[#This Row],[INT]]+tblBudget[[#This Row],[INT2]]</f>
        <v>225</v>
      </c>
      <c r="J23" t="str">
        <f>tblBudget[[#This Row],[TOTALE TOT]]</f>
        <v>207</v>
      </c>
      <c r="K23" t="s">
        <v>164</v>
      </c>
      <c r="L23" t="s">
        <v>309</v>
      </c>
      <c r="M23" t="s">
        <v>334</v>
      </c>
      <c r="N23" t="s">
        <v>335</v>
      </c>
      <c r="O23" t="s">
        <v>336</v>
      </c>
      <c r="P23" t="s">
        <v>337</v>
      </c>
      <c r="Q23" t="s">
        <v>338</v>
      </c>
      <c r="R23" t="s">
        <v>339</v>
      </c>
      <c r="S23" t="s">
        <v>340</v>
      </c>
    </row>
    <row r="24" spans="1:19" x14ac:dyDescent="0.25">
      <c r="A24" t="str">
        <f>IF(AND(tblBudget[[#This Row],[Business ]]&gt;"",tblBudget[[#This Row],[CATEGORIA]]=""),"no","sì")</f>
        <v>sì</v>
      </c>
      <c r="B24" t="str">
        <f>tblBudget[[#This Row],[Business ]]</f>
        <v>Caso Pippo</v>
      </c>
      <c r="C24" t="e">
        <f>INDEX(tab_ProjTypeCluster[ProjType],MATCH(tblBudget[[#This Row],[CATEGORIA]],tab_ProjTypeCluster[Macro area],0))</f>
        <v>#N/A</v>
      </c>
      <c r="D24" t="e">
        <f>INDEX(tab_ProjTypeCluster[ProjType Cluster 1],MATCH(tblBudget[[#This Row],[CATEGORIA]],tab_ProjTypeCluster[Macro area],0))</f>
        <v>#N/A</v>
      </c>
      <c r="E24" t="e">
        <f>INDEX(tab_ProjTypeCluster[ProjType Cluster 2],MATCH(tblBudget[[#This Row],[CATEGORIA]],tab_ProjTypeCluster[Macro area],0))</f>
        <v>#N/A</v>
      </c>
      <c r="G24" t="e">
        <f>INDEX(tab_resp1liv[EngUnit area cluster 1_],MATCH(SUBSTITUTE(SUBSTITUTE(#REF!,"(ai)","")," ",""),tab_resp1liv[SearchKey],0))</f>
        <v>#REF!</v>
      </c>
      <c r="H24">
        <f>tblBudget[[#This Row],[EST]]+tblBudget[[#This Row],[EST3]]</f>
        <v>427</v>
      </c>
      <c r="I24">
        <f>tblBudget[[#This Row],[INT]]+tblBudget[[#This Row],[INT2]]</f>
        <v>236</v>
      </c>
      <c r="J24" t="str">
        <f>tblBudget[[#This Row],[TOTALE TOT]]</f>
        <v>217</v>
      </c>
      <c r="K24" t="s">
        <v>164</v>
      </c>
      <c r="L24" t="s">
        <v>318</v>
      </c>
      <c r="M24" t="s">
        <v>214</v>
      </c>
      <c r="N24" t="s">
        <v>341</v>
      </c>
      <c r="O24" t="s">
        <v>342</v>
      </c>
      <c r="P24" t="s">
        <v>343</v>
      </c>
      <c r="Q24" t="s">
        <v>344</v>
      </c>
      <c r="R24" t="s">
        <v>345</v>
      </c>
      <c r="S24" t="s">
        <v>346</v>
      </c>
    </row>
    <row r="25" spans="1:19" x14ac:dyDescent="0.25">
      <c r="A25" t="str">
        <f>IF(AND(tblBudget[[#This Row],[Business ]]&gt;"",tblBudget[[#This Row],[CATEGORIA]]=""),"no","sì")</f>
        <v>sì</v>
      </c>
      <c r="B25" t="str">
        <f>tblBudget[[#This Row],[Business ]]</f>
        <v>Pluto</v>
      </c>
      <c r="C25" t="e">
        <f>INDEX(tab_ProjTypeCluster[ProjType],MATCH(tblBudget[[#This Row],[CATEGORIA]],tab_ProjTypeCluster[Macro area],0))</f>
        <v>#N/A</v>
      </c>
      <c r="D25" t="e">
        <f>INDEX(tab_ProjTypeCluster[ProjType Cluster 1],MATCH(tblBudget[[#This Row],[CATEGORIA]],tab_ProjTypeCluster[Macro area],0))</f>
        <v>#N/A</v>
      </c>
      <c r="E25" t="e">
        <f>INDEX(tab_ProjTypeCluster[ProjType Cluster 2],MATCH(tblBudget[[#This Row],[CATEGORIA]],tab_ProjTypeCluster[Macro area],0))</f>
        <v>#N/A</v>
      </c>
      <c r="G25" t="e">
        <f>INDEX(tab_resp1liv[EngUnit area cluster 1_],MATCH(SUBSTITUTE(SUBSTITUTE(#REF!,"(ai)","")," ",""),tab_resp1liv[SearchKey],0))</f>
        <v>#REF!</v>
      </c>
      <c r="H25">
        <f>tblBudget[[#This Row],[EST]]+tblBudget[[#This Row],[EST3]]</f>
        <v>447</v>
      </c>
      <c r="I25">
        <f>tblBudget[[#This Row],[INT]]+tblBudget[[#This Row],[INT2]]</f>
        <v>247</v>
      </c>
      <c r="J25" t="str">
        <f>tblBudget[[#This Row],[TOTALE TOT]]</f>
        <v>227</v>
      </c>
      <c r="K25" t="s">
        <v>347</v>
      </c>
      <c r="L25" t="s">
        <v>348</v>
      </c>
      <c r="M25" t="s">
        <v>215</v>
      </c>
      <c r="N25" t="s">
        <v>349</v>
      </c>
      <c r="O25" t="s">
        <v>350</v>
      </c>
      <c r="P25" t="s">
        <v>351</v>
      </c>
      <c r="Q25" t="s">
        <v>352</v>
      </c>
      <c r="R25" t="s">
        <v>353</v>
      </c>
      <c r="S25" t="s">
        <v>354</v>
      </c>
    </row>
    <row r="26" spans="1:19" x14ac:dyDescent="0.25">
      <c r="A26" t="str">
        <f>IF(AND(tblBudget[[#This Row],[Business ]]&gt;"",tblBudget[[#This Row],[CATEGORIA]]=""),"no","sì")</f>
        <v>sì</v>
      </c>
      <c r="B26" t="str">
        <f>tblBudget[[#This Row],[Business ]]</f>
        <v>Pluto</v>
      </c>
      <c r="C26" t="e">
        <f>INDEX(tab_ProjTypeCluster[ProjType],MATCH(tblBudget[[#This Row],[CATEGORIA]],tab_ProjTypeCluster[Macro area],0))</f>
        <v>#N/A</v>
      </c>
      <c r="D26" t="e">
        <f>INDEX(tab_ProjTypeCluster[ProjType Cluster 1],MATCH(tblBudget[[#This Row],[CATEGORIA]],tab_ProjTypeCluster[Macro area],0))</f>
        <v>#N/A</v>
      </c>
      <c r="E26" t="e">
        <f>INDEX(tab_ProjTypeCluster[ProjType Cluster 2],MATCH(tblBudget[[#This Row],[CATEGORIA]],tab_ProjTypeCluster[Macro area],0))</f>
        <v>#N/A</v>
      </c>
      <c r="G26" t="e">
        <f>INDEX(tab_resp1liv[EngUnit area cluster 1_],MATCH(SUBSTITUTE(SUBSTITUTE(#REF!,"(ai)","")," ",""),tab_resp1liv[SearchKey],0))</f>
        <v>#REF!</v>
      </c>
      <c r="H26">
        <f>tblBudget[[#This Row],[EST]]+tblBudget[[#This Row],[EST3]]</f>
        <v>467</v>
      </c>
      <c r="I26">
        <f>tblBudget[[#This Row],[INT]]+tblBudget[[#This Row],[INT2]]</f>
        <v>258</v>
      </c>
      <c r="J26" t="str">
        <f>tblBudget[[#This Row],[TOTALE TOT]]</f>
        <v>237</v>
      </c>
      <c r="K26" t="s">
        <v>347</v>
      </c>
      <c r="L26" t="s">
        <v>348</v>
      </c>
      <c r="M26" t="s">
        <v>216</v>
      </c>
      <c r="N26" t="s">
        <v>355</v>
      </c>
      <c r="O26" t="s">
        <v>356</v>
      </c>
      <c r="P26" t="s">
        <v>357</v>
      </c>
      <c r="Q26" t="s">
        <v>358</v>
      </c>
      <c r="R26" t="s">
        <v>359</v>
      </c>
      <c r="S26" t="s">
        <v>360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14"/>
  <sheetViews>
    <sheetView zoomScale="85" zoomScaleNormal="85" workbookViewId="0">
      <selection sqref="A1:O1"/>
    </sheetView>
  </sheetViews>
  <sheetFormatPr defaultRowHeight="15" x14ac:dyDescent="0.25"/>
  <cols>
    <col min="1" max="1" width="17.140625" customWidth="1"/>
    <col min="2" max="2" width="19" customWidth="1"/>
    <col min="3" max="3" width="19.28515625" bestFit="1" customWidth="1"/>
    <col min="4" max="4" width="23.7109375" bestFit="1" customWidth="1"/>
    <col min="5" max="5" width="14.42578125" customWidth="1"/>
    <col min="6" max="7" width="16.5703125" customWidth="1"/>
    <col min="8" max="8" width="18" customWidth="1"/>
    <col min="9" max="9" width="16.140625" customWidth="1"/>
    <col min="10" max="10" width="18.140625" customWidth="1"/>
    <col min="11" max="11" width="17.5703125" customWidth="1"/>
    <col min="12" max="12" width="16" customWidth="1"/>
    <col min="13" max="13" width="16.42578125" customWidth="1"/>
    <col min="14" max="14" width="19.140625" customWidth="1"/>
    <col min="15" max="15" width="17.85546875" customWidth="1"/>
    <col min="16" max="16" width="15.28515625" customWidth="1"/>
    <col min="17" max="17" width="13.42578125" customWidth="1"/>
    <col min="20" max="20" width="18.28515625" customWidth="1"/>
    <col min="23" max="23" width="16.7109375" customWidth="1"/>
    <col min="24" max="24" width="13.5703125" customWidth="1"/>
  </cols>
  <sheetData>
    <row r="1" spans="1:24" x14ac:dyDescent="0.25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1"/>
      <c r="P1" s="124" t="s">
        <v>5</v>
      </c>
      <c r="Q1" s="124"/>
      <c r="R1" s="124"/>
      <c r="S1" s="124"/>
      <c r="T1" s="124"/>
      <c r="U1" s="124"/>
      <c r="V1" s="124"/>
      <c r="W1" s="124"/>
      <c r="X1" s="125"/>
    </row>
    <row r="2" spans="1:24" x14ac:dyDescent="0.25">
      <c r="A2" s="68" t="s">
        <v>24</v>
      </c>
      <c r="B2" s="68" t="s">
        <v>25</v>
      </c>
      <c r="C2" s="68" t="s">
        <v>26</v>
      </c>
      <c r="D2" s="68" t="s">
        <v>27</v>
      </c>
      <c r="E2" s="68" t="s">
        <v>28</v>
      </c>
      <c r="F2" s="68" t="s">
        <v>29</v>
      </c>
      <c r="G2" s="68" t="s">
        <v>30</v>
      </c>
      <c r="H2" s="68" t="s">
        <v>31</v>
      </c>
      <c r="I2" s="68" t="s">
        <v>32</v>
      </c>
      <c r="J2" s="68" t="s">
        <v>33</v>
      </c>
      <c r="K2" s="68" t="s">
        <v>34</v>
      </c>
      <c r="L2" s="68" t="s">
        <v>35</v>
      </c>
      <c r="M2" s="68" t="s">
        <v>36</v>
      </c>
      <c r="N2" s="68" t="s">
        <v>37</v>
      </c>
      <c r="O2" s="72" t="s">
        <v>38</v>
      </c>
      <c r="P2" s="88" t="s">
        <v>424</v>
      </c>
      <c r="Q2" s="88" t="s">
        <v>16</v>
      </c>
      <c r="R2" s="88" t="s">
        <v>17</v>
      </c>
      <c r="S2" s="88" t="s">
        <v>18</v>
      </c>
      <c r="T2" s="88" t="s">
        <v>19</v>
      </c>
      <c r="U2" s="88" t="s">
        <v>20</v>
      </c>
      <c r="V2" s="88" t="s">
        <v>21</v>
      </c>
      <c r="W2" s="88" t="s">
        <v>22</v>
      </c>
      <c r="X2" s="88" t="s">
        <v>23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*cccc</v>
      </c>
      <c r="E3" t="str">
        <f>tblForecast[[#This Row],[CATEGORIA TMP]]&amp;""</f>
        <v>abcd*</v>
      </c>
      <c r="F3" t="str">
        <f>tblForecast[[#This Row],[INT]]</f>
        <v>1</v>
      </c>
      <c r="G3" t="str">
        <f>tblForecast[[#This Row],[EST]]</f>
        <v>104</v>
      </c>
      <c r="H3" t="str">
        <f>tblForecast[[#This Row],[totale Gamberini]]</f>
        <v>105</v>
      </c>
      <c r="I3" t="str">
        <f>tblForecast[[#This Row],[INT2]]</f>
        <v>106</v>
      </c>
      <c r="J3" t="str">
        <f>tblForecast[[#This Row],[EST3]]</f>
        <v>107</v>
      </c>
      <c r="K3" t="str">
        <f>tblForecast[[#This Row],[totale Lanzarini]]</f>
        <v>108</v>
      </c>
      <c r="L3">
        <f>tblForecast[[#This Row],[INT]]+tblForecast[[#This Row],[INT2]]</f>
        <v>107</v>
      </c>
      <c r="M3">
        <f>tblForecast[[#This Row],[EST]]+tblForecast[[#This Row],[EST3]]</f>
        <v>211</v>
      </c>
      <c r="N3" t="str">
        <f>tblForecast[[#This Row],[TOTALE TOT]]</f>
        <v>109</v>
      </c>
      <c r="O3" t="str">
        <f>IF(LEFT(tblForecast[[#This Row],[CATEGORIA]],3)="R&amp;D","R&amp;D",tblForecast[[#This Row],[CATEGORIA]])</f>
        <v>abcd*</v>
      </c>
      <c r="P3" t="s">
        <v>171</v>
      </c>
      <c r="Q3" t="s">
        <v>155</v>
      </c>
      <c r="R3" t="s">
        <v>202</v>
      </c>
      <c r="S3" t="s">
        <v>267</v>
      </c>
      <c r="T3" t="s">
        <v>268</v>
      </c>
      <c r="U3" t="s">
        <v>269</v>
      </c>
      <c r="V3" t="s">
        <v>270</v>
      </c>
      <c r="W3" t="s">
        <v>361</v>
      </c>
      <c r="X3" t="s">
        <v>362</v>
      </c>
    </row>
    <row r="4" spans="1:24" x14ac:dyDescent="0.25">
      <c r="A4" t="str">
        <f>IF(AND(tblForecast[[#This Row],[Business ]]&gt;"",tblForecast[[#This Row],[CATEGORIA]]=""),"no","sì")</f>
        <v>sì</v>
      </c>
      <c r="B4" t="e">
        <f>IF(tblForecast[[#This Row],[da considerare?]]="sì",INDEX(tab_ProjType[ProjType Cluster 1],MATCH(tblForecast[[#This Row],[CATEGORIA TMP]],tab_ProjType[Macro area],0)),"")</f>
        <v>#N/A</v>
      </c>
      <c r="C4" t="e">
        <f>IF(tblForecast[[#This Row],[da considerare?]]="sì",INDEX(tab_ProjType[ProjType Cluster 2],MATCH(tblForecast[[#This Row],[CATEGORIA TMP]],tab_ProjType[Macro area],0)),"")</f>
        <v>#N/A</v>
      </c>
      <c r="D4" t="str">
        <f>IF(tblForecast[[#This Row],[Business ]]&gt;"",tblForecast[[#This Row],[Business ]],D3)</f>
        <v>Match caso 3</v>
      </c>
      <c r="E4" t="str">
        <f>tblForecast[[#This Row],[CATEGORIA TMP]]&amp;""</f>
        <v>ef*gh</v>
      </c>
      <c r="F4" t="str">
        <f>tblForecast[[#This Row],[INT]]</f>
        <v>2</v>
      </c>
      <c r="G4" t="str">
        <f>tblForecast[[#This Row],[EST]]</f>
        <v>114</v>
      </c>
      <c r="H4" t="str">
        <f>tblForecast[[#This Row],[totale Gamberini]]</f>
        <v>115</v>
      </c>
      <c r="I4" t="str">
        <f>tblForecast[[#This Row],[INT2]]</f>
        <v>116</v>
      </c>
      <c r="J4" t="str">
        <f>tblForecast[[#This Row],[EST3]]</f>
        <v>117</v>
      </c>
      <c r="K4" t="str">
        <f>tblForecast[[#This Row],[totale Lanzarini]]</f>
        <v>118</v>
      </c>
      <c r="L4">
        <f>tblForecast[[#This Row],[INT]]+tblForecast[[#This Row],[INT2]]</f>
        <v>118</v>
      </c>
      <c r="M4">
        <f>tblForecast[[#This Row],[EST]]+tblForecast[[#This Row],[EST3]]</f>
        <v>231</v>
      </c>
      <c r="N4" t="str">
        <f>tblForecast[[#This Row],[TOTALE TOT]]</f>
        <v>119</v>
      </c>
      <c r="O4" t="str">
        <f>IF(LEFT(tblForecast[[#This Row],[CATEGORIA]],3)="R&amp;D","R&amp;D",tblForecast[[#This Row],[CATEGORIA]])</f>
        <v>ef*gh</v>
      </c>
      <c r="P4" t="s">
        <v>160</v>
      </c>
      <c r="Q4" t="s">
        <v>157</v>
      </c>
      <c r="R4" t="s">
        <v>203</v>
      </c>
      <c r="S4" t="s">
        <v>273</v>
      </c>
      <c r="T4" t="s">
        <v>274</v>
      </c>
      <c r="U4" t="s">
        <v>275</v>
      </c>
      <c r="V4" t="s">
        <v>276</v>
      </c>
      <c r="W4" t="s">
        <v>363</v>
      </c>
      <c r="X4" t="s">
        <v>364</v>
      </c>
    </row>
    <row r="5" spans="1:24" x14ac:dyDescent="0.25">
      <c r="A5" t="str">
        <f>IF(AND(tblForecast[[#This Row],[Business ]]&gt;"",tblForecast[[#This Row],[CATEGORIA]]=""),"no","sì")</f>
        <v>sì</v>
      </c>
      <c r="B5" t="e">
        <f>IF(tblForecast[[#This Row],[da considerare?]]="sì",INDEX(tab_ProjType[ProjType Cluster 1],MATCH(tblForecast[[#This Row],[CATEGORIA TMP]],tab_ProjType[Macro area],0)),"")</f>
        <v>#N/A</v>
      </c>
      <c r="C5" t="e">
        <f>IF(tblForecast[[#This Row],[da considerare?]]="sì",INDEX(tab_ProjType[ProjType Cluster 2],MATCH(tblForecast[[#This Row],[CATEGORIA TMP]],tab_ProjType[Macro area],0)),"")</f>
        <v>#N/A</v>
      </c>
      <c r="D5" t="str">
        <f>IF(tblForecast[[#This Row],[Business ]]&gt;"",tblForecast[[#This Row],[Business ]],D4)</f>
        <v>aaaa*</v>
      </c>
      <c r="E5" t="str">
        <f>tblForecast[[#This Row],[CATEGORIA TMP]]&amp;""</f>
        <v>Match caso D</v>
      </c>
      <c r="F5" t="str">
        <f>tblForecast[[#This Row],[INT]]</f>
        <v>3</v>
      </c>
      <c r="G5" t="str">
        <f>tblForecast[[#This Row],[EST]]</f>
        <v>124</v>
      </c>
      <c r="H5" t="str">
        <f>tblForecast[[#This Row],[totale Gamberini]]</f>
        <v>125</v>
      </c>
      <c r="I5" t="str">
        <f>tblForecast[[#This Row],[INT2]]</f>
        <v>126</v>
      </c>
      <c r="J5" t="str">
        <f>tblForecast[[#This Row],[EST3]]</f>
        <v>127</v>
      </c>
      <c r="K5" t="str">
        <f>tblForecast[[#This Row],[totale Lanzarini]]</f>
        <v>128</v>
      </c>
      <c r="L5">
        <f>tblForecast[[#This Row],[INT]]+tblForecast[[#This Row],[INT2]]</f>
        <v>129</v>
      </c>
      <c r="M5">
        <f>tblForecast[[#This Row],[EST]]+tblForecast[[#This Row],[EST3]]</f>
        <v>251</v>
      </c>
      <c r="N5" t="str">
        <f>tblForecast[[#This Row],[TOTALE TOT]]</f>
        <v>129</v>
      </c>
      <c r="O5" t="str">
        <f>IF(LEFT(tblForecast[[#This Row],[CATEGORIA]],3)="R&amp;D","R&amp;D",tblForecast[[#This Row],[CATEGORIA]])</f>
        <v>Match caso D</v>
      </c>
      <c r="P5" t="s">
        <v>167</v>
      </c>
      <c r="Q5" t="s">
        <v>174</v>
      </c>
      <c r="R5" t="s">
        <v>204</v>
      </c>
      <c r="S5" t="s">
        <v>279</v>
      </c>
      <c r="T5" t="s">
        <v>280</v>
      </c>
      <c r="U5" t="s">
        <v>281</v>
      </c>
      <c r="V5" t="s">
        <v>282</v>
      </c>
      <c r="W5" t="s">
        <v>365</v>
      </c>
      <c r="X5" t="s">
        <v>366</v>
      </c>
    </row>
    <row r="6" spans="1:24" x14ac:dyDescent="0.25">
      <c r="A6" t="str">
        <f>IF(AND(tblForecast[[#This Row],[Business ]]&gt;"",tblForecast[[#This Row],[CATEGORIA]]=""),"no","sì")</f>
        <v>sì</v>
      </c>
      <c r="B6" t="e">
        <f>IF(tblForecast[[#This Row],[da considerare?]]="sì",INDEX(tab_ProjType[ProjType Cluster 1],MATCH(tblForecast[[#This Row],[CATEGORIA TMP]],tab_ProjType[Macro area],0)),"")</f>
        <v>#N/A</v>
      </c>
      <c r="C6" t="e">
        <f>IF(tblForecast[[#This Row],[da considerare?]]="sì",INDEX(tab_ProjType[ProjType Cluster 2],MATCH(tblForecast[[#This Row],[CATEGORIA TMP]],tab_ProjType[Macro area],0)),"")</f>
        <v>#N/A</v>
      </c>
      <c r="D6" t="str">
        <f>IF(tblForecast[[#This Row],[Business ]]&gt;"",tblForecast[[#This Row],[Business ]],D5)</f>
        <v>Match caso 1</v>
      </c>
      <c r="E6" t="str">
        <f>tblForecast[[#This Row],[CATEGORIA TMP]]&amp;""</f>
        <v>Caso 1</v>
      </c>
      <c r="F6" t="str">
        <f>tblForecast[[#This Row],[INT]]</f>
        <v>4</v>
      </c>
      <c r="G6" t="str">
        <f>tblForecast[[#This Row],[EST]]</f>
        <v>134</v>
      </c>
      <c r="H6" t="str">
        <f>tblForecast[[#This Row],[totale Gamberini]]</f>
        <v>135</v>
      </c>
      <c r="I6" t="str">
        <f>tblForecast[[#This Row],[INT2]]</f>
        <v>136</v>
      </c>
      <c r="J6" t="str">
        <f>tblForecast[[#This Row],[EST3]]</f>
        <v>137</v>
      </c>
      <c r="K6" t="str">
        <f>tblForecast[[#This Row],[totale Lanzarini]]</f>
        <v>138</v>
      </c>
      <c r="L6">
        <f>tblForecast[[#This Row],[INT]]+tblForecast[[#This Row],[INT2]]</f>
        <v>140</v>
      </c>
      <c r="M6">
        <f>tblForecast[[#This Row],[EST]]+tblForecast[[#This Row],[EST3]]</f>
        <v>271</v>
      </c>
      <c r="N6" t="str">
        <f>tblForecast[[#This Row],[TOTALE TOT]]</f>
        <v>139</v>
      </c>
      <c r="O6" t="str">
        <f>IF(LEFT(tblForecast[[#This Row],[CATEGORIA]],3)="R&amp;D","R&amp;D",tblForecast[[#This Row],[CATEGORIA]])</f>
        <v>Caso 1</v>
      </c>
      <c r="P6" t="s">
        <v>156</v>
      </c>
      <c r="Q6" t="s">
        <v>220</v>
      </c>
      <c r="R6" t="s">
        <v>205</v>
      </c>
      <c r="S6" t="s">
        <v>285</v>
      </c>
      <c r="T6" t="s">
        <v>286</v>
      </c>
      <c r="U6" t="s">
        <v>287</v>
      </c>
      <c r="V6" t="s">
        <v>288</v>
      </c>
      <c r="W6" t="s">
        <v>367</v>
      </c>
      <c r="X6" t="s">
        <v>368</v>
      </c>
    </row>
    <row r="7" spans="1:24" x14ac:dyDescent="0.25">
      <c r="A7" t="str">
        <f>IF(AND(tblForecast[[#This Row],[Business ]]&gt;"",tblForecast[[#This Row],[CATEGORIA]]=""),"no","sì")</f>
        <v>sì</v>
      </c>
      <c r="B7" t="e">
        <f>IF(tblForecast[[#This Row],[da considerare?]]="sì",INDEX(tab_ProjType[ProjType Cluster 1],MATCH(tblForecast[[#This Row],[CATEGORIA TMP]],tab_ProjType[Macro area],0)),"")</f>
        <v>#N/A</v>
      </c>
      <c r="C7" t="e">
        <f>IF(tblForecast[[#This Row],[da considerare?]]="sì",INDEX(tab_ProjType[ProjType Cluster 2],MATCH(tblForecast[[#This Row],[CATEGORIA TMP]],tab_ProjType[Macro area],0)),"")</f>
        <v>#N/A</v>
      </c>
      <c r="D7" t="str">
        <f>IF(tblForecast[[#This Row],[Business ]]&gt;"",tblForecast[[#This Row],[Business ]],D6)</f>
        <v>bb*bb</v>
      </c>
      <c r="E7" t="str">
        <f>tblForecast[[#This Row],[CATEGORIA TMP]]&amp;""</f>
        <v>Match caso B</v>
      </c>
      <c r="F7" t="str">
        <f>tblForecast[[#This Row],[INT]]</f>
        <v>5</v>
      </c>
      <c r="G7" t="str">
        <f>tblForecast[[#This Row],[EST]]</f>
        <v>144</v>
      </c>
      <c r="H7" t="str">
        <f>tblForecast[[#This Row],[totale Gamberini]]</f>
        <v>145</v>
      </c>
      <c r="I7" t="str">
        <f>tblForecast[[#This Row],[INT2]]</f>
        <v>146</v>
      </c>
      <c r="J7" t="str">
        <f>tblForecast[[#This Row],[EST3]]</f>
        <v>147</v>
      </c>
      <c r="K7" t="str">
        <f>tblForecast[[#This Row],[totale Lanzarini]]</f>
        <v>148</v>
      </c>
      <c r="L7">
        <f>tblForecast[[#This Row],[INT]]+tblForecast[[#This Row],[INT2]]</f>
        <v>151</v>
      </c>
      <c r="M7">
        <f>tblForecast[[#This Row],[EST]]+tblForecast[[#This Row],[EST3]]</f>
        <v>291</v>
      </c>
      <c r="N7" t="str">
        <f>tblForecast[[#This Row],[TOTALE TOT]]</f>
        <v>149</v>
      </c>
      <c r="O7" t="str">
        <f>IF(LEFT(tblForecast[[#This Row],[CATEGORIA]],3)="R&amp;D","R&amp;D",tblForecast[[#This Row],[CATEGORIA]])</f>
        <v>Match caso B</v>
      </c>
      <c r="P7" t="s">
        <v>169</v>
      </c>
      <c r="Q7" t="s">
        <v>170</v>
      </c>
      <c r="R7" t="s">
        <v>206</v>
      </c>
      <c r="S7" t="s">
        <v>291</v>
      </c>
      <c r="T7" t="s">
        <v>292</v>
      </c>
      <c r="U7" t="s">
        <v>293</v>
      </c>
      <c r="V7" t="s">
        <v>294</v>
      </c>
      <c r="W7" t="s">
        <v>369</v>
      </c>
      <c r="X7" t="s">
        <v>370</v>
      </c>
    </row>
    <row r="8" spans="1:24" x14ac:dyDescent="0.25">
      <c r="A8" t="str">
        <f>IF(AND(tblForecast[[#This Row],[Business ]]&gt;"",tblForecast[[#This Row],[CATEGORIA]]=""),"no","sì")</f>
        <v>sì</v>
      </c>
      <c r="B8" t="e">
        <f>IF(tblForecast[[#This Row],[da considerare?]]="sì",INDEX(tab_ProjType[ProjType Cluster 1],MATCH(tblForecast[[#This Row],[CATEGORIA TMP]],tab_ProjType[Macro area],0)),"")</f>
        <v>#N/A</v>
      </c>
      <c r="C8" t="e">
        <f>IF(tblForecast[[#This Row],[da considerare?]]="sì",INDEX(tab_ProjType[ProjType Cluster 2],MATCH(tblForecast[[#This Row],[CATEGORIA TMP]],tab_ProjType[Macro area],0)),"")</f>
        <v>#N/A</v>
      </c>
      <c r="D8" t="str">
        <f>IF(tblForecast[[#This Row],[Business ]]&gt;"",tblForecast[[#This Row],[Business ]],D7)</f>
        <v>Caso 1</v>
      </c>
      <c r="E8" t="str">
        <f>tblForecast[[#This Row],[CATEGORIA TMP]]&amp;""</f>
        <v>Match caso A</v>
      </c>
      <c r="F8" t="str">
        <f>tblForecast[[#This Row],[INT]]</f>
        <v>6</v>
      </c>
      <c r="G8" t="str">
        <f>tblForecast[[#This Row],[EST]]</f>
        <v>154</v>
      </c>
      <c r="H8" t="str">
        <f>tblForecast[[#This Row],[totale Gamberini]]</f>
        <v>155</v>
      </c>
      <c r="I8" t="str">
        <f>tblForecast[[#This Row],[INT2]]</f>
        <v>156</v>
      </c>
      <c r="J8" t="str">
        <f>tblForecast[[#This Row],[EST3]]</f>
        <v>157</v>
      </c>
      <c r="K8" t="str">
        <f>tblForecast[[#This Row],[totale Lanzarini]]</f>
        <v>158</v>
      </c>
      <c r="L8">
        <f>tblForecast[[#This Row],[INT]]+tblForecast[[#This Row],[INT2]]</f>
        <v>162</v>
      </c>
      <c r="M8">
        <f>tblForecast[[#This Row],[EST]]+tblForecast[[#This Row],[EST3]]</f>
        <v>311</v>
      </c>
      <c r="N8" t="str">
        <f>tblForecast[[#This Row],[TOTALE TOT]]</f>
        <v>159</v>
      </c>
      <c r="O8" t="str">
        <f>IF(LEFT(tblForecast[[#This Row],[CATEGORIA]],3)="R&amp;D","R&amp;D",tblForecast[[#This Row],[CATEGORIA]])</f>
        <v>Match caso A</v>
      </c>
      <c r="P8" t="s">
        <v>220</v>
      </c>
      <c r="Q8" t="s">
        <v>168</v>
      </c>
      <c r="R8" t="s">
        <v>207</v>
      </c>
      <c r="S8" t="s">
        <v>297</v>
      </c>
      <c r="T8" t="s">
        <v>298</v>
      </c>
      <c r="U8" t="s">
        <v>299</v>
      </c>
      <c r="V8" t="s">
        <v>300</v>
      </c>
      <c r="W8" t="s">
        <v>371</v>
      </c>
      <c r="X8" t="s">
        <v>372</v>
      </c>
    </row>
    <row r="9" spans="1:24" x14ac:dyDescent="0.25">
      <c r="A9" t="str">
        <f>IF(AND(tblForecast[[#This Row],[Business ]]&gt;"",tblForecast[[#This Row],[CATEGORIA]]=""),"no","sì")</f>
        <v>sì</v>
      </c>
      <c r="B9" t="e">
        <f>IF(tblForecast[[#This Row],[da considerare?]]="sì",INDEX(tab_ProjType[ProjType Cluster 1],MATCH(tblForecast[[#This Row],[CATEGORIA TMP]],tab_ProjType[Macro area],0)),"")</f>
        <v>#N/A</v>
      </c>
      <c r="C9" t="e">
        <f>IF(tblForecast[[#This Row],[da considerare?]]="sì",INDEX(tab_ProjType[ProjType Cluster 2],MATCH(tblForecast[[#This Row],[CATEGORIA TMP]],tab_ProjType[Macro area],0)),"")</f>
        <v>#N/A</v>
      </c>
      <c r="D9" t="str">
        <f>IF(tblForecast[[#This Row],[Business ]]&gt;"",tblForecast[[#This Row],[Business ]],D8)</f>
        <v>Caso D</v>
      </c>
      <c r="E9" t="str">
        <f>tblForecast[[#This Row],[CATEGORIA TMP]]&amp;""</f>
        <v>*ilmn</v>
      </c>
      <c r="F9" t="str">
        <f>tblForecast[[#This Row],[INT]]</f>
        <v>7</v>
      </c>
      <c r="G9" t="str">
        <f>tblForecast[[#This Row],[EST]]</f>
        <v>164</v>
      </c>
      <c r="H9" t="str">
        <f>tblForecast[[#This Row],[totale Gamberini]]</f>
        <v>165</v>
      </c>
      <c r="I9" t="str">
        <f>tblForecast[[#This Row],[INT2]]</f>
        <v>166</v>
      </c>
      <c r="J9" t="str">
        <f>tblForecast[[#This Row],[EST3]]</f>
        <v>167</v>
      </c>
      <c r="K9" t="str">
        <f>tblForecast[[#This Row],[totale Lanzarini]]</f>
        <v>168</v>
      </c>
      <c r="L9">
        <f>tblForecast[[#This Row],[INT]]+tblForecast[[#This Row],[INT2]]</f>
        <v>173</v>
      </c>
      <c r="M9">
        <f>tblForecast[[#This Row],[EST]]+tblForecast[[#This Row],[EST3]]</f>
        <v>331</v>
      </c>
      <c r="N9" t="str">
        <f>tblForecast[[#This Row],[TOTALE TOT]]</f>
        <v>169</v>
      </c>
      <c r="O9" t="str">
        <f>IF(LEFT(tblForecast[[#This Row],[CATEGORIA]],3)="R&amp;D","R&amp;D",tblForecast[[#This Row],[CATEGORIA]])</f>
        <v>*ilmn</v>
      </c>
      <c r="P9" t="s">
        <v>173</v>
      </c>
      <c r="Q9" t="s">
        <v>159</v>
      </c>
      <c r="R9" t="s">
        <v>208</v>
      </c>
      <c r="S9" t="s">
        <v>305</v>
      </c>
      <c r="T9" t="s">
        <v>306</v>
      </c>
      <c r="U9" t="s">
        <v>307</v>
      </c>
      <c r="V9" t="s">
        <v>308</v>
      </c>
      <c r="W9" t="s">
        <v>373</v>
      </c>
      <c r="X9" t="s">
        <v>374</v>
      </c>
    </row>
    <row r="10" spans="1:24" x14ac:dyDescent="0.25">
      <c r="A10" t="str">
        <f>IF(AND(tblForecast[[#This Row],[Business ]]&gt;"",tblForecast[[#This Row],[CATEGORIA]]=""),"no","sì")</f>
        <v>sì</v>
      </c>
      <c r="B10" t="e">
        <f>IF(tblForecast[[#This Row],[da considerare?]]="sì",INDEX(tab_ProjType[ProjType Cluster 1],MATCH(tblForecast[[#This Row],[CATEGORIA TMP]],tab_ProjType[Macro area],0)),"")</f>
        <v>#N/A</v>
      </c>
      <c r="C10" t="e">
        <f>IF(tblForecast[[#This Row],[da considerare?]]="sì",INDEX(tab_ProjType[ProjType Cluster 2],MATCH(tblForecast[[#This Row],[CATEGORIA TMP]],tab_ProjType[Macro area],0)),"")</f>
        <v>#N/A</v>
      </c>
      <c r="D10" t="str">
        <f>IF(tblForecast[[#This Row],[Business ]]&gt;"",tblForecast[[#This Row],[Business ]],D9)</f>
        <v>Match caso 2</v>
      </c>
      <c r="E10" t="str">
        <f>tblForecast[[#This Row],[CATEGORIA TMP]]&amp;""</f>
        <v>Match caso C</v>
      </c>
      <c r="F10" t="str">
        <f>tblForecast[[#This Row],[INT]]</f>
        <v>8</v>
      </c>
      <c r="G10" t="str">
        <f>tblForecast[[#This Row],[EST]]</f>
        <v>174</v>
      </c>
      <c r="H10" t="str">
        <f>tblForecast[[#This Row],[totale Gamberini]]</f>
        <v>175</v>
      </c>
      <c r="I10" t="str">
        <f>tblForecast[[#This Row],[INT2]]</f>
        <v>176</v>
      </c>
      <c r="J10" t="str">
        <f>tblForecast[[#This Row],[EST3]]</f>
        <v>177</v>
      </c>
      <c r="K10" t="str">
        <f>tblForecast[[#This Row],[totale Lanzarini]]</f>
        <v>178</v>
      </c>
      <c r="L10">
        <f>tblForecast[[#This Row],[INT]]+tblForecast[[#This Row],[INT2]]</f>
        <v>184</v>
      </c>
      <c r="M10">
        <f>tblForecast[[#This Row],[EST]]+tblForecast[[#This Row],[EST3]]</f>
        <v>351</v>
      </c>
      <c r="N10" t="str">
        <f>tblForecast[[#This Row],[TOTALE TOT]]</f>
        <v>179</v>
      </c>
      <c r="O10" t="str">
        <f>IF(LEFT(tblForecast[[#This Row],[CATEGORIA]],3)="R&amp;D","R&amp;D",tblForecast[[#This Row],[CATEGORIA]])</f>
        <v>Match caso C</v>
      </c>
      <c r="P10" t="s">
        <v>158</v>
      </c>
      <c r="Q10" t="s">
        <v>172</v>
      </c>
      <c r="R10" t="s">
        <v>245</v>
      </c>
      <c r="S10" t="s">
        <v>314</v>
      </c>
      <c r="T10" t="s">
        <v>315</v>
      </c>
      <c r="U10" t="s">
        <v>316</v>
      </c>
      <c r="V10" t="s">
        <v>317</v>
      </c>
      <c r="W10" t="s">
        <v>375</v>
      </c>
      <c r="X10" t="s">
        <v>376</v>
      </c>
    </row>
    <row r="11" spans="1:24" x14ac:dyDescent="0.25">
      <c r="A11" t="str">
        <f>IF(AND(tblForecast[[#This Row],[Business ]]&gt;"",tblForecast[[#This Row],[CATEGORIA]]=""),"no","sì")</f>
        <v>sì</v>
      </c>
      <c r="B11" t="e">
        <f>IF(tblForecast[[#This Row],[da considerare?]]="sì",INDEX(tab_ProjType[ProjType Cluster 1],MATCH(tblForecast[[#This Row],[CATEGORIA TMP]],tab_ProjType[Macro area],0)),"")</f>
        <v>#N/A</v>
      </c>
      <c r="C11" t="e">
        <f>IF(tblForecast[[#This Row],[da considerare?]]="sì",INDEX(tab_ProjType[ProjType Cluster 2],MATCH(tblForecast[[#This Row],[CATEGORIA TMP]],tab_ProjType[Macro area],0)),"")</f>
        <v>#N/A</v>
      </c>
      <c r="D11" t="str">
        <f>IF(tblForecast[[#This Row],[Business ]]&gt;"",tblForecast[[#This Row],[Business ]],D10)</f>
        <v>181</v>
      </c>
      <c r="E11" t="str">
        <f>tblForecast[[#This Row],[CATEGORIA TMP]]&amp;""</f>
        <v>182</v>
      </c>
      <c r="F11" t="str">
        <f>tblForecast[[#This Row],[INT]]</f>
        <v>9</v>
      </c>
      <c r="G11" t="str">
        <f>tblForecast[[#This Row],[EST]]</f>
        <v>184</v>
      </c>
      <c r="H11" t="str">
        <f>tblForecast[[#This Row],[totale Gamberini]]</f>
        <v>185</v>
      </c>
      <c r="I11" t="str">
        <f>tblForecast[[#This Row],[INT2]]</f>
        <v>186</v>
      </c>
      <c r="J11" t="str">
        <f>tblForecast[[#This Row],[EST3]]</f>
        <v>187</v>
      </c>
      <c r="K11" t="str">
        <f>tblForecast[[#This Row],[totale Lanzarini]]</f>
        <v>188</v>
      </c>
      <c r="L11">
        <f>tblForecast[[#This Row],[INT]]+tblForecast[[#This Row],[INT2]]</f>
        <v>195</v>
      </c>
      <c r="M11">
        <f>tblForecast[[#This Row],[EST]]+tblForecast[[#This Row],[EST3]]</f>
        <v>371</v>
      </c>
      <c r="N11" t="str">
        <f>tblForecast[[#This Row],[TOTALE TOT]]</f>
        <v>189</v>
      </c>
      <c r="O11" t="str">
        <f>IF(LEFT(tblForecast[[#This Row],[CATEGORIA]],3)="R&amp;D","R&amp;D",tblForecast[[#This Row],[CATEGORIA]])</f>
        <v>182</v>
      </c>
      <c r="P11" t="s">
        <v>377</v>
      </c>
      <c r="Q11" t="s">
        <v>321</v>
      </c>
      <c r="R11" t="s">
        <v>252</v>
      </c>
      <c r="S11" t="s">
        <v>323</v>
      </c>
      <c r="T11" t="s">
        <v>324</v>
      </c>
      <c r="U11" t="s">
        <v>325</v>
      </c>
      <c r="V11" t="s">
        <v>326</v>
      </c>
      <c r="W11" t="s">
        <v>378</v>
      </c>
      <c r="X11" t="s">
        <v>379</v>
      </c>
    </row>
    <row r="12" spans="1:24" x14ac:dyDescent="0.25">
      <c r="A12" t="str">
        <f>IF(AND(tblForecast[[#This Row],[Business ]]&gt;"",tblForecast[[#This Row],[CATEGORIA]]=""),"no","sì")</f>
        <v>sì</v>
      </c>
      <c r="B12" t="e">
        <f>IF(tblForecast[[#This Row],[da considerare?]]="sì",INDEX(tab_ProjType[ProjType Cluster 1],MATCH(tblForecast[[#This Row],[CATEGORIA TMP]],tab_ProjType[Macro area],0)),"")</f>
        <v>#N/A</v>
      </c>
      <c r="C12" t="e">
        <f>IF(tblForecast[[#This Row],[da considerare?]]="sì",INDEX(tab_ProjType[ProjType Cluster 2],MATCH(tblForecast[[#This Row],[CATEGORIA TMP]],tab_ProjType[Macro area],0)),"")</f>
        <v>#N/A</v>
      </c>
      <c r="D12" t="str">
        <f>IF(tblForecast[[#This Row],[Business ]]&gt;"",tblForecast[[#This Row],[Business ]],D11)</f>
        <v>191</v>
      </c>
      <c r="E12" t="str">
        <f>tblForecast[[#This Row],[CATEGORIA TMP]]&amp;""</f>
        <v>192</v>
      </c>
      <c r="F12" t="str">
        <f>tblForecast[[#This Row],[INT]]</f>
        <v>10</v>
      </c>
      <c r="G12" t="str">
        <f>tblForecast[[#This Row],[EST]]</f>
        <v>194</v>
      </c>
      <c r="H12" t="str">
        <f>tblForecast[[#This Row],[totale Gamberini]]</f>
        <v>195</v>
      </c>
      <c r="I12" t="str">
        <f>tblForecast[[#This Row],[INT2]]</f>
        <v>196</v>
      </c>
      <c r="J12" t="str">
        <f>tblForecast[[#This Row],[EST3]]</f>
        <v>197</v>
      </c>
      <c r="K12" t="str">
        <f>tblForecast[[#This Row],[totale Lanzarini]]</f>
        <v>198</v>
      </c>
      <c r="L12">
        <f>tblForecast[[#This Row],[INT]]+tblForecast[[#This Row],[INT2]]</f>
        <v>206</v>
      </c>
      <c r="M12">
        <f>tblForecast[[#This Row],[EST]]+tblForecast[[#This Row],[EST3]]</f>
        <v>391</v>
      </c>
      <c r="N12" t="str">
        <f>tblForecast[[#This Row],[TOTALE TOT]]</f>
        <v>199</v>
      </c>
      <c r="O12" t="str">
        <f>IF(LEFT(tblForecast[[#This Row],[CATEGORIA]],3)="R&amp;D","R&amp;D",tblForecast[[#This Row],[CATEGORIA]])</f>
        <v>192</v>
      </c>
      <c r="P12" t="s">
        <v>380</v>
      </c>
      <c r="Q12" t="s">
        <v>328</v>
      </c>
      <c r="R12" t="s">
        <v>49</v>
      </c>
      <c r="S12" t="s">
        <v>330</v>
      </c>
      <c r="T12" t="s">
        <v>331</v>
      </c>
      <c r="U12" t="s">
        <v>332</v>
      </c>
      <c r="V12" t="s">
        <v>333</v>
      </c>
      <c r="W12" t="s">
        <v>381</v>
      </c>
      <c r="X12" t="s">
        <v>382</v>
      </c>
    </row>
    <row r="13" spans="1:24" x14ac:dyDescent="0.25">
      <c r="A13" t="str">
        <f>IF(AND(tblForecast[[#This Row],[Business ]]&gt;"",tblForecast[[#This Row],[CATEGORIA]]=""),"no","sì")</f>
        <v>sì</v>
      </c>
      <c r="B13" t="e">
        <f>IF(tblForecast[[#This Row],[da considerare?]]="sì",INDEX(tab_ProjType[ProjType Cluster 1],MATCH(tblForecast[[#This Row],[CATEGORIA TMP]],tab_ProjType[Macro area],0)),"")</f>
        <v>#N/A</v>
      </c>
      <c r="C13" t="e">
        <f>IF(tblForecast[[#This Row],[da considerare?]]="sì",INDEX(tab_ProjType[ProjType Cluster 2],MATCH(tblForecast[[#This Row],[CATEGORIA TMP]],tab_ProjType[Macro area],0)),"")</f>
        <v>#N/A</v>
      </c>
      <c r="D13" t="str">
        <f>IF(tblForecast[[#This Row],[Business ]]&gt;"",tblForecast[[#This Row],[Business ]],D12)</f>
        <v>201</v>
      </c>
      <c r="E13" t="str">
        <f>tblForecast[[#This Row],[CATEGORIA TMP]]&amp;""</f>
        <v>202</v>
      </c>
      <c r="F13" t="str">
        <f>tblForecast[[#This Row],[INT]]</f>
        <v>11</v>
      </c>
      <c r="G13" t="str">
        <f>tblForecast[[#This Row],[EST]]</f>
        <v>204</v>
      </c>
      <c r="H13" t="str">
        <f>tblForecast[[#This Row],[totale Gamberini]]</f>
        <v>205</v>
      </c>
      <c r="I13" t="str">
        <f>tblForecast[[#This Row],[INT2]]</f>
        <v>206</v>
      </c>
      <c r="J13" t="str">
        <f>tblForecast[[#This Row],[EST3]]</f>
        <v>207</v>
      </c>
      <c r="K13" t="str">
        <f>tblForecast[[#This Row],[totale Lanzarini]]</f>
        <v>208</v>
      </c>
      <c r="L13">
        <f>tblForecast[[#This Row],[INT]]+tblForecast[[#This Row],[INT2]]</f>
        <v>217</v>
      </c>
      <c r="M13">
        <f>tblForecast[[#This Row],[EST]]+tblForecast[[#This Row],[EST3]]</f>
        <v>411</v>
      </c>
      <c r="N13" t="str">
        <f>tblForecast[[#This Row],[TOTALE TOT]]</f>
        <v>209</v>
      </c>
      <c r="O13" t="str">
        <f>IF(LEFT(tblForecast[[#This Row],[CATEGORIA]],3)="R&amp;D","R&amp;D",tblForecast[[#This Row],[CATEGORIA]])</f>
        <v>202</v>
      </c>
      <c r="P13" t="s">
        <v>383</v>
      </c>
      <c r="Q13" t="s">
        <v>335</v>
      </c>
      <c r="R13" t="s">
        <v>50</v>
      </c>
      <c r="S13" t="s">
        <v>337</v>
      </c>
      <c r="T13" t="s">
        <v>338</v>
      </c>
      <c r="U13" t="s">
        <v>339</v>
      </c>
      <c r="V13" t="s">
        <v>340</v>
      </c>
      <c r="W13" t="s">
        <v>384</v>
      </c>
      <c r="X13" t="s">
        <v>385</v>
      </c>
    </row>
    <row r="14" spans="1:24" x14ac:dyDescent="0.25">
      <c r="A14" t="str">
        <f>IF(AND(tblForecast[[#This Row],[Business ]]&gt;"",tblForecast[[#This Row],[CATEGORIA]]=""),"no","sì")</f>
        <v>sì</v>
      </c>
      <c r="B14" t="e">
        <f>IF(tblForecast[[#This Row],[da considerare?]]="sì",INDEX(tab_ProjType[ProjType Cluster 1],MATCH(tblForecast[[#This Row],[CATEGORIA TMP]],tab_ProjType[Macro area],0)),"")</f>
        <v>#N/A</v>
      </c>
      <c r="C14" t="e">
        <f>IF(tblForecast[[#This Row],[da considerare?]]="sì",INDEX(tab_ProjType[ProjType Cluster 2],MATCH(tblForecast[[#This Row],[CATEGORIA TMP]],tab_ProjType[Macro area],0)),"")</f>
        <v>#N/A</v>
      </c>
      <c r="D14" t="str">
        <f>IF(tblForecast[[#This Row],[Business ]]&gt;"",tblForecast[[#This Row],[Business ]],D13)</f>
        <v>211</v>
      </c>
      <c r="E14" t="str">
        <f>tblForecast[[#This Row],[CATEGORIA TMP]]&amp;""</f>
        <v>212</v>
      </c>
      <c r="F14" t="str">
        <f>tblForecast[[#This Row],[INT]]</f>
        <v>12</v>
      </c>
      <c r="G14" t="str">
        <f>tblForecast[[#This Row],[EST]]</f>
        <v>214</v>
      </c>
      <c r="H14" t="str">
        <f>tblForecast[[#This Row],[totale Gamberini]]</f>
        <v>215</v>
      </c>
      <c r="I14" t="str">
        <f>tblForecast[[#This Row],[INT2]]</f>
        <v>216</v>
      </c>
      <c r="J14" t="str">
        <f>tblForecast[[#This Row],[EST3]]</f>
        <v>217</v>
      </c>
      <c r="K14" t="str">
        <f>tblForecast[[#This Row],[totale Lanzarini]]</f>
        <v>218</v>
      </c>
      <c r="L14">
        <f>tblForecast[[#This Row],[INT]]+tblForecast[[#This Row],[INT2]]</f>
        <v>228</v>
      </c>
      <c r="M14">
        <f>tblForecast[[#This Row],[EST]]+tblForecast[[#This Row],[EST3]]</f>
        <v>431</v>
      </c>
      <c r="N14" t="str">
        <f>tblForecast[[#This Row],[TOTALE TOT]]</f>
        <v>219</v>
      </c>
      <c r="O14" t="str">
        <f>IF(LEFT(tblForecast[[#This Row],[CATEGORIA]],3)="R&amp;D","R&amp;D",tblForecast[[#This Row],[CATEGORIA]])</f>
        <v>212</v>
      </c>
      <c r="P14" t="s">
        <v>386</v>
      </c>
      <c r="Q14" t="s">
        <v>341</v>
      </c>
      <c r="R14" t="s">
        <v>51</v>
      </c>
      <c r="S14" t="s">
        <v>343</v>
      </c>
      <c r="T14" t="s">
        <v>344</v>
      </c>
      <c r="U14" t="s">
        <v>345</v>
      </c>
      <c r="V14" t="s">
        <v>346</v>
      </c>
      <c r="W14" t="s">
        <v>387</v>
      </c>
      <c r="X14" t="s">
        <v>388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workbookViewId="0"/>
  </sheetViews>
  <sheetFormatPr defaultRowHeight="15" x14ac:dyDescent="0.25"/>
  <sheetData>
    <row r="1" spans="1:12" x14ac:dyDescent="0.25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</row>
    <row r="2" spans="1:12" x14ac:dyDescent="0.25">
      <c r="A2" s="53">
        <v>0.05</v>
      </c>
      <c r="B2" s="53">
        <v>0.1</v>
      </c>
      <c r="C2" s="53">
        <v>0.15</v>
      </c>
      <c r="D2" s="53">
        <v>0.2</v>
      </c>
      <c r="E2" s="53">
        <v>0.25</v>
      </c>
      <c r="F2" s="53">
        <v>0.3</v>
      </c>
      <c r="G2" s="53">
        <v>0.35</v>
      </c>
      <c r="H2" s="53">
        <v>0.4</v>
      </c>
      <c r="I2" s="53">
        <v>0.45</v>
      </c>
      <c r="J2" s="53">
        <v>0.5</v>
      </c>
      <c r="K2" s="53">
        <v>0.55000000000000004</v>
      </c>
      <c r="L2" s="53">
        <v>0.6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C8"/>
  <sheetViews>
    <sheetView tabSelected="1" topLeftCell="AA1" zoomScaleNormal="100" workbookViewId="0">
      <selection activeCell="AI6" sqref="AI6"/>
    </sheetView>
  </sheetViews>
  <sheetFormatPr defaultRowHeight="15" x14ac:dyDescent="0.25"/>
  <cols>
    <col min="1" max="1" width="18.42578125" bestFit="1" customWidth="1"/>
    <col min="2" max="2" width="9" bestFit="1" customWidth="1"/>
    <col min="3" max="3" width="51.85546875" bestFit="1" customWidth="1"/>
    <col min="4" max="4" width="10.85546875" bestFit="1" customWidth="1"/>
    <col min="5" max="5" width="12.140625" bestFit="1" customWidth="1"/>
    <col min="6" max="6" width="14" bestFit="1" customWidth="1"/>
    <col min="7" max="8" width="20.5703125" bestFit="1" customWidth="1"/>
    <col min="9" max="9" width="25.5703125" bestFit="1" customWidth="1"/>
    <col min="10" max="10" width="7.85546875" bestFit="1" customWidth="1"/>
    <col min="11" max="11" width="7.5703125" bestFit="1" customWidth="1"/>
    <col min="12" max="12" width="7.28515625" bestFit="1" customWidth="1"/>
    <col min="13" max="13" width="7.7109375" bestFit="1" customWidth="1"/>
    <col min="14" max="14" width="7.140625" bestFit="1" customWidth="1"/>
    <col min="15" max="15" width="8" bestFit="1" customWidth="1"/>
    <col min="16" max="17" width="7" bestFit="1" customWidth="1"/>
    <col min="18" max="18" width="7.42578125" bestFit="1" customWidth="1"/>
    <col min="19" max="19" width="7" bestFit="1" customWidth="1"/>
    <col min="20" max="20" width="6.85546875" bestFit="1" customWidth="1"/>
    <col min="21" max="21" width="7.5703125" bestFit="1" customWidth="1"/>
    <col min="22" max="22" width="6.85546875" bestFit="1" customWidth="1"/>
    <col min="23" max="23" width="14.140625" bestFit="1" customWidth="1"/>
    <col min="24" max="24" width="12.85546875" bestFit="1" customWidth="1"/>
    <col min="25" max="25" width="23.85546875" bestFit="1" customWidth="1"/>
    <col min="26" max="27" width="19" bestFit="1" customWidth="1"/>
    <col min="28" max="28" width="20.85546875" bestFit="1" customWidth="1"/>
    <col min="29" max="29" width="21.42578125" bestFit="1" customWidth="1"/>
    <col min="30" max="30" width="19.28515625" bestFit="1" customWidth="1"/>
    <col min="31" max="31" width="7.7109375" bestFit="1" customWidth="1"/>
    <col min="32" max="32" width="20.5703125" bestFit="1" customWidth="1"/>
    <col min="33" max="33" width="22.140625" bestFit="1" customWidth="1"/>
    <col min="34" max="34" width="20.28515625" bestFit="1" customWidth="1"/>
    <col min="35" max="35" width="20.42578125" bestFit="1" customWidth="1"/>
    <col min="36" max="36" width="24" bestFit="1" customWidth="1"/>
    <col min="37" max="37" width="11" bestFit="1" customWidth="1"/>
    <col min="38" max="38" width="20.140625" bestFit="1" customWidth="1"/>
    <col min="39" max="39" width="17.5703125" bestFit="1" customWidth="1"/>
    <col min="40" max="40" width="13" bestFit="1" customWidth="1"/>
    <col min="41" max="41" width="13.5703125" bestFit="1" customWidth="1"/>
    <col min="42" max="42" width="22.85546875" bestFit="1" customWidth="1"/>
    <col min="43" max="43" width="11.85546875" bestFit="1" customWidth="1"/>
    <col min="44" max="44" width="10.5703125" bestFit="1" customWidth="1"/>
    <col min="45" max="45" width="11.85546875" bestFit="1" customWidth="1"/>
    <col min="46" max="46" width="12.5703125" bestFit="1" customWidth="1"/>
    <col min="47" max="47" width="11.140625" bestFit="1" customWidth="1"/>
    <col min="48" max="48" width="21" bestFit="1" customWidth="1"/>
    <col min="49" max="49" width="13" bestFit="1" customWidth="1"/>
    <col min="50" max="50" width="15" bestFit="1" customWidth="1"/>
    <col min="51" max="51" width="12.28515625" bestFit="1" customWidth="1"/>
    <col min="52" max="52" width="15.7109375" bestFit="1" customWidth="1"/>
    <col min="53" max="53" width="14.42578125" bestFit="1" customWidth="1"/>
    <col min="54" max="54" width="19.28515625" bestFit="1" customWidth="1"/>
    <col min="55" max="55" width="11.7109375" bestFit="1" customWidth="1"/>
    <col min="56" max="56" width="6.5703125" bestFit="1" customWidth="1"/>
    <col min="57" max="57" width="6.28515625" bestFit="1" customWidth="1"/>
    <col min="58" max="58" width="6.7109375" bestFit="1" customWidth="1"/>
    <col min="59" max="59" width="6.140625" bestFit="1" customWidth="1"/>
    <col min="60" max="60" width="7" bestFit="1" customWidth="1"/>
    <col min="61" max="62" width="6" bestFit="1" customWidth="1"/>
    <col min="63" max="63" width="6.42578125" bestFit="1" customWidth="1"/>
    <col min="64" max="64" width="6" bestFit="1" customWidth="1"/>
    <col min="65" max="65" width="5.85546875" bestFit="1" customWidth="1"/>
    <col min="66" max="66" width="6.5703125" bestFit="1" customWidth="1"/>
    <col min="67" max="68" width="5.85546875" bestFit="1" customWidth="1"/>
    <col min="69" max="69" width="11.42578125" bestFit="1" customWidth="1"/>
    <col min="70" max="70" width="18.140625" bestFit="1" customWidth="1"/>
    <col min="71" max="71" width="6.140625" bestFit="1" customWidth="1"/>
    <col min="72" max="72" width="12.85546875" bestFit="1" customWidth="1"/>
    <col min="73" max="73" width="16.140625" bestFit="1" customWidth="1"/>
    <col min="74" max="74" width="12" bestFit="1" customWidth="1"/>
    <col min="75" max="75" width="18.5703125" bestFit="1" customWidth="1"/>
    <col min="76" max="76" width="20.5703125" bestFit="1" customWidth="1"/>
    <col min="77" max="77" width="47" bestFit="1" customWidth="1"/>
    <col min="78" max="78" width="16.85546875" bestFit="1" customWidth="1"/>
    <col min="79" max="79" width="26.28515625" bestFit="1" customWidth="1"/>
    <col min="80" max="80" width="27.85546875" bestFit="1" customWidth="1"/>
    <col min="81" max="81" width="40.7109375" bestFit="1" customWidth="1"/>
  </cols>
  <sheetData>
    <row r="1" spans="1:81" ht="15.75" thickBot="1" x14ac:dyDescent="0.3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1"/>
      <c r="AE1" s="126" t="s">
        <v>5</v>
      </c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7"/>
      <c r="BR1" s="127"/>
      <c r="BS1" s="127"/>
      <c r="BT1" s="127"/>
      <c r="BU1" s="127"/>
      <c r="BV1" s="127"/>
      <c r="BW1" s="127"/>
      <c r="BX1" s="127"/>
      <c r="BY1" s="127"/>
      <c r="BZ1" s="127"/>
      <c r="CA1" s="127"/>
      <c r="CB1" s="127"/>
      <c r="CC1" s="127"/>
    </row>
    <row r="2" spans="1:81" s="1" customFormat="1" ht="36" x14ac:dyDescent="0.25">
      <c r="A2" s="73" t="s">
        <v>6</v>
      </c>
      <c r="B2" s="73" t="s">
        <v>52</v>
      </c>
      <c r="C2" s="73" t="s">
        <v>53</v>
      </c>
      <c r="D2" s="73" t="s">
        <v>54</v>
      </c>
      <c r="E2" s="73" t="s">
        <v>8</v>
      </c>
      <c r="F2" s="73" t="s">
        <v>55</v>
      </c>
      <c r="G2" s="73" t="s">
        <v>9</v>
      </c>
      <c r="H2" s="73" t="s">
        <v>10</v>
      </c>
      <c r="I2" s="73" t="s">
        <v>56</v>
      </c>
      <c r="J2" s="73" t="s">
        <v>57</v>
      </c>
      <c r="K2" s="73" t="s">
        <v>58</v>
      </c>
      <c r="L2" s="73" t="s">
        <v>59</v>
      </c>
      <c r="M2" s="73" t="s">
        <v>60</v>
      </c>
      <c r="N2" s="73" t="s">
        <v>61</v>
      </c>
      <c r="O2" s="73" t="s">
        <v>62</v>
      </c>
      <c r="P2" s="73" t="s">
        <v>63</v>
      </c>
      <c r="Q2" s="73" t="s">
        <v>64</v>
      </c>
      <c r="R2" s="73" t="s">
        <v>65</v>
      </c>
      <c r="S2" s="73" t="s">
        <v>66</v>
      </c>
      <c r="T2" s="73" t="s">
        <v>67</v>
      </c>
      <c r="U2" s="73" t="s">
        <v>68</v>
      </c>
      <c r="V2" s="73" t="s">
        <v>69</v>
      </c>
      <c r="W2" s="73" t="s">
        <v>70</v>
      </c>
      <c r="X2" s="73" t="s">
        <v>71</v>
      </c>
      <c r="Y2" s="73" t="s">
        <v>12</v>
      </c>
      <c r="Z2" s="73" t="s">
        <v>72</v>
      </c>
      <c r="AA2" s="73" t="s">
        <v>73</v>
      </c>
      <c r="AB2" s="73" t="s">
        <v>74</v>
      </c>
      <c r="AC2" s="73" t="s">
        <v>75</v>
      </c>
      <c r="AD2" s="73" t="s">
        <v>76</v>
      </c>
      <c r="AE2" t="s">
        <v>439</v>
      </c>
      <c r="AF2" t="s">
        <v>440</v>
      </c>
      <c r="AG2" t="s">
        <v>441</v>
      </c>
      <c r="AH2" t="s">
        <v>442</v>
      </c>
      <c r="AI2" t="s">
        <v>443</v>
      </c>
      <c r="AJ2" t="s">
        <v>444</v>
      </c>
      <c r="AK2" t="s">
        <v>445</v>
      </c>
      <c r="AL2" t="s">
        <v>446</v>
      </c>
      <c r="AM2" s="115" t="s">
        <v>447</v>
      </c>
      <c r="AN2" t="s">
        <v>448</v>
      </c>
      <c r="AO2" t="s">
        <v>449</v>
      </c>
      <c r="AP2" t="s">
        <v>450</v>
      </c>
      <c r="AQ2" t="s">
        <v>451</v>
      </c>
      <c r="AR2" t="s">
        <v>452</v>
      </c>
      <c r="AS2" t="s">
        <v>453</v>
      </c>
      <c r="AT2" t="s">
        <v>454</v>
      </c>
      <c r="AU2" t="s">
        <v>455</v>
      </c>
      <c r="AV2" t="s">
        <v>456</v>
      </c>
      <c r="AW2" t="s">
        <v>457</v>
      </c>
      <c r="AX2" t="s">
        <v>458</v>
      </c>
      <c r="AY2" t="s">
        <v>459</v>
      </c>
      <c r="AZ2" s="116" t="s">
        <v>460</v>
      </c>
      <c r="BA2" t="s">
        <v>461</v>
      </c>
      <c r="BB2" t="s">
        <v>462</v>
      </c>
      <c r="BC2" t="s">
        <v>463</v>
      </c>
      <c r="BD2" t="s">
        <v>464</v>
      </c>
      <c r="BE2" t="s">
        <v>465</v>
      </c>
      <c r="BF2" s="116" t="s">
        <v>466</v>
      </c>
      <c r="BG2" t="s">
        <v>467</v>
      </c>
      <c r="BH2" t="s">
        <v>468</v>
      </c>
      <c r="BI2" t="s">
        <v>469</v>
      </c>
      <c r="BJ2" s="117" t="s">
        <v>470</v>
      </c>
      <c r="BK2" s="117" t="s">
        <v>471</v>
      </c>
      <c r="BL2" s="117" t="s">
        <v>472</v>
      </c>
      <c r="BM2" s="117" t="s">
        <v>473</v>
      </c>
      <c r="BN2" s="117" t="s">
        <v>474</v>
      </c>
      <c r="BO2" s="117" t="s">
        <v>475</v>
      </c>
      <c r="BP2" s="117" t="s">
        <v>476</v>
      </c>
      <c r="BQ2" s="117" t="s">
        <v>477</v>
      </c>
      <c r="BR2" t="s">
        <v>478</v>
      </c>
      <c r="BS2" t="s">
        <v>479</v>
      </c>
      <c r="BT2" t="s">
        <v>480</v>
      </c>
      <c r="BU2" t="s">
        <v>481</v>
      </c>
      <c r="BV2" t="s">
        <v>482</v>
      </c>
      <c r="BW2" t="s">
        <v>483</v>
      </c>
      <c r="BX2" t="s">
        <v>484</v>
      </c>
      <c r="BY2" t="s">
        <v>485</v>
      </c>
      <c r="BZ2" t="s">
        <v>486</v>
      </c>
      <c r="CA2" t="s">
        <v>487</v>
      </c>
      <c r="CB2" s="118" t="s">
        <v>488</v>
      </c>
      <c r="CC2" s="118" t="s">
        <v>489</v>
      </c>
    </row>
    <row r="3" spans="1:81" x14ac:dyDescent="0.25">
      <c r="A3" t="str">
        <f>IF(UPPER(LEFT(tabSuperdettagli[[#This Row],[WBE Status]],1))="S","sì","no")</f>
        <v>no</v>
      </c>
      <c r="B3">
        <v>2022</v>
      </c>
      <c r="C3">
        <v>2021</v>
      </c>
      <c r="D3" t="str">
        <f>LEFT(tabSuperdettagli[[#This Row],[Network7]],10)</f>
        <v>5320326</v>
      </c>
      <c r="E3" t="str">
        <f>LEFT(tabSuperdettagli[[#This Row],[Network7]],1)</f>
        <v>5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3" t="str">
        <f>IF(OR(tabSuperdettagli[[#This Row],[ProjType_]]="A",tabSuperdettagli[[#This Row],[ProjType_]]="R",tabSuperdettagli[[#This Row],[ProjType_]]="E"),"A R E",tabSuperdettagli[[#This Row],[ProjType_]])</f>
        <v>5</v>
      </c>
      <c r="I3" t="e">
        <f>IF(TRIM(#REF!)&gt;"",TRIM(#REF!),TRIM(tabSuperdettagli[[#This Row],[Resp DT15]]))</f>
        <v>#REF!</v>
      </c>
      <c r="J3" t="str">
        <f>tabSuperdettagli[[#This Row],[07.AAAA]]</f>
        <v>10</v>
      </c>
      <c r="K3">
        <f>tabSuperdettagli[[#This Row],[Resp del Prodotto22]]</f>
        <v>0</v>
      </c>
      <c r="L3">
        <f>tabSuperdettagli[[#This Row],[Area di bdg]]</f>
        <v>1</v>
      </c>
      <c r="M3">
        <f>tabSuperdettagli[[#This Row],[Macchina23]]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Row],[01.AAAA]]</f>
        <v>0</v>
      </c>
      <c r="R3">
        <f>tabSuperdettagli[[#This Row],[02.AAAA]]</f>
        <v>0</v>
      </c>
      <c r="S3">
        <f>tabSuperdettagli[[#This Row],[03.AAAA]]</f>
        <v>0</v>
      </c>
      <c r="T3">
        <f>tabSuperdettagli[[#This Row],[04.AAAA]]</f>
        <v>0</v>
      </c>
      <c r="U3">
        <f>tabSuperdettagli[[#This Row],[05.AAAA]]</f>
        <v>0</v>
      </c>
      <c r="V3">
        <f>tabSuperdettagli[[#This Row],[06.AAAA]]</f>
        <v>1</v>
      </c>
      <c r="W3" t="str">
        <f>tabSuperdettagli[[#This Row],[PROJ CODE10]]</f>
        <v>CONV NGP PLATFORM ENG</v>
      </c>
      <c r="X3" t="str">
        <f>tabSuperdettagli[[#This Row],[Resp 2°liv12]]&amp;""</f>
        <v>Gamberini G.</v>
      </c>
      <c r="Y3" t="e">
        <f>INDEX(tab_resp1liv[EngUnit area cluster 1_],MATCH(SUBSTITUTE(tabSuperdettagli[[#This Row],[Resp 2°liv12]]," ",""),tab_resp1liv[SearchKey],0))</f>
        <v>#N/A</v>
      </c>
      <c r="Z3" t="str">
        <f>tabSuperdettagli[[#This Row],[WBS Element6]]&amp;""</f>
        <v>Stay</v>
      </c>
      <c r="AA3" t="str">
        <f>tabSuperdettagli[[#This Row],[09.AAAA]]</f>
        <v>319</v>
      </c>
      <c r="AB3" t="s">
        <v>79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Row],[Network7]],18)</f>
        <v>5320326</v>
      </c>
      <c r="AE3" t="s">
        <v>389</v>
      </c>
      <c r="AF3" t="s">
        <v>390</v>
      </c>
      <c r="AG3" t="s">
        <v>87</v>
      </c>
      <c r="AH3" t="s">
        <v>391</v>
      </c>
      <c r="AI3" t="s">
        <v>490</v>
      </c>
      <c r="AJ3" t="s">
        <v>392</v>
      </c>
      <c r="AK3">
        <v>2023</v>
      </c>
      <c r="AL3" t="s">
        <v>393</v>
      </c>
      <c r="AM3" t="s">
        <v>394</v>
      </c>
      <c r="AN3" t="s">
        <v>395</v>
      </c>
      <c r="AO3" t="s">
        <v>396</v>
      </c>
      <c r="AP3" t="s">
        <v>397</v>
      </c>
      <c r="AQ3" t="s">
        <v>398</v>
      </c>
      <c r="AR3" t="s">
        <v>83</v>
      </c>
      <c r="AS3" t="s">
        <v>84</v>
      </c>
      <c r="AT3" t="s">
        <v>399</v>
      </c>
      <c r="AU3" t="s">
        <v>39</v>
      </c>
      <c r="AV3" t="s">
        <v>86</v>
      </c>
      <c r="AW3" t="s">
        <v>189</v>
      </c>
      <c r="AX3" t="s">
        <v>391</v>
      </c>
      <c r="AY3" t="s">
        <v>400</v>
      </c>
      <c r="AZ3" t="s">
        <v>401</v>
      </c>
      <c r="BA3" t="s">
        <v>402</v>
      </c>
      <c r="BB3" t="s">
        <v>403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49</v>
      </c>
      <c r="BQ3" t="s">
        <v>404</v>
      </c>
      <c r="BR3" t="s">
        <v>405</v>
      </c>
      <c r="BS3" t="s">
        <v>83</v>
      </c>
      <c r="BT3" t="s">
        <v>189</v>
      </c>
      <c r="BU3" t="s">
        <v>406</v>
      </c>
      <c r="BV3" t="s">
        <v>407</v>
      </c>
      <c r="BW3" t="s">
        <v>79</v>
      </c>
      <c r="BX3" t="s">
        <v>79</v>
      </c>
      <c r="BZ3" t="s">
        <v>88</v>
      </c>
      <c r="CB3" t="s">
        <v>408</v>
      </c>
    </row>
    <row r="4" spans="1:81" x14ac:dyDescent="0.25">
      <c r="A4" t="str">
        <f>IF(UPPER(LEFT(tabSuperdettagli[[#This Row],[WBE Status]],1))="S","sì","no")</f>
        <v>no</v>
      </c>
      <c r="B4">
        <v>2023</v>
      </c>
      <c r="C4">
        <v>2022</v>
      </c>
      <c r="D4" t="str">
        <f>LEFT(tabSuperdettagli[[#This Row],[Network7]],10)</f>
        <v>5447634</v>
      </c>
      <c r="E4" t="str">
        <f>LEFT(tabSuperdettagli[[#This Row],[Network7]],1)</f>
        <v>5</v>
      </c>
      <c r="F4" t="str">
        <f>LOWER(TRIM(tabSuperdettagli[[#This Row],[Proj. Type ]]))</f>
        <v/>
      </c>
      <c r="G4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4" t="str">
        <f>IF(OR(tabSuperdettagli[[#This Row],[ProjType_]]="A",tabSuperdettagli[[#This Row],[ProjType_]]="R",tabSuperdettagli[[#This Row],[ProjType_]]="E"),"A R E",tabSuperdettagli[[#This Row],[ProjType_]])</f>
        <v>5</v>
      </c>
      <c r="I4" t="e">
        <f>IF(TRIM(#REF!)&gt;"",TRIM(#REF!),TRIM(tabSuperdettagli[[#This Row],[Resp DT15]]))</f>
        <v>#REF!</v>
      </c>
      <c r="J4" t="str">
        <f>tabSuperdettagli[[#This Row],[07.AAAA]]</f>
        <v>10</v>
      </c>
      <c r="K4">
        <f>tabSuperdettagli[[#This Row],[Resp del Prodotto22]]</f>
        <v>0</v>
      </c>
      <c r="L4">
        <f>tabSuperdettagli[[#This Row],[Area di bdg]]</f>
        <v>0</v>
      </c>
      <c r="M4">
        <f>tabSuperdettagli[[#This Row],[Macchina23]]</f>
        <v>0</v>
      </c>
      <c r="N4">
        <f>tabSuperdettagli[[#This Row],[Sottotipo]]</f>
        <v>0</v>
      </c>
      <c r="O4">
        <f>tabSuperdettagli[[#This Row],[Cluster]]</f>
        <v>0</v>
      </c>
      <c r="P4">
        <f>tabSuperdettagli[[#This Row],[Quadrante]]</f>
        <v>0</v>
      </c>
      <c r="Q4">
        <f>tabSuperdettagli[[#This Row],[01.AAAA]]</f>
        <v>0</v>
      </c>
      <c r="R4">
        <f>tabSuperdettagli[[#This Row],[02.AAAA]]</f>
        <v>0</v>
      </c>
      <c r="S4">
        <f>tabSuperdettagli[[#This Row],[03.AAAA]]</f>
        <v>0</v>
      </c>
      <c r="T4">
        <f>tabSuperdettagli[[#This Row],[04.AAAA]]</f>
        <v>0</v>
      </c>
      <c r="U4">
        <f>tabSuperdettagli[[#This Row],[05.AAAA]]</f>
        <v>0</v>
      </c>
      <c r="V4">
        <f>tabSuperdettagli[[#This Row],[06.AAAA]]</f>
        <v>63</v>
      </c>
      <c r="W4" t="str">
        <f>tabSuperdettagli[[#This Row],[PROJ CODE10]]</f>
        <v>ENG PK</v>
      </c>
      <c r="X4" t="str">
        <f>tabSuperdettagli[[#This Row],[Resp 2°liv12]]&amp;""</f>
        <v>Gamberini G.</v>
      </c>
      <c r="Y4" t="e">
        <f>INDEX(tab_resp1liv[EngUnit area cluster 1_],MATCH(SUBSTITUTE(tabSuperdettagli[[#This Row],[Resp 2°liv12]]," ",""),tab_resp1liv[SearchKey],0))</f>
        <v>#N/A</v>
      </c>
      <c r="Z4" t="str">
        <f>tabSuperdettagli[[#This Row],[WBS Element6]]&amp;""</f>
        <v>Stay</v>
      </c>
      <c r="AA4" t="str">
        <f>tabSuperdettagli[[#This Row],[09.AAAA]]</f>
        <v>234</v>
      </c>
      <c r="AB4" t="s">
        <v>79</v>
      </c>
      <c r="AC4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4" t="str">
        <f>LEFT(tabSuperdettagli[[#This Row],[Network7]],18)</f>
        <v>5447634</v>
      </c>
      <c r="AE4" t="s">
        <v>80</v>
      </c>
      <c r="AF4" t="s">
        <v>81</v>
      </c>
      <c r="AG4" t="s">
        <v>96</v>
      </c>
      <c r="AH4" t="s">
        <v>409</v>
      </c>
      <c r="AI4" t="s">
        <v>490</v>
      </c>
      <c r="AJ4" t="s">
        <v>410</v>
      </c>
      <c r="AK4">
        <v>2023</v>
      </c>
      <c r="AL4" t="s">
        <v>411</v>
      </c>
      <c r="AM4" t="s">
        <v>412</v>
      </c>
      <c r="AN4" t="s">
        <v>395</v>
      </c>
      <c r="AO4" t="s">
        <v>82</v>
      </c>
      <c r="AP4" t="s">
        <v>413</v>
      </c>
      <c r="AQ4" t="s">
        <v>414</v>
      </c>
      <c r="AR4" t="s">
        <v>415</v>
      </c>
      <c r="AS4" t="s">
        <v>84</v>
      </c>
      <c r="AT4" t="s">
        <v>85</v>
      </c>
      <c r="AU4" t="s">
        <v>39</v>
      </c>
      <c r="AV4" t="s">
        <v>86</v>
      </c>
      <c r="AW4" t="s">
        <v>189</v>
      </c>
      <c r="AX4" t="s">
        <v>409</v>
      </c>
      <c r="AY4" t="s">
        <v>416</v>
      </c>
      <c r="AZ4" t="s">
        <v>417</v>
      </c>
      <c r="BA4" t="s">
        <v>418</v>
      </c>
      <c r="BB4" t="s">
        <v>89</v>
      </c>
      <c r="BC4">
        <v>63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63</v>
      </c>
      <c r="BP4" t="s">
        <v>49</v>
      </c>
      <c r="BQ4" t="s">
        <v>419</v>
      </c>
      <c r="BR4" t="s">
        <v>357</v>
      </c>
      <c r="BS4" t="s">
        <v>415</v>
      </c>
      <c r="BT4" t="s">
        <v>189</v>
      </c>
      <c r="BU4" t="s">
        <v>420</v>
      </c>
      <c r="BV4" t="s">
        <v>407</v>
      </c>
      <c r="BW4" t="s">
        <v>79</v>
      </c>
      <c r="BX4" t="s">
        <v>79</v>
      </c>
      <c r="BZ4" t="s">
        <v>421</v>
      </c>
      <c r="CB4" t="s">
        <v>79</v>
      </c>
    </row>
    <row r="5" spans="1:81" x14ac:dyDescent="0.25">
      <c r="A5" t="str">
        <f>IF(UPPER(LEFT(tabSuperdettagli[[#This Row],[WBE Status]],1))="S","sì","no")</f>
        <v>no</v>
      </c>
      <c r="B5">
        <v>2024</v>
      </c>
      <c r="C5">
        <v>2023</v>
      </c>
      <c r="D5" t="str">
        <f>LEFT(tabSuperdettagli[[#This Row],[Network7]],10)</f>
        <v>5447634</v>
      </c>
      <c r="E5" t="str">
        <f>LEFT(tabSuperdettagli[[#This Row],[Network7]],1)</f>
        <v>5</v>
      </c>
      <c r="F5" t="str">
        <f>LOWER(TRIM(tabSuperdettagli[[#This Row],[Proj. Type 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5" t="str">
        <f>IF(OR(tabSuperdettagli[[#This Row],[ProjType_]]="A",tabSuperdettagli[[#This Row],[ProjType_]]="R",tabSuperdettagli[[#This Row],[ProjType_]]="E"),"A R E",tabSuperdettagli[[#This Row],[ProjType_]])</f>
        <v>5</v>
      </c>
      <c r="I5" t="e">
        <f>IF(TRIM(#REF!)&gt;"",TRIM(#REF!),TRIM(tabSuperdettagli[[#This Row],[Resp DT15]]))</f>
        <v>#REF!</v>
      </c>
      <c r="J5" t="str">
        <f>tabSuperdettagli[[#This Row],[07.AAAA]]</f>
        <v>10</v>
      </c>
      <c r="K5">
        <f>tabSuperdettagli[[#This Row],[Resp del Prodotto22]]</f>
        <v>0</v>
      </c>
      <c r="L5">
        <f>tabSuperdettagli[[#This Row],[Area di bdg]]</f>
        <v>0</v>
      </c>
      <c r="M5">
        <f>tabSuperdettagli[[#This Row],[Macchina23]]</f>
        <v>0</v>
      </c>
      <c r="N5">
        <f>tabSuperdettagli[[#This Row],[Sottotipo]]</f>
        <v>0</v>
      </c>
      <c r="O5">
        <f>tabSuperdettagli[[#This Row],[Cluster]]</f>
        <v>0</v>
      </c>
      <c r="P5">
        <f>tabSuperdettagli[[#This Row],[Quadrante]]</f>
        <v>0</v>
      </c>
      <c r="Q5">
        <f>tabSuperdettagli[[#This Row],[01.AAAA]]</f>
        <v>0</v>
      </c>
      <c r="R5">
        <f>tabSuperdettagli[[#This Row],[02.AAAA]]</f>
        <v>0</v>
      </c>
      <c r="S5">
        <f>tabSuperdettagli[[#This Row],[03.AAAA]]</f>
        <v>0</v>
      </c>
      <c r="T5">
        <f>tabSuperdettagli[[#This Row],[04.AAAA]]</f>
        <v>0</v>
      </c>
      <c r="U5">
        <f>tabSuperdettagli[[#This Row],[05.AAAA]]</f>
        <v>0</v>
      </c>
      <c r="V5">
        <f>tabSuperdettagli[[#This Row],[06.AAAA]]</f>
        <v>84</v>
      </c>
      <c r="W5" t="str">
        <f>tabSuperdettagli[[#This Row],[PROJ CODE10]]</f>
        <v>CONV NGP PLATFORM ENG</v>
      </c>
      <c r="X5" t="str">
        <f>tabSuperdettagli[[#This Row],[Resp 2°liv12]]&amp;""</f>
        <v>Gamberini G.</v>
      </c>
      <c r="Y5" t="e">
        <f>INDEX(tab_resp1liv[EngUnit area cluster 1_],MATCH(SUBSTITUTE(tabSuperdettagli[[#This Row],[Resp 2°liv12]]," ",""),tab_resp1liv[SearchKey],0))</f>
        <v>#N/A</v>
      </c>
      <c r="Z5" t="str">
        <f>tabSuperdettagli[[#This Row],[WBS Element6]]&amp;""</f>
        <v>Stay</v>
      </c>
      <c r="AA5" t="str">
        <f>tabSuperdettagli[[#This Row],[09.AAAA]]</f>
        <v>234</v>
      </c>
      <c r="AB5" t="s">
        <v>79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Row],[Network7]],18)</f>
        <v>5447634</v>
      </c>
      <c r="AE5" t="s">
        <v>80</v>
      </c>
      <c r="AF5" t="s">
        <v>422</v>
      </c>
      <c r="AG5" t="s">
        <v>99</v>
      </c>
      <c r="AH5" t="s">
        <v>409</v>
      </c>
      <c r="AI5" t="s">
        <v>490</v>
      </c>
      <c r="AJ5" t="s">
        <v>410</v>
      </c>
      <c r="AK5">
        <v>2024</v>
      </c>
      <c r="AL5" t="s">
        <v>411</v>
      </c>
      <c r="AM5" t="s">
        <v>412</v>
      </c>
      <c r="AN5" t="s">
        <v>395</v>
      </c>
      <c r="AO5" t="s">
        <v>396</v>
      </c>
      <c r="AP5" t="s">
        <v>413</v>
      </c>
      <c r="AQ5" t="s">
        <v>414</v>
      </c>
      <c r="AR5" t="s">
        <v>415</v>
      </c>
      <c r="AS5" t="s">
        <v>84</v>
      </c>
      <c r="AT5" t="s">
        <v>85</v>
      </c>
      <c r="AU5" t="s">
        <v>39</v>
      </c>
      <c r="AV5" t="s">
        <v>86</v>
      </c>
      <c r="AW5" t="s">
        <v>189</v>
      </c>
      <c r="AX5" t="s">
        <v>409</v>
      </c>
      <c r="AY5" t="s">
        <v>416</v>
      </c>
      <c r="AZ5" t="s">
        <v>417</v>
      </c>
      <c r="BA5" t="s">
        <v>418</v>
      </c>
      <c r="BB5" t="s">
        <v>89</v>
      </c>
      <c r="BC5">
        <v>84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84</v>
      </c>
      <c r="BP5" t="s">
        <v>49</v>
      </c>
      <c r="BQ5" t="s">
        <v>419</v>
      </c>
      <c r="BR5" t="s">
        <v>357</v>
      </c>
      <c r="BS5" t="s">
        <v>415</v>
      </c>
      <c r="BT5" t="s">
        <v>189</v>
      </c>
      <c r="BU5" t="s">
        <v>420</v>
      </c>
      <c r="BV5" t="s">
        <v>407</v>
      </c>
      <c r="BW5" t="s">
        <v>79</v>
      </c>
      <c r="BX5" t="s">
        <v>79</v>
      </c>
      <c r="BZ5" t="s">
        <v>421</v>
      </c>
      <c r="CB5" t="s">
        <v>79</v>
      </c>
    </row>
    <row r="6" spans="1:81" x14ac:dyDescent="0.25">
      <c r="A6" t="str">
        <f>IF(UPPER(LEFT(tabSuperdettagli[[#This Row],[WBE Status]],1))="S","sì","no")</f>
        <v>no</v>
      </c>
      <c r="B6">
        <v>2025</v>
      </c>
      <c r="C6">
        <v>2024</v>
      </c>
      <c r="D6" t="str">
        <f>LEFT(tabSuperdettagli[[#This Row],[Network7]],10)</f>
        <v>5447634</v>
      </c>
      <c r="E6" t="str">
        <f>LEFT(tabSuperdettagli[[#This Row],[Network7]],1)</f>
        <v>5</v>
      </c>
      <c r="F6" t="str">
        <f>LOWER(TRIM(tabSuperdettagli[[#This Row],[Proj. Type 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6" t="str">
        <f>IF(OR(tabSuperdettagli[[#This Row],[ProjType_]]="A",tabSuperdettagli[[#This Row],[ProjType_]]="R",tabSuperdettagli[[#This Row],[ProjType_]]="E"),"A R E",tabSuperdettagli[[#This Row],[ProjType_]])</f>
        <v>5</v>
      </c>
      <c r="I6" t="e">
        <f>IF(TRIM(#REF!)&gt;"",TRIM(#REF!),TRIM(tabSuperdettagli[[#This Row],[Resp DT15]]))</f>
        <v>#REF!</v>
      </c>
      <c r="J6" t="str">
        <f>tabSuperdettagli[[#This Row],[07.AAAA]]</f>
        <v>10</v>
      </c>
      <c r="K6">
        <f>tabSuperdettagli[[#This Row],[Resp del Prodotto22]]</f>
        <v>0</v>
      </c>
      <c r="L6">
        <f>tabSuperdettagli[[#This Row],[Area di bdg]]</f>
        <v>0</v>
      </c>
      <c r="M6">
        <f>tabSuperdettagli[[#This Row],[Macchina23]]</f>
        <v>0</v>
      </c>
      <c r="N6">
        <f>tabSuperdettagli[[#This Row],[Sottotipo]]</f>
        <v>0</v>
      </c>
      <c r="O6">
        <f>tabSuperdettagli[[#This Row],[Cluster]]</f>
        <v>0</v>
      </c>
      <c r="P6">
        <f>tabSuperdettagli[[#This Row],[Quadrante]]</f>
        <v>0</v>
      </c>
      <c r="Q6">
        <f>tabSuperdettagli[[#This Row],[01.AAAA]]</f>
        <v>0</v>
      </c>
      <c r="R6">
        <f>tabSuperdettagli[[#This Row],[02.AAAA]]</f>
        <v>0</v>
      </c>
      <c r="S6">
        <f>tabSuperdettagli[[#This Row],[03.AAAA]]</f>
        <v>0</v>
      </c>
      <c r="T6">
        <f>tabSuperdettagli[[#This Row],[04.AAAA]]</f>
        <v>0</v>
      </c>
      <c r="U6">
        <f>tabSuperdettagli[[#This Row],[05.AAAA]]</f>
        <v>0</v>
      </c>
      <c r="V6">
        <f>tabSuperdettagli[[#This Row],[06.AAAA]]</f>
        <v>63</v>
      </c>
      <c r="W6" t="str">
        <f>tabSuperdettagli[[#This Row],[PROJ CODE10]]</f>
        <v>ENG PK</v>
      </c>
      <c r="X6" t="str">
        <f>tabSuperdettagli[[#This Row],[Resp 2°liv12]]&amp;""</f>
        <v>Gamberini G.</v>
      </c>
      <c r="Y6" t="e">
        <f>INDEX(tab_resp1liv[EngUnit area cluster 1_],MATCH(SUBSTITUTE(tabSuperdettagli[[#This Row],[Resp 2°liv12]]," ",""),tab_resp1liv[SearchKey],0))</f>
        <v>#N/A</v>
      </c>
      <c r="Z6" t="str">
        <f>tabSuperdettagli[[#This Row],[WBS Element6]]&amp;""</f>
        <v>Go</v>
      </c>
      <c r="AA6" t="str">
        <f>tabSuperdettagli[[#This Row],[09.AAAA]]</f>
        <v>234</v>
      </c>
      <c r="AB6" t="s">
        <v>79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Row],[Network7]],18)</f>
        <v>5447634</v>
      </c>
      <c r="AE6" t="s">
        <v>80</v>
      </c>
      <c r="AF6" t="s">
        <v>81</v>
      </c>
      <c r="AG6" t="s">
        <v>100</v>
      </c>
      <c r="AH6" t="s">
        <v>409</v>
      </c>
      <c r="AI6" t="s">
        <v>491</v>
      </c>
      <c r="AJ6" t="s">
        <v>410</v>
      </c>
      <c r="AK6">
        <v>2024</v>
      </c>
      <c r="AL6" t="s">
        <v>411</v>
      </c>
      <c r="AM6" t="s">
        <v>412</v>
      </c>
      <c r="AN6" t="s">
        <v>395</v>
      </c>
      <c r="AO6" t="s">
        <v>82</v>
      </c>
      <c r="AP6" t="s">
        <v>413</v>
      </c>
      <c r="AQ6" t="s">
        <v>414</v>
      </c>
      <c r="AR6" t="s">
        <v>415</v>
      </c>
      <c r="AS6" t="s">
        <v>84</v>
      </c>
      <c r="AT6" t="s">
        <v>85</v>
      </c>
      <c r="AU6" t="s">
        <v>39</v>
      </c>
      <c r="AV6" t="s">
        <v>86</v>
      </c>
      <c r="AW6" t="s">
        <v>189</v>
      </c>
      <c r="AX6" t="s">
        <v>409</v>
      </c>
      <c r="AY6" t="s">
        <v>416</v>
      </c>
      <c r="AZ6" t="s">
        <v>417</v>
      </c>
      <c r="BA6" t="s">
        <v>418</v>
      </c>
      <c r="BB6" t="s">
        <v>89</v>
      </c>
      <c r="BC6">
        <v>63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63</v>
      </c>
      <c r="BP6" t="s">
        <v>49</v>
      </c>
      <c r="BQ6" t="s">
        <v>419</v>
      </c>
      <c r="BR6" t="s">
        <v>357</v>
      </c>
      <c r="BS6" t="s">
        <v>415</v>
      </c>
      <c r="BT6" t="s">
        <v>189</v>
      </c>
      <c r="BU6" t="s">
        <v>420</v>
      </c>
      <c r="BV6" t="s">
        <v>407</v>
      </c>
      <c r="BW6" t="s">
        <v>79</v>
      </c>
      <c r="BX6" t="s">
        <v>79</v>
      </c>
      <c r="BZ6" t="s">
        <v>421</v>
      </c>
      <c r="CB6" t="s">
        <v>79</v>
      </c>
    </row>
    <row r="7" spans="1:81" x14ac:dyDescent="0.25">
      <c r="A7" t="str">
        <f>IF(UPPER(LEFT(tabSuperdettagli[[#This Row],[WBE Status]],1))="S","sì","no")</f>
        <v>no</v>
      </c>
      <c r="B7">
        <v>2025</v>
      </c>
      <c r="C7">
        <v>2025</v>
      </c>
      <c r="D7" t="str">
        <f>LEFT(tabSuperdettagli[[#This Row],[Network7]],10)</f>
        <v>5447634</v>
      </c>
      <c r="E7" t="str">
        <f>LEFT(tabSuperdettagli[[#This Row],[Network7]],1)</f>
        <v>5</v>
      </c>
      <c r="F7" t="str">
        <f>LOWER(TRIM(tabSuperdettagli[[#This Row],[Proj. Type 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7" t="str">
        <f>IF(OR(tabSuperdettagli[[#This Row],[ProjType_]]="A",tabSuperdettagli[[#This Row],[ProjType_]]="R",tabSuperdettagli[[#This Row],[ProjType_]]="E"),"A R E",tabSuperdettagli[[#This Row],[ProjType_]])</f>
        <v>5</v>
      </c>
      <c r="I7" t="e">
        <f>IF(TRIM(#REF!)&gt;"",TRIM(#REF!),TRIM(tabSuperdettagli[[#This Row],[Resp DT15]]))</f>
        <v>#REF!</v>
      </c>
      <c r="J7" t="str">
        <f>tabSuperdettagli[[#This Row],[07.AAAA]]</f>
        <v>10</v>
      </c>
      <c r="K7">
        <f>tabSuperdettagli[[#This Row],[Resp del Prodotto22]]</f>
        <v>0</v>
      </c>
      <c r="L7">
        <f>tabSuperdettagli[[#This Row],[Area di bdg]]</f>
        <v>0</v>
      </c>
      <c r="M7">
        <f>tabSuperdettagli[[#This Row],[Macchina23]]</f>
        <v>0</v>
      </c>
      <c r="N7">
        <f>tabSuperdettagli[[#This Row],[Sottotipo]]</f>
        <v>0</v>
      </c>
      <c r="O7">
        <f>tabSuperdettagli[[#This Row],[Cluster]]</f>
        <v>0</v>
      </c>
      <c r="P7">
        <f>tabSuperdettagli[[#This Row],[Quadrante]]</f>
        <v>0</v>
      </c>
      <c r="Q7">
        <f>tabSuperdettagli[[#This Row],[01.AAAA]]</f>
        <v>0</v>
      </c>
      <c r="R7">
        <f>tabSuperdettagli[[#This Row],[02.AAAA]]</f>
        <v>0</v>
      </c>
      <c r="S7">
        <f>tabSuperdettagli[[#This Row],[03.AAAA]]</f>
        <v>0</v>
      </c>
      <c r="T7">
        <f>tabSuperdettagli[[#This Row],[04.AAAA]]</f>
        <v>0</v>
      </c>
      <c r="U7">
        <f>tabSuperdettagli[[#This Row],[05.AAAA]]</f>
        <v>0</v>
      </c>
      <c r="V7">
        <f>tabSuperdettagli[[#This Row],[06.AAAA]]</f>
        <v>84</v>
      </c>
      <c r="W7" t="str">
        <f>tabSuperdettagli[[#This Row],[PROJ CODE10]]</f>
        <v>CONV NGP PLATFORM ENG</v>
      </c>
      <c r="X7" t="str">
        <f>tabSuperdettagli[[#This Row],[Resp 2°liv12]]&amp;""</f>
        <v>Gamberini G.</v>
      </c>
      <c r="Y7" t="e">
        <f>INDEX(tab_resp1liv[EngUnit area cluster 1_],MATCH(SUBSTITUTE(tabSuperdettagli[[#This Row],[Resp 2°liv12]]," ",""),tab_resp1liv[SearchKey],0))</f>
        <v>#N/A</v>
      </c>
      <c r="Z7" t="str">
        <f>tabSuperdettagli[[#This Row],[WBS Element6]]&amp;""</f>
        <v>Go</v>
      </c>
      <c r="AA7" t="str">
        <f>tabSuperdettagli[[#This Row],[09.AAAA]]</f>
        <v>234</v>
      </c>
      <c r="AB7" t="s">
        <v>79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Row],[Network7]],18)</f>
        <v>5447634</v>
      </c>
      <c r="AE7" t="s">
        <v>80</v>
      </c>
      <c r="AF7" t="s">
        <v>422</v>
      </c>
      <c r="AG7" t="s">
        <v>103</v>
      </c>
      <c r="AH7" t="s">
        <v>409</v>
      </c>
      <c r="AI7" t="s">
        <v>491</v>
      </c>
      <c r="AJ7" t="s">
        <v>410</v>
      </c>
      <c r="AK7">
        <v>2025</v>
      </c>
      <c r="AL7" t="s">
        <v>411</v>
      </c>
      <c r="AM7" t="s">
        <v>412</v>
      </c>
      <c r="AN7" t="s">
        <v>395</v>
      </c>
      <c r="AO7" t="s">
        <v>396</v>
      </c>
      <c r="AP7" t="s">
        <v>413</v>
      </c>
      <c r="AQ7" t="s">
        <v>414</v>
      </c>
      <c r="AR7" t="s">
        <v>415</v>
      </c>
      <c r="AS7" t="s">
        <v>84</v>
      </c>
      <c r="AT7" t="s">
        <v>85</v>
      </c>
      <c r="AU7" t="s">
        <v>39</v>
      </c>
      <c r="AV7" t="s">
        <v>86</v>
      </c>
      <c r="AW7" t="s">
        <v>189</v>
      </c>
      <c r="AX7" t="s">
        <v>409</v>
      </c>
      <c r="AY7" t="s">
        <v>416</v>
      </c>
      <c r="AZ7" t="s">
        <v>417</v>
      </c>
      <c r="BA7" t="s">
        <v>418</v>
      </c>
      <c r="BB7" t="s">
        <v>89</v>
      </c>
      <c r="BC7">
        <v>84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84</v>
      </c>
      <c r="BP7" t="s">
        <v>49</v>
      </c>
      <c r="BQ7" t="s">
        <v>419</v>
      </c>
      <c r="BR7" t="s">
        <v>357</v>
      </c>
      <c r="BS7" t="s">
        <v>415</v>
      </c>
      <c r="BT7" t="s">
        <v>189</v>
      </c>
      <c r="BU7" t="s">
        <v>420</v>
      </c>
      <c r="BV7" t="s">
        <v>407</v>
      </c>
      <c r="BW7" t="s">
        <v>79</v>
      </c>
      <c r="BX7" t="s">
        <v>79</v>
      </c>
      <c r="BZ7" t="s">
        <v>421</v>
      </c>
      <c r="CB7" t="s">
        <v>79</v>
      </c>
    </row>
    <row r="8" spans="1:81" x14ac:dyDescent="0.25">
      <c r="A8" t="str">
        <f>IF(UPPER(LEFT(tabSuperdettagli[[#This Row],[WBE Status]],1))="S","sì","no")</f>
        <v>no</v>
      </c>
      <c r="B8">
        <v>2026</v>
      </c>
      <c r="C8">
        <v>2026</v>
      </c>
      <c r="D8" t="str">
        <f>LEFT(tabSuperdettagli[[#This Row],[Network7]],10)</f>
        <v>5320326</v>
      </c>
      <c r="E8" t="str">
        <f>LEFT(tabSuperdettagli[[#This Row],[Network7]],1)</f>
        <v>5</v>
      </c>
      <c r="F8" t="str">
        <f>LOWER(TRIM(tabSuperdettagli[[#This Row],[Proj. Type 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8" t="str">
        <f>IF(OR(tabSuperdettagli[[#This Row],[ProjType_]]="A",tabSuperdettagli[[#This Row],[ProjType_]]="R",tabSuperdettagli[[#This Row],[ProjType_]]="E"),"A R E",tabSuperdettagli[[#This Row],[ProjType_]])</f>
        <v>5</v>
      </c>
      <c r="I8" t="e">
        <f>IF(TRIM(#REF!)&gt;"",TRIM(#REF!),TRIM(tabSuperdettagli[[#This Row],[Resp DT15]]))</f>
        <v>#REF!</v>
      </c>
      <c r="J8" t="str">
        <f>tabSuperdettagli[[#This Row],[07.AAAA]]</f>
        <v>10</v>
      </c>
      <c r="K8">
        <f>tabSuperdettagli[[#This Row],[Resp del Prodotto22]]</f>
        <v>0</v>
      </c>
      <c r="L8">
        <f>tabSuperdettagli[[#This Row],[Area di bdg]]</f>
        <v>1</v>
      </c>
      <c r="M8">
        <f>tabSuperdettagli[[#This Row],[Macchina23]]</f>
        <v>0</v>
      </c>
      <c r="N8">
        <f>tabSuperdettagli[[#This Row],[Sottotipo]]</f>
        <v>0</v>
      </c>
      <c r="O8">
        <f>tabSuperdettagli[[#This Row],[Cluster]]</f>
        <v>0</v>
      </c>
      <c r="P8">
        <f>tabSuperdettagli[[#This Row],[Quadrante]]</f>
        <v>0</v>
      </c>
      <c r="Q8">
        <f>tabSuperdettagli[[#This Row],[01.AAAA]]</f>
        <v>0</v>
      </c>
      <c r="R8">
        <f>tabSuperdettagli[[#This Row],[02.AAAA]]</f>
        <v>0</v>
      </c>
      <c r="S8">
        <f>tabSuperdettagli[[#This Row],[03.AAAA]]</f>
        <v>0</v>
      </c>
      <c r="T8">
        <f>tabSuperdettagli[[#This Row],[04.AAAA]]</f>
        <v>0</v>
      </c>
      <c r="U8">
        <f>tabSuperdettagli[[#This Row],[05.AAAA]]</f>
        <v>0</v>
      </c>
      <c r="V8">
        <f>tabSuperdettagli[[#This Row],[06.AAAA]]</f>
        <v>1</v>
      </c>
      <c r="W8" t="str">
        <f>tabSuperdettagli[[#This Row],[PROJ CODE10]]</f>
        <v>CONV NGP PLATFORM ENG</v>
      </c>
      <c r="X8" t="str">
        <f>tabSuperdettagli[[#This Row],[Resp 2°liv12]]&amp;""</f>
        <v>Gamberini G.</v>
      </c>
      <c r="Y8" t="e">
        <f>INDEX(tab_resp1liv[EngUnit area cluster 1_],MATCH(SUBSTITUTE(tabSuperdettagli[[#This Row],[Resp 2°liv12]]," ",""),tab_resp1liv[SearchKey],0))</f>
        <v>#N/A</v>
      </c>
      <c r="Z8" t="str">
        <f>tabSuperdettagli[[#This Row],[WBS Element6]]&amp;""</f>
        <v>Stay</v>
      </c>
      <c r="AA8" t="str">
        <f>tabSuperdettagli[[#This Row],[09.AAAA]]</f>
        <v>319</v>
      </c>
      <c r="AB8" t="s">
        <v>79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Row],[Network7]],18)</f>
        <v>5320326</v>
      </c>
      <c r="AE8" t="s">
        <v>389</v>
      </c>
      <c r="AF8" t="s">
        <v>390</v>
      </c>
      <c r="AG8" t="s">
        <v>423</v>
      </c>
      <c r="AH8" t="s">
        <v>391</v>
      </c>
      <c r="AI8" t="s">
        <v>490</v>
      </c>
      <c r="AJ8" t="s">
        <v>392</v>
      </c>
      <c r="AK8">
        <v>2025</v>
      </c>
      <c r="AL8" t="s">
        <v>393</v>
      </c>
      <c r="AM8" t="s">
        <v>394</v>
      </c>
      <c r="AN8" t="s">
        <v>395</v>
      </c>
      <c r="AO8" t="s">
        <v>396</v>
      </c>
      <c r="AP8" t="s">
        <v>397</v>
      </c>
      <c r="AQ8" t="s">
        <v>398</v>
      </c>
      <c r="AR8" t="s">
        <v>83</v>
      </c>
      <c r="AS8" t="s">
        <v>84</v>
      </c>
      <c r="AT8" t="s">
        <v>399</v>
      </c>
      <c r="AU8" t="s">
        <v>39</v>
      </c>
      <c r="AV8" t="s">
        <v>86</v>
      </c>
      <c r="AW8" t="s">
        <v>189</v>
      </c>
      <c r="AX8" t="s">
        <v>391</v>
      </c>
      <c r="AY8" t="s">
        <v>400</v>
      </c>
      <c r="AZ8" t="s">
        <v>401</v>
      </c>
      <c r="BA8" t="s">
        <v>402</v>
      </c>
      <c r="BB8" t="s">
        <v>403</v>
      </c>
      <c r="BC8">
        <v>0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1</v>
      </c>
      <c r="BP8" t="s">
        <v>49</v>
      </c>
      <c r="BQ8" t="s">
        <v>404</v>
      </c>
      <c r="BR8" t="s">
        <v>405</v>
      </c>
      <c r="BS8" t="s">
        <v>83</v>
      </c>
      <c r="BT8" t="s">
        <v>189</v>
      </c>
      <c r="BU8" t="s">
        <v>406</v>
      </c>
      <c r="BV8" t="s">
        <v>407</v>
      </c>
      <c r="BW8" t="s">
        <v>79</v>
      </c>
      <c r="BX8" t="s">
        <v>79</v>
      </c>
      <c r="BZ8" t="s">
        <v>88</v>
      </c>
      <c r="CB8" t="s">
        <v>408</v>
      </c>
    </row>
  </sheetData>
  <mergeCells count="2">
    <mergeCell ref="A1:AD1"/>
    <mergeCell ref="AE1:CC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90</v>
      </c>
      <c r="F1" s="69" t="s">
        <v>91</v>
      </c>
      <c r="G1" s="69" t="s">
        <v>92</v>
      </c>
      <c r="H1" s="69" t="s">
        <v>93</v>
      </c>
      <c r="I1" s="69" t="s">
        <v>94</v>
      </c>
    </row>
    <row r="2" spans="1:9" x14ac:dyDescent="0.25">
      <c r="F2" s="70" t="s">
        <v>87</v>
      </c>
      <c r="G2" s="70" t="s">
        <v>87</v>
      </c>
      <c r="H2" s="70" t="s">
        <v>87</v>
      </c>
      <c r="I2" s="70" t="s">
        <v>87</v>
      </c>
    </row>
    <row r="3" spans="1:9" x14ac:dyDescent="0.25">
      <c r="F3" s="70" t="s">
        <v>87</v>
      </c>
      <c r="G3" s="70" t="s">
        <v>87</v>
      </c>
      <c r="H3" s="70" t="s">
        <v>87</v>
      </c>
      <c r="I3" s="70" t="s">
        <v>87</v>
      </c>
    </row>
    <row r="4" spans="1:9" x14ac:dyDescent="0.25">
      <c r="F4" s="70" t="s">
        <v>87</v>
      </c>
      <c r="G4" s="70" t="s">
        <v>87</v>
      </c>
      <c r="H4" s="70" t="s">
        <v>87</v>
      </c>
      <c r="I4" s="70" t="s">
        <v>87</v>
      </c>
    </row>
    <row r="5" spans="1:9" x14ac:dyDescent="0.25">
      <c r="F5" s="70" t="s">
        <v>87</v>
      </c>
      <c r="G5" s="70" t="s">
        <v>87</v>
      </c>
      <c r="H5" s="70" t="s">
        <v>87</v>
      </c>
      <c r="I5" s="70" t="s">
        <v>87</v>
      </c>
    </row>
    <row r="6" spans="1:9" x14ac:dyDescent="0.25">
      <c r="F6" s="70" t="s">
        <v>87</v>
      </c>
      <c r="G6" s="70" t="s">
        <v>87</v>
      </c>
      <c r="H6" s="70" t="s">
        <v>87</v>
      </c>
      <c r="I6" s="70" t="s">
        <v>87</v>
      </c>
    </row>
    <row r="7" spans="1:9" x14ac:dyDescent="0.25">
      <c r="F7" s="70" t="s">
        <v>87</v>
      </c>
      <c r="G7" s="70" t="s">
        <v>87</v>
      </c>
      <c r="H7" s="70" t="s">
        <v>87</v>
      </c>
      <c r="I7" s="70" t="s">
        <v>87</v>
      </c>
    </row>
    <row r="8" spans="1:9" x14ac:dyDescent="0.25">
      <c r="F8" s="70" t="s">
        <v>87</v>
      </c>
      <c r="G8" s="70" t="s">
        <v>87</v>
      </c>
      <c r="H8" s="70" t="s">
        <v>87</v>
      </c>
      <c r="I8" s="70" t="s">
        <v>87</v>
      </c>
    </row>
    <row r="9" spans="1:9" x14ac:dyDescent="0.25">
      <c r="F9" s="70" t="s">
        <v>87</v>
      </c>
      <c r="G9" s="70" t="s">
        <v>87</v>
      </c>
      <c r="H9" s="70" t="s">
        <v>87</v>
      </c>
      <c r="I9" s="70" t="s">
        <v>87</v>
      </c>
    </row>
    <row r="10" spans="1:9" x14ac:dyDescent="0.25">
      <c r="F10" s="70" t="s">
        <v>87</v>
      </c>
      <c r="G10" s="70" t="s">
        <v>87</v>
      </c>
      <c r="H10" s="70" t="s">
        <v>87</v>
      </c>
      <c r="I10" s="70" t="s">
        <v>87</v>
      </c>
    </row>
    <row r="11" spans="1:9" x14ac:dyDescent="0.25">
      <c r="F11" s="70" t="s">
        <v>87</v>
      </c>
      <c r="G11" s="70" t="s">
        <v>87</v>
      </c>
      <c r="H11" s="70" t="s">
        <v>87</v>
      </c>
      <c r="I11" s="70" t="s">
        <v>87</v>
      </c>
    </row>
    <row r="12" spans="1:9" x14ac:dyDescent="0.25">
      <c r="F12" s="70" t="s">
        <v>87</v>
      </c>
      <c r="G12" s="70" t="s">
        <v>87</v>
      </c>
      <c r="H12" s="70" t="s">
        <v>87</v>
      </c>
      <c r="I12" s="70" t="s">
        <v>87</v>
      </c>
    </row>
    <row r="13" spans="1:9" x14ac:dyDescent="0.25">
      <c r="F13" s="70" t="s">
        <v>87</v>
      </c>
      <c r="G13" s="70" t="s">
        <v>87</v>
      </c>
      <c r="H13" s="70" t="s">
        <v>87</v>
      </c>
      <c r="I13" s="70" t="s">
        <v>87</v>
      </c>
    </row>
    <row r="14" spans="1:9" x14ac:dyDescent="0.25">
      <c r="F14" s="70" t="s">
        <v>87</v>
      </c>
      <c r="G14" s="70" t="s">
        <v>87</v>
      </c>
      <c r="H14" s="70" t="s">
        <v>87</v>
      </c>
      <c r="I14" s="70" t="s">
        <v>87</v>
      </c>
    </row>
    <row r="15" spans="1:9" x14ac:dyDescent="0.25">
      <c r="F15" s="70" t="s">
        <v>87</v>
      </c>
      <c r="G15" s="70" t="s">
        <v>87</v>
      </c>
      <c r="H15" s="70" t="s">
        <v>87</v>
      </c>
      <c r="I15" s="70" t="s">
        <v>87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95</v>
      </c>
      <c r="F1" t="s">
        <v>91</v>
      </c>
      <c r="G1" t="s">
        <v>92</v>
      </c>
      <c r="H1" t="s">
        <v>93</v>
      </c>
      <c r="I1" t="s">
        <v>94</v>
      </c>
    </row>
    <row r="2" spans="1:9" x14ac:dyDescent="0.25">
      <c r="F2" t="s">
        <v>96</v>
      </c>
      <c r="G2" t="s">
        <v>96</v>
      </c>
      <c r="H2" t="s">
        <v>96</v>
      </c>
      <c r="I2" t="s">
        <v>96</v>
      </c>
    </row>
    <row r="3" spans="1:9" x14ac:dyDescent="0.25">
      <c r="F3" t="s">
        <v>96</v>
      </c>
      <c r="G3" t="s">
        <v>96</v>
      </c>
      <c r="H3" t="s">
        <v>96</v>
      </c>
      <c r="I3" t="s">
        <v>96</v>
      </c>
    </row>
    <row r="4" spans="1:9" x14ac:dyDescent="0.25">
      <c r="F4" t="s">
        <v>96</v>
      </c>
      <c r="G4" t="s">
        <v>96</v>
      </c>
      <c r="H4" t="s">
        <v>96</v>
      </c>
      <c r="I4" t="s">
        <v>96</v>
      </c>
    </row>
    <row r="5" spans="1:9" x14ac:dyDescent="0.25">
      <c r="F5" t="s">
        <v>96</v>
      </c>
      <c r="G5" t="s">
        <v>96</v>
      </c>
      <c r="H5" t="s">
        <v>96</v>
      </c>
      <c r="I5" t="s">
        <v>96</v>
      </c>
    </row>
    <row r="6" spans="1:9" x14ac:dyDescent="0.25">
      <c r="F6" t="s">
        <v>96</v>
      </c>
      <c r="G6" t="s">
        <v>96</v>
      </c>
      <c r="H6" t="s">
        <v>96</v>
      </c>
      <c r="I6" t="s">
        <v>96</v>
      </c>
    </row>
    <row r="7" spans="1:9" x14ac:dyDescent="0.25">
      <c r="F7" t="s">
        <v>96</v>
      </c>
      <c r="G7" t="s">
        <v>96</v>
      </c>
      <c r="H7" t="s">
        <v>96</v>
      </c>
      <c r="I7" t="s">
        <v>96</v>
      </c>
    </row>
    <row r="8" spans="1:9" x14ac:dyDescent="0.25">
      <c r="F8" t="s">
        <v>96</v>
      </c>
      <c r="G8" t="s">
        <v>96</v>
      </c>
      <c r="H8" t="s">
        <v>96</v>
      </c>
      <c r="I8" t="s">
        <v>96</v>
      </c>
    </row>
    <row r="9" spans="1:9" x14ac:dyDescent="0.25">
      <c r="F9" t="s">
        <v>96</v>
      </c>
      <c r="G9" t="s">
        <v>96</v>
      </c>
      <c r="H9" t="s">
        <v>96</v>
      </c>
      <c r="I9" t="s">
        <v>96</v>
      </c>
    </row>
    <row r="10" spans="1:9" x14ac:dyDescent="0.25">
      <c r="F10" t="s">
        <v>96</v>
      </c>
      <c r="G10" t="s">
        <v>96</v>
      </c>
      <c r="H10" t="s">
        <v>96</v>
      </c>
      <c r="I10" t="s">
        <v>96</v>
      </c>
    </row>
    <row r="11" spans="1:9" x14ac:dyDescent="0.25">
      <c r="F11" t="s">
        <v>96</v>
      </c>
      <c r="G11" t="s">
        <v>96</v>
      </c>
      <c r="H11" t="s">
        <v>96</v>
      </c>
      <c r="I11" t="s">
        <v>96</v>
      </c>
    </row>
    <row r="12" spans="1:9" x14ac:dyDescent="0.25">
      <c r="F12" t="s">
        <v>96</v>
      </c>
      <c r="G12" t="s">
        <v>96</v>
      </c>
      <c r="H12" t="s">
        <v>96</v>
      </c>
      <c r="I12" t="s">
        <v>96</v>
      </c>
    </row>
    <row r="13" spans="1:9" x14ac:dyDescent="0.25">
      <c r="F13" t="s">
        <v>96</v>
      </c>
      <c r="G13" t="s">
        <v>96</v>
      </c>
      <c r="H13" t="s">
        <v>96</v>
      </c>
      <c r="I13" t="s">
        <v>96</v>
      </c>
    </row>
    <row r="14" spans="1:9" x14ac:dyDescent="0.25">
      <c r="F14" t="s">
        <v>96</v>
      </c>
      <c r="G14" t="s">
        <v>96</v>
      </c>
      <c r="H14" t="s">
        <v>96</v>
      </c>
      <c r="I14" t="s">
        <v>96</v>
      </c>
    </row>
    <row r="15" spans="1:9" x14ac:dyDescent="0.25">
      <c r="F15" t="s">
        <v>96</v>
      </c>
      <c r="G15" t="s">
        <v>96</v>
      </c>
      <c r="H15" t="s">
        <v>96</v>
      </c>
      <c r="I15" t="s">
        <v>96</v>
      </c>
    </row>
    <row r="16" spans="1:9" x14ac:dyDescent="0.25">
      <c r="F16" t="s">
        <v>96</v>
      </c>
      <c r="G16" t="s">
        <v>96</v>
      </c>
      <c r="H16" t="s">
        <v>96</v>
      </c>
      <c r="I16" t="s">
        <v>96</v>
      </c>
    </row>
    <row r="17" spans="6:9" x14ac:dyDescent="0.25">
      <c r="F17" t="s">
        <v>96</v>
      </c>
      <c r="G17" t="s">
        <v>96</v>
      </c>
      <c r="H17" t="s">
        <v>96</v>
      </c>
      <c r="I17" t="s">
        <v>96</v>
      </c>
    </row>
    <row r="18" spans="6:9" x14ac:dyDescent="0.25">
      <c r="F18" t="s">
        <v>96</v>
      </c>
      <c r="G18" t="s">
        <v>96</v>
      </c>
      <c r="H18" t="s">
        <v>96</v>
      </c>
      <c r="I18" t="s">
        <v>96</v>
      </c>
    </row>
    <row r="19" spans="6:9" x14ac:dyDescent="0.25">
      <c r="F19" t="s">
        <v>96</v>
      </c>
      <c r="G19" t="s">
        <v>96</v>
      </c>
      <c r="H19" t="s">
        <v>96</v>
      </c>
      <c r="I19" t="s">
        <v>96</v>
      </c>
    </row>
    <row r="20" spans="6:9" x14ac:dyDescent="0.25">
      <c r="F20" t="s">
        <v>96</v>
      </c>
      <c r="G20" t="s">
        <v>96</v>
      </c>
      <c r="H20" t="s">
        <v>96</v>
      </c>
      <c r="I20" t="s">
        <v>96</v>
      </c>
    </row>
    <row r="21" spans="6:9" x14ac:dyDescent="0.25">
      <c r="F21" t="s">
        <v>96</v>
      </c>
      <c r="G21" t="s">
        <v>96</v>
      </c>
      <c r="H21" t="s">
        <v>96</v>
      </c>
      <c r="I21" t="s">
        <v>96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97</v>
      </c>
      <c r="B1" t="s">
        <v>77</v>
      </c>
      <c r="C1" t="s">
        <v>12</v>
      </c>
      <c r="E1" s="67" t="s">
        <v>98</v>
      </c>
    </row>
    <row r="2" spans="1:5" x14ac:dyDescent="0.25">
      <c r="A2" t="str">
        <f>SUBSTITUTE(tab_resp1liv[[#This Row],[Resp 1°liv2]]," ","")</f>
        <v>C</v>
      </c>
      <c r="B2" t="s">
        <v>99</v>
      </c>
      <c r="C2" t="s">
        <v>99</v>
      </c>
      <c r="E2" s="71" t="s">
        <v>100</v>
      </c>
    </row>
    <row r="3" spans="1:5" x14ac:dyDescent="0.25">
      <c r="A3" t="str">
        <f>SUBSTITUTE(tab_resp1liv[[#This Row],[Resp 1°liv2]]," ","")</f>
        <v>C</v>
      </c>
      <c r="B3" t="s">
        <v>99</v>
      </c>
      <c r="C3" t="s">
        <v>99</v>
      </c>
      <c r="E3" s="71" t="s">
        <v>100</v>
      </c>
    </row>
    <row r="4" spans="1:5" x14ac:dyDescent="0.25">
      <c r="A4" t="str">
        <f>SUBSTITUTE(tab_resp1liv[[#This Row],[Resp 1°liv2]]," ","")</f>
        <v>C</v>
      </c>
      <c r="B4" t="s">
        <v>99</v>
      </c>
      <c r="C4" t="s">
        <v>99</v>
      </c>
      <c r="E4" s="71" t="s">
        <v>100</v>
      </c>
    </row>
    <row r="5" spans="1:5" x14ac:dyDescent="0.25">
      <c r="A5" t="str">
        <f>SUBSTITUTE(tab_resp1liv[[#This Row],[Resp 1°liv2]]," ","")</f>
        <v>C</v>
      </c>
      <c r="B5" t="s">
        <v>99</v>
      </c>
      <c r="C5" t="s">
        <v>99</v>
      </c>
      <c r="E5" s="71" t="s">
        <v>100</v>
      </c>
    </row>
    <row r="6" spans="1:5" x14ac:dyDescent="0.25">
      <c r="A6" t="str">
        <f>SUBSTITUTE(tab_resp1liv[[#This Row],[Resp 1°liv2]]," ","")</f>
        <v>C</v>
      </c>
      <c r="B6" t="s">
        <v>99</v>
      </c>
      <c r="C6" t="s">
        <v>99</v>
      </c>
      <c r="E6" s="71" t="s">
        <v>100</v>
      </c>
    </row>
    <row r="7" spans="1:5" x14ac:dyDescent="0.25">
      <c r="A7" t="str">
        <f>SUBSTITUTE(tab_resp1liv[[#This Row],[Resp 1°liv2]]," ","")</f>
        <v>C</v>
      </c>
      <c r="B7" t="s">
        <v>99</v>
      </c>
      <c r="C7" t="s">
        <v>99</v>
      </c>
      <c r="E7" s="71" t="s">
        <v>100</v>
      </c>
    </row>
    <row r="8" spans="1:5" x14ac:dyDescent="0.25">
      <c r="A8" t="str">
        <f>SUBSTITUTE(tab_resp1liv[[#This Row],[Resp 1°liv2]]," ","")</f>
        <v>C</v>
      </c>
      <c r="B8" t="s">
        <v>99</v>
      </c>
      <c r="C8" t="s">
        <v>99</v>
      </c>
      <c r="E8" s="71" t="s">
        <v>100</v>
      </c>
    </row>
    <row r="9" spans="1:5" x14ac:dyDescent="0.25">
      <c r="A9" t="str">
        <f>SUBSTITUTE(tab_resp1liv[[#This Row],[Resp 1°liv2]]," ","")</f>
        <v>C</v>
      </c>
      <c r="B9" t="s">
        <v>99</v>
      </c>
      <c r="C9" t="s">
        <v>99</v>
      </c>
      <c r="E9" s="71" t="s">
        <v>100</v>
      </c>
    </row>
    <row r="10" spans="1:5" x14ac:dyDescent="0.25">
      <c r="A10" t="str">
        <f>SUBSTITUTE(tab_resp1liv[[#This Row],[Resp 1°liv2]]," ","")</f>
        <v>C</v>
      </c>
      <c r="B10" t="s">
        <v>99</v>
      </c>
      <c r="C10" t="s">
        <v>99</v>
      </c>
      <c r="E10" s="71" t="s">
        <v>100</v>
      </c>
    </row>
    <row r="11" spans="1:5" x14ac:dyDescent="0.25">
      <c r="A11" t="str">
        <f>SUBSTITUTE(tab_resp1liv[[#This Row],[Resp 1°liv2]]," ","")</f>
        <v>C</v>
      </c>
      <c r="B11" t="s">
        <v>99</v>
      </c>
      <c r="C11" t="s">
        <v>99</v>
      </c>
      <c r="E11" s="71" t="s">
        <v>100</v>
      </c>
    </row>
    <row r="12" spans="1:5" x14ac:dyDescent="0.25">
      <c r="A12" t="str">
        <f>SUBSTITUTE(tab_resp1liv[[#This Row],[Resp 1°liv2]]," ","")</f>
        <v>C</v>
      </c>
      <c r="B12" t="s">
        <v>99</v>
      </c>
      <c r="C12" t="s">
        <v>99</v>
      </c>
      <c r="E12" s="71" t="s">
        <v>100</v>
      </c>
    </row>
    <row r="13" spans="1:5" x14ac:dyDescent="0.25">
      <c r="A13" t="str">
        <f>SUBSTITUTE(tab_resp1liv[[#This Row],[Resp 1°liv2]]," ","")</f>
        <v>C</v>
      </c>
      <c r="B13" t="s">
        <v>99</v>
      </c>
      <c r="C13" t="s">
        <v>99</v>
      </c>
      <c r="E13" s="71" t="s">
        <v>100</v>
      </c>
    </row>
    <row r="14" spans="1:5" x14ac:dyDescent="0.25">
      <c r="A14" t="str">
        <f>SUBSTITUTE(tab_resp1liv[[#This Row],[Resp 1°liv2]]," ","")</f>
        <v>C</v>
      </c>
      <c r="B14" t="s">
        <v>99</v>
      </c>
      <c r="C14" t="s">
        <v>99</v>
      </c>
      <c r="E14" s="71" t="s">
        <v>100</v>
      </c>
    </row>
    <row r="15" spans="1:5" x14ac:dyDescent="0.25">
      <c r="A15" t="str">
        <f>SUBSTITUTE(tab_resp1liv[[#This Row],[Resp 1°liv2]]," ","")</f>
        <v>C</v>
      </c>
      <c r="B15" t="s">
        <v>99</v>
      </c>
      <c r="C15" t="s">
        <v>99</v>
      </c>
      <c r="E15" s="71" t="s">
        <v>100</v>
      </c>
    </row>
    <row r="16" spans="1:5" x14ac:dyDescent="0.25">
      <c r="A16" t="str">
        <f>SUBSTITUTE(tab_resp1liv[[#This Row],[Resp 1°liv2]]," ","")</f>
        <v>C</v>
      </c>
      <c r="B16" t="s">
        <v>99</v>
      </c>
      <c r="C16" t="s">
        <v>99</v>
      </c>
      <c r="E16" s="71" t="s">
        <v>100</v>
      </c>
    </row>
    <row r="17" spans="1:5" x14ac:dyDescent="0.25">
      <c r="A17" t="str">
        <f>SUBSTITUTE(tab_resp1liv[[#This Row],[Resp 1°liv2]]," ","")</f>
        <v>C</v>
      </c>
      <c r="B17" t="s">
        <v>99</v>
      </c>
      <c r="C17" t="s">
        <v>99</v>
      </c>
      <c r="E17" s="71" t="s">
        <v>100</v>
      </c>
    </row>
    <row r="18" spans="1:5" x14ac:dyDescent="0.25">
      <c r="A18" t="str">
        <f>SUBSTITUTE(tab_resp1liv[[#This Row],[Resp 1°liv2]]," ","")</f>
        <v>C</v>
      </c>
      <c r="B18" t="s">
        <v>99</v>
      </c>
      <c r="C18" t="s">
        <v>99</v>
      </c>
      <c r="E18" s="71" t="s">
        <v>100</v>
      </c>
    </row>
    <row r="19" spans="1:5" x14ac:dyDescent="0.25">
      <c r="A19" t="str">
        <f>SUBSTITUTE(tab_resp1liv[[#This Row],[Resp 1°liv2]]," ","")</f>
        <v>C</v>
      </c>
      <c r="B19" t="s">
        <v>99</v>
      </c>
      <c r="C19" t="s">
        <v>99</v>
      </c>
      <c r="E19" s="71" t="s">
        <v>100</v>
      </c>
    </row>
    <row r="20" spans="1:5" x14ac:dyDescent="0.25">
      <c r="A20" t="str">
        <f>SUBSTITUTE(tab_resp1liv[[#This Row],[Resp 1°liv2]]," ","")</f>
        <v>C</v>
      </c>
      <c r="B20" t="s">
        <v>99</v>
      </c>
      <c r="C20" t="s">
        <v>99</v>
      </c>
      <c r="E20" s="71" t="s">
        <v>100</v>
      </c>
    </row>
    <row r="21" spans="1:5" x14ac:dyDescent="0.25">
      <c r="A21" t="str">
        <f>SUBSTITUTE(tab_resp1liv[[#This Row],[Resp 1°liv2]]," ","")</f>
        <v>C</v>
      </c>
      <c r="B21" t="s">
        <v>99</v>
      </c>
      <c r="C21" t="s">
        <v>99</v>
      </c>
      <c r="E21" s="71" t="s">
        <v>100</v>
      </c>
    </row>
    <row r="22" spans="1:5" x14ac:dyDescent="0.25">
      <c r="A22" t="str">
        <f>SUBSTITUTE(tab_resp1liv[[#This Row],[Resp 1°liv2]]," ","")</f>
        <v>C</v>
      </c>
      <c r="B22" t="s">
        <v>99</v>
      </c>
      <c r="C22" t="s">
        <v>99</v>
      </c>
      <c r="E22" s="71" t="s">
        <v>100</v>
      </c>
    </row>
    <row r="23" spans="1:5" x14ac:dyDescent="0.25">
      <c r="A23" t="str">
        <f>SUBSTITUTE(tab_resp1liv[[#This Row],[Resp 1°liv2]]," ","")</f>
        <v>C</v>
      </c>
      <c r="B23" t="s">
        <v>99</v>
      </c>
      <c r="C23" t="s">
        <v>99</v>
      </c>
      <c r="E23" s="71" t="s">
        <v>100</v>
      </c>
    </row>
    <row r="24" spans="1:5" x14ac:dyDescent="0.25">
      <c r="A24" t="str">
        <f>SUBSTITUTE(tab_resp1liv[[#This Row],[Resp 1°liv2]]," ","")</f>
        <v>C</v>
      </c>
      <c r="B24" t="s">
        <v>99</v>
      </c>
      <c r="C24" t="s">
        <v>99</v>
      </c>
      <c r="E24" s="71" t="s">
        <v>100</v>
      </c>
    </row>
    <row r="25" spans="1:5" x14ac:dyDescent="0.25">
      <c r="A25" t="str">
        <f>SUBSTITUTE(tab_resp1liv[[#This Row],[Resp 1°liv2]]," ","")</f>
        <v>C</v>
      </c>
      <c r="B25" t="s">
        <v>99</v>
      </c>
      <c r="C25" t="s">
        <v>99</v>
      </c>
      <c r="E25" s="71" t="s">
        <v>100</v>
      </c>
    </row>
    <row r="26" spans="1:5" x14ac:dyDescent="0.25">
      <c r="A26" t="str">
        <f>SUBSTITUTE(tab_resp1liv[[#This Row],[Resp 1°liv2]]," ","")</f>
        <v>C</v>
      </c>
      <c r="B26" t="s">
        <v>99</v>
      </c>
      <c r="C26" t="s">
        <v>99</v>
      </c>
      <c r="E26" s="71" t="s">
        <v>100</v>
      </c>
    </row>
    <row r="27" spans="1:5" x14ac:dyDescent="0.25">
      <c r="A27" t="str">
        <f>SUBSTITUTE(tab_resp1liv[[#This Row],[Resp 1°liv2]]," ","")</f>
        <v>C</v>
      </c>
      <c r="B27" t="s">
        <v>99</v>
      </c>
      <c r="C27" t="s">
        <v>99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101</v>
      </c>
      <c r="B3" t="s">
        <v>102</v>
      </c>
    </row>
    <row r="4" spans="1:2" x14ac:dyDescent="0.25">
      <c r="A4" t="s">
        <v>103</v>
      </c>
      <c r="B4" t="s">
        <v>103</v>
      </c>
    </row>
    <row r="5" spans="1:2" x14ac:dyDescent="0.25">
      <c r="A5" t="s">
        <v>103</v>
      </c>
      <c r="B5" t="s">
        <v>103</v>
      </c>
    </row>
    <row r="6" spans="1:2" x14ac:dyDescent="0.25">
      <c r="A6" t="s">
        <v>103</v>
      </c>
      <c r="B6" t="s">
        <v>103</v>
      </c>
    </row>
    <row r="7" spans="1:2" x14ac:dyDescent="0.25">
      <c r="A7" t="s">
        <v>103</v>
      </c>
      <c r="B7" t="s">
        <v>103</v>
      </c>
    </row>
    <row r="8" spans="1:2" x14ac:dyDescent="0.25">
      <c r="A8" t="s">
        <v>103</v>
      </c>
      <c r="B8" t="s">
        <v>103</v>
      </c>
    </row>
    <row r="9" spans="1:2" x14ac:dyDescent="0.25">
      <c r="A9" t="s">
        <v>103</v>
      </c>
      <c r="B9" t="s">
        <v>103</v>
      </c>
    </row>
    <row r="10" spans="1:2" x14ac:dyDescent="0.25">
      <c r="A10" t="s">
        <v>103</v>
      </c>
      <c r="B10" t="s">
        <v>103</v>
      </c>
    </row>
    <row r="11" spans="1:2" x14ac:dyDescent="0.25">
      <c r="A11" t="s">
        <v>103</v>
      </c>
      <c r="B11" t="s">
        <v>103</v>
      </c>
    </row>
    <row r="12" spans="1:2" x14ac:dyDescent="0.25">
      <c r="A12" t="s">
        <v>103</v>
      </c>
      <c r="B12" t="s">
        <v>103</v>
      </c>
    </row>
    <row r="13" spans="1:2" x14ac:dyDescent="0.25">
      <c r="A13" t="s">
        <v>103</v>
      </c>
      <c r="B13" t="s">
        <v>103</v>
      </c>
    </row>
    <row r="14" spans="1:2" x14ac:dyDescent="0.25">
      <c r="A14" t="s">
        <v>103</v>
      </c>
      <c r="B14" t="s">
        <v>103</v>
      </c>
    </row>
    <row r="15" spans="1:2" x14ac:dyDescent="0.25">
      <c r="A15" t="s">
        <v>103</v>
      </c>
      <c r="B15" t="s">
        <v>103</v>
      </c>
    </row>
    <row r="16" spans="1:2" x14ac:dyDescent="0.25">
      <c r="A16" t="s">
        <v>103</v>
      </c>
      <c r="B16" t="s">
        <v>103</v>
      </c>
    </row>
    <row r="17" spans="1:2" x14ac:dyDescent="0.25">
      <c r="A17" t="s">
        <v>103</v>
      </c>
      <c r="B17" t="s">
        <v>103</v>
      </c>
    </row>
    <row r="18" spans="1:2" x14ac:dyDescent="0.25">
      <c r="A18" t="s">
        <v>103</v>
      </c>
      <c r="B18" t="s">
        <v>103</v>
      </c>
    </row>
    <row r="19" spans="1:2" x14ac:dyDescent="0.25">
      <c r="A19" t="s">
        <v>103</v>
      </c>
      <c r="B19" t="s">
        <v>103</v>
      </c>
    </row>
    <row r="20" spans="1:2" x14ac:dyDescent="0.25">
      <c r="A20" t="s">
        <v>103</v>
      </c>
      <c r="B20" t="s">
        <v>103</v>
      </c>
    </row>
    <row r="21" spans="1:2" x14ac:dyDescent="0.25">
      <c r="A21" t="s">
        <v>103</v>
      </c>
      <c r="B21" t="s">
        <v>103</v>
      </c>
    </row>
    <row r="22" spans="1:2" x14ac:dyDescent="0.25">
      <c r="A22" t="s">
        <v>103</v>
      </c>
      <c r="B22" t="s">
        <v>103</v>
      </c>
    </row>
    <row r="23" spans="1:2" x14ac:dyDescent="0.25">
      <c r="A23" t="s">
        <v>103</v>
      </c>
      <c r="B23" t="s">
        <v>103</v>
      </c>
    </row>
    <row r="24" spans="1:2" x14ac:dyDescent="0.25">
      <c r="A24" t="s">
        <v>103</v>
      </c>
      <c r="B24" t="s">
        <v>103</v>
      </c>
    </row>
    <row r="25" spans="1:2" x14ac:dyDescent="0.25">
      <c r="A25" t="s">
        <v>103</v>
      </c>
      <c r="B25" t="s">
        <v>103</v>
      </c>
    </row>
    <row r="26" spans="1:2" x14ac:dyDescent="0.25">
      <c r="A26" t="s">
        <v>103</v>
      </c>
      <c r="B26" t="s">
        <v>103</v>
      </c>
    </row>
    <row r="27" spans="1:2" x14ac:dyDescent="0.25">
      <c r="A27" t="s">
        <v>103</v>
      </c>
      <c r="B27" t="s">
        <v>103</v>
      </c>
    </row>
    <row r="28" spans="1:2" x14ac:dyDescent="0.25">
      <c r="A28" t="s">
        <v>103</v>
      </c>
      <c r="B28" t="s">
        <v>103</v>
      </c>
    </row>
    <row r="29" spans="1:2" x14ac:dyDescent="0.25">
      <c r="A29" t="s">
        <v>103</v>
      </c>
      <c r="B29" t="s">
        <v>103</v>
      </c>
    </row>
    <row r="30" spans="1:2" x14ac:dyDescent="0.25">
      <c r="A30" t="s">
        <v>103</v>
      </c>
      <c r="B30" t="s">
        <v>103</v>
      </c>
    </row>
    <row r="31" spans="1:2" x14ac:dyDescent="0.25">
      <c r="A31" t="s">
        <v>103</v>
      </c>
      <c r="B31" t="s">
        <v>103</v>
      </c>
    </row>
    <row r="32" spans="1:2" x14ac:dyDescent="0.25">
      <c r="A32" t="s">
        <v>103</v>
      </c>
      <c r="B32" t="s">
        <v>103</v>
      </c>
    </row>
    <row r="33" spans="1:2" x14ac:dyDescent="0.25">
      <c r="A33" t="s">
        <v>103</v>
      </c>
      <c r="B33" t="s">
        <v>103</v>
      </c>
    </row>
    <row r="34" spans="1:2" x14ac:dyDescent="0.25">
      <c r="A34" t="s">
        <v>103</v>
      </c>
      <c r="B34" t="s">
        <v>103</v>
      </c>
    </row>
    <row r="35" spans="1:2" x14ac:dyDescent="0.25">
      <c r="A35" t="s">
        <v>103</v>
      </c>
      <c r="B35" t="s">
        <v>103</v>
      </c>
    </row>
    <row r="36" spans="1:2" x14ac:dyDescent="0.25">
      <c r="A36" t="s">
        <v>103</v>
      </c>
      <c r="B36" t="s">
        <v>103</v>
      </c>
    </row>
    <row r="37" spans="1:2" x14ac:dyDescent="0.25">
      <c r="A37" t="s">
        <v>103</v>
      </c>
      <c r="B37" t="s">
        <v>103</v>
      </c>
    </row>
    <row r="38" spans="1:2" x14ac:dyDescent="0.25">
      <c r="A38" t="s">
        <v>103</v>
      </c>
      <c r="B38" t="s">
        <v>103</v>
      </c>
    </row>
    <row r="39" spans="1:2" x14ac:dyDescent="0.25">
      <c r="A39" t="s">
        <v>103</v>
      </c>
      <c r="B39" t="s">
        <v>103</v>
      </c>
    </row>
    <row r="40" spans="1:2" x14ac:dyDescent="0.25">
      <c r="A40" t="s">
        <v>103</v>
      </c>
      <c r="B40" t="s">
        <v>103</v>
      </c>
    </row>
    <row r="41" spans="1:2" x14ac:dyDescent="0.25">
      <c r="A41" t="s">
        <v>103</v>
      </c>
      <c r="B41" t="s">
        <v>103</v>
      </c>
    </row>
    <row r="42" spans="1:2" x14ac:dyDescent="0.25">
      <c r="A42" t="s">
        <v>103</v>
      </c>
      <c r="B42" t="s">
        <v>103</v>
      </c>
    </row>
    <row r="43" spans="1:2" x14ac:dyDescent="0.25">
      <c r="A43" t="s">
        <v>103</v>
      </c>
      <c r="B43" t="s">
        <v>103</v>
      </c>
    </row>
    <row r="44" spans="1:2" x14ac:dyDescent="0.25">
      <c r="A44" t="s">
        <v>103</v>
      </c>
      <c r="B44" t="s">
        <v>103</v>
      </c>
    </row>
    <row r="45" spans="1:2" x14ac:dyDescent="0.25">
      <c r="A45" t="s">
        <v>103</v>
      </c>
      <c r="B45" t="s">
        <v>103</v>
      </c>
    </row>
    <row r="46" spans="1:2" x14ac:dyDescent="0.25">
      <c r="A46" t="s">
        <v>103</v>
      </c>
      <c r="B46" t="s">
        <v>103</v>
      </c>
    </row>
    <row r="47" spans="1:2" x14ac:dyDescent="0.25">
      <c r="A47" t="s">
        <v>103</v>
      </c>
      <c r="B47" t="s">
        <v>103</v>
      </c>
    </row>
    <row r="48" spans="1:2" x14ac:dyDescent="0.25">
      <c r="A48" t="s">
        <v>103</v>
      </c>
      <c r="B48" t="s">
        <v>103</v>
      </c>
    </row>
    <row r="49" spans="1:2" x14ac:dyDescent="0.25">
      <c r="A49" t="s">
        <v>103</v>
      </c>
      <c r="B49" t="s">
        <v>103</v>
      </c>
    </row>
    <row r="50" spans="1:2" x14ac:dyDescent="0.25">
      <c r="A50" t="s">
        <v>103</v>
      </c>
      <c r="B50" t="s">
        <v>103</v>
      </c>
    </row>
    <row r="51" spans="1:2" x14ac:dyDescent="0.25">
      <c r="A51" t="s">
        <v>103</v>
      </c>
      <c r="B51" t="s">
        <v>103</v>
      </c>
    </row>
    <row r="52" spans="1:2" x14ac:dyDescent="0.25">
      <c r="A52" t="s">
        <v>103</v>
      </c>
      <c r="B52" t="s">
        <v>103</v>
      </c>
    </row>
    <row r="53" spans="1:2" x14ac:dyDescent="0.25">
      <c r="A53" t="s">
        <v>103</v>
      </c>
      <c r="B53" t="s">
        <v>103</v>
      </c>
    </row>
    <row r="54" spans="1:2" x14ac:dyDescent="0.25">
      <c r="A54" t="s">
        <v>103</v>
      </c>
      <c r="B54" t="s">
        <v>103</v>
      </c>
    </row>
    <row r="55" spans="1:2" x14ac:dyDescent="0.25">
      <c r="A55" t="s">
        <v>103</v>
      </c>
      <c r="B55" t="s">
        <v>103</v>
      </c>
    </row>
    <row r="56" spans="1:2" x14ac:dyDescent="0.25">
      <c r="A56" t="s">
        <v>103</v>
      </c>
      <c r="B56" t="s">
        <v>103</v>
      </c>
    </row>
    <row r="57" spans="1:2" x14ac:dyDescent="0.25">
      <c r="A57" t="s">
        <v>103</v>
      </c>
      <c r="B57" t="s">
        <v>103</v>
      </c>
    </row>
    <row r="58" spans="1:2" x14ac:dyDescent="0.25">
      <c r="A58" t="s">
        <v>103</v>
      </c>
      <c r="B58" t="s">
        <v>103</v>
      </c>
    </row>
    <row r="59" spans="1:2" x14ac:dyDescent="0.25">
      <c r="A59" t="s">
        <v>103</v>
      </c>
      <c r="B59" t="s">
        <v>103</v>
      </c>
    </row>
    <row r="60" spans="1:2" x14ac:dyDescent="0.25">
      <c r="A60" t="s">
        <v>103</v>
      </c>
      <c r="B60" t="s">
        <v>103</v>
      </c>
    </row>
    <row r="61" spans="1:2" x14ac:dyDescent="0.25">
      <c r="A61" t="s">
        <v>103</v>
      </c>
      <c r="B61" t="s">
        <v>103</v>
      </c>
    </row>
    <row r="62" spans="1:2" x14ac:dyDescent="0.25">
      <c r="A62" t="s">
        <v>103</v>
      </c>
      <c r="B62" t="s">
        <v>103</v>
      </c>
    </row>
    <row r="63" spans="1:2" x14ac:dyDescent="0.25">
      <c r="A63" t="s">
        <v>103</v>
      </c>
      <c r="B63" t="s">
        <v>103</v>
      </c>
    </row>
    <row r="64" spans="1:2" x14ac:dyDescent="0.25">
      <c r="A64" t="s">
        <v>103</v>
      </c>
      <c r="B64" t="s">
        <v>103</v>
      </c>
    </row>
    <row r="65" spans="1:2" x14ac:dyDescent="0.25">
      <c r="A65" t="s">
        <v>103</v>
      </c>
      <c r="B65" t="s">
        <v>103</v>
      </c>
    </row>
    <row r="66" spans="1:2" x14ac:dyDescent="0.25">
      <c r="A66" t="s">
        <v>103</v>
      </c>
      <c r="B66" t="s">
        <v>103</v>
      </c>
    </row>
    <row r="67" spans="1:2" x14ac:dyDescent="0.25">
      <c r="A67" t="s">
        <v>103</v>
      </c>
      <c r="B67" t="s">
        <v>103</v>
      </c>
    </row>
    <row r="68" spans="1:2" x14ac:dyDescent="0.25">
      <c r="A68" t="s">
        <v>103</v>
      </c>
      <c r="B68" t="s">
        <v>103</v>
      </c>
    </row>
    <row r="69" spans="1:2" x14ac:dyDescent="0.25">
      <c r="A69" t="s">
        <v>103</v>
      </c>
      <c r="B69" t="s">
        <v>103</v>
      </c>
    </row>
    <row r="70" spans="1:2" x14ac:dyDescent="0.25">
      <c r="A70" t="s">
        <v>103</v>
      </c>
      <c r="B70" t="s">
        <v>103</v>
      </c>
    </row>
    <row r="71" spans="1:2" x14ac:dyDescent="0.25">
      <c r="A71" t="s">
        <v>103</v>
      </c>
      <c r="B71" t="s">
        <v>103</v>
      </c>
    </row>
    <row r="72" spans="1:2" x14ac:dyDescent="0.25">
      <c r="A72" t="s">
        <v>103</v>
      </c>
      <c r="B72" t="s">
        <v>103</v>
      </c>
    </row>
    <row r="73" spans="1:2" x14ac:dyDescent="0.25">
      <c r="A73" t="s">
        <v>103</v>
      </c>
      <c r="B73" t="s">
        <v>103</v>
      </c>
    </row>
    <row r="74" spans="1:2" x14ac:dyDescent="0.25">
      <c r="A74" t="s">
        <v>103</v>
      </c>
      <c r="B74" t="s">
        <v>103</v>
      </c>
    </row>
    <row r="75" spans="1:2" x14ac:dyDescent="0.25">
      <c r="A75" t="s">
        <v>103</v>
      </c>
      <c r="B75" t="s">
        <v>103</v>
      </c>
    </row>
    <row r="76" spans="1:2" x14ac:dyDescent="0.25">
      <c r="A76" t="s">
        <v>103</v>
      </c>
      <c r="B76" t="s">
        <v>103</v>
      </c>
    </row>
    <row r="77" spans="1:2" x14ac:dyDescent="0.25">
      <c r="A77" t="s">
        <v>103</v>
      </c>
      <c r="B77" t="s">
        <v>103</v>
      </c>
    </row>
    <row r="78" spans="1:2" x14ac:dyDescent="0.25">
      <c r="A78" t="s">
        <v>103</v>
      </c>
      <c r="B78" t="s">
        <v>103</v>
      </c>
    </row>
    <row r="79" spans="1:2" x14ac:dyDescent="0.25">
      <c r="A79" t="s">
        <v>103</v>
      </c>
      <c r="B79" t="s">
        <v>103</v>
      </c>
    </row>
    <row r="80" spans="1:2" x14ac:dyDescent="0.25">
      <c r="A80" t="s">
        <v>103</v>
      </c>
      <c r="B80" t="s">
        <v>103</v>
      </c>
    </row>
    <row r="81" spans="1:2" x14ac:dyDescent="0.25">
      <c r="A81" t="s">
        <v>103</v>
      </c>
      <c r="B81" t="s">
        <v>103</v>
      </c>
    </row>
    <row r="82" spans="1:2" x14ac:dyDescent="0.25">
      <c r="A82" t="s">
        <v>103</v>
      </c>
      <c r="B82" t="s">
        <v>103</v>
      </c>
    </row>
    <row r="83" spans="1:2" x14ac:dyDescent="0.25">
      <c r="A83" t="s">
        <v>103</v>
      </c>
      <c r="B83" t="s">
        <v>103</v>
      </c>
    </row>
    <row r="84" spans="1:2" x14ac:dyDescent="0.25">
      <c r="A84" t="s">
        <v>103</v>
      </c>
      <c r="B84" t="s">
        <v>103</v>
      </c>
    </row>
    <row r="85" spans="1:2" x14ac:dyDescent="0.25">
      <c r="A85" t="s">
        <v>103</v>
      </c>
      <c r="B85" t="s">
        <v>103</v>
      </c>
    </row>
    <row r="86" spans="1:2" x14ac:dyDescent="0.25">
      <c r="A86" t="s">
        <v>103</v>
      </c>
      <c r="B86" t="s">
        <v>103</v>
      </c>
    </row>
    <row r="87" spans="1:2" x14ac:dyDescent="0.25">
      <c r="A87" t="s">
        <v>103</v>
      </c>
      <c r="B87" t="s">
        <v>103</v>
      </c>
    </row>
    <row r="88" spans="1:2" x14ac:dyDescent="0.25">
      <c r="A88" t="s">
        <v>103</v>
      </c>
      <c r="B88" t="s">
        <v>103</v>
      </c>
    </row>
    <row r="89" spans="1:2" x14ac:dyDescent="0.25">
      <c r="A89" t="s">
        <v>103</v>
      </c>
      <c r="B89" t="s">
        <v>103</v>
      </c>
    </row>
    <row r="90" spans="1:2" x14ac:dyDescent="0.25">
      <c r="A90" t="s">
        <v>103</v>
      </c>
      <c r="B90" t="s">
        <v>103</v>
      </c>
    </row>
    <row r="91" spans="1:2" x14ac:dyDescent="0.25">
      <c r="A91" t="s">
        <v>103</v>
      </c>
      <c r="B91" t="s">
        <v>103</v>
      </c>
    </row>
    <row r="92" spans="1:2" x14ac:dyDescent="0.25">
      <c r="A92" t="s">
        <v>103</v>
      </c>
      <c r="B92" t="s">
        <v>103</v>
      </c>
    </row>
    <row r="93" spans="1:2" x14ac:dyDescent="0.25">
      <c r="A93" t="s">
        <v>103</v>
      </c>
      <c r="B93" t="s">
        <v>103</v>
      </c>
    </row>
    <row r="94" spans="1:2" x14ac:dyDescent="0.25">
      <c r="A94" t="s">
        <v>103</v>
      </c>
      <c r="B94" t="s">
        <v>103</v>
      </c>
    </row>
    <row r="95" spans="1:2" x14ac:dyDescent="0.25">
      <c r="A95" t="s">
        <v>103</v>
      </c>
      <c r="B95" t="s">
        <v>103</v>
      </c>
    </row>
    <row r="96" spans="1:2" x14ac:dyDescent="0.25">
      <c r="A96" t="s">
        <v>103</v>
      </c>
      <c r="B96" t="s">
        <v>103</v>
      </c>
    </row>
    <row r="97" spans="1:2" x14ac:dyDescent="0.25">
      <c r="A97" t="s">
        <v>103</v>
      </c>
      <c r="B97" t="s">
        <v>103</v>
      </c>
    </row>
    <row r="98" spans="1:2" x14ac:dyDescent="0.25">
      <c r="A98" t="s">
        <v>103</v>
      </c>
      <c r="B98" t="s">
        <v>103</v>
      </c>
    </row>
    <row r="99" spans="1:2" x14ac:dyDescent="0.25">
      <c r="A99" t="s">
        <v>103</v>
      </c>
      <c r="B99" t="s">
        <v>103</v>
      </c>
    </row>
    <row r="100" spans="1:2" x14ac:dyDescent="0.25">
      <c r="A100" t="s">
        <v>103</v>
      </c>
      <c r="B100" t="s">
        <v>103</v>
      </c>
    </row>
    <row r="101" spans="1:2" x14ac:dyDescent="0.25">
      <c r="A101" t="s">
        <v>103</v>
      </c>
      <c r="B101" t="s">
        <v>103</v>
      </c>
    </row>
    <row r="102" spans="1:2" x14ac:dyDescent="0.25">
      <c r="A102" t="s">
        <v>103</v>
      </c>
      <c r="B102" t="s">
        <v>103</v>
      </c>
    </row>
    <row r="103" spans="1:2" x14ac:dyDescent="0.25">
      <c r="A103" t="s">
        <v>103</v>
      </c>
      <c r="B103" t="s">
        <v>103</v>
      </c>
    </row>
    <row r="104" spans="1:2" x14ac:dyDescent="0.25">
      <c r="A104" t="s">
        <v>103</v>
      </c>
      <c r="B104" t="s">
        <v>103</v>
      </c>
    </row>
    <row r="105" spans="1:2" x14ac:dyDescent="0.25">
      <c r="A105" t="s">
        <v>103</v>
      </c>
      <c r="B105" t="s">
        <v>103</v>
      </c>
    </row>
    <row r="106" spans="1:2" x14ac:dyDescent="0.25">
      <c r="A106" t="s">
        <v>103</v>
      </c>
      <c r="B106" t="s">
        <v>103</v>
      </c>
    </row>
    <row r="107" spans="1:2" x14ac:dyDescent="0.25">
      <c r="A107" t="s">
        <v>103</v>
      </c>
      <c r="B107" t="s">
        <v>103</v>
      </c>
    </row>
    <row r="108" spans="1:2" x14ac:dyDescent="0.25">
      <c r="A108" t="s">
        <v>103</v>
      </c>
      <c r="B108" t="s">
        <v>103</v>
      </c>
    </row>
    <row r="109" spans="1:2" x14ac:dyDescent="0.25">
      <c r="A109" t="s">
        <v>103</v>
      </c>
      <c r="B109" t="s">
        <v>103</v>
      </c>
    </row>
    <row r="110" spans="1:2" x14ac:dyDescent="0.25">
      <c r="A110" t="s">
        <v>103</v>
      </c>
      <c r="B110" t="s">
        <v>103</v>
      </c>
    </row>
    <row r="111" spans="1:2" x14ac:dyDescent="0.25">
      <c r="A111" t="s">
        <v>103</v>
      </c>
      <c r="B111" t="s">
        <v>103</v>
      </c>
    </row>
    <row r="112" spans="1:2" x14ac:dyDescent="0.25">
      <c r="A112" t="s">
        <v>103</v>
      </c>
      <c r="B112" t="s">
        <v>103</v>
      </c>
    </row>
    <row r="113" spans="1:2" x14ac:dyDescent="0.25">
      <c r="A113" t="s">
        <v>103</v>
      </c>
      <c r="B113" t="s">
        <v>103</v>
      </c>
    </row>
    <row r="114" spans="1:2" x14ac:dyDescent="0.25">
      <c r="A114" t="s">
        <v>103</v>
      </c>
      <c r="B114" t="s">
        <v>103</v>
      </c>
    </row>
    <row r="115" spans="1:2" x14ac:dyDescent="0.25">
      <c r="A115" t="s">
        <v>103</v>
      </c>
      <c r="B115" t="s">
        <v>103</v>
      </c>
    </row>
    <row r="116" spans="1:2" x14ac:dyDescent="0.25">
      <c r="A116" t="s">
        <v>103</v>
      </c>
      <c r="B116" t="s">
        <v>103</v>
      </c>
    </row>
    <row r="117" spans="1:2" x14ac:dyDescent="0.25">
      <c r="A117" t="s">
        <v>103</v>
      </c>
      <c r="B117" t="s">
        <v>103</v>
      </c>
    </row>
    <row r="118" spans="1:2" x14ac:dyDescent="0.25">
      <c r="A118" t="s">
        <v>103</v>
      </c>
      <c r="B118" t="s">
        <v>103</v>
      </c>
    </row>
    <row r="119" spans="1:2" x14ac:dyDescent="0.25">
      <c r="A119" t="s">
        <v>103</v>
      </c>
      <c r="B119" t="s">
        <v>103</v>
      </c>
    </row>
    <row r="120" spans="1:2" x14ac:dyDescent="0.25">
      <c r="A120" t="s">
        <v>103</v>
      </c>
      <c r="B120" t="s">
        <v>103</v>
      </c>
    </row>
    <row r="121" spans="1:2" x14ac:dyDescent="0.25">
      <c r="A121" t="s">
        <v>103</v>
      </c>
      <c r="B121" t="s">
        <v>103</v>
      </c>
    </row>
    <row r="122" spans="1:2" x14ac:dyDescent="0.25">
      <c r="A122" t="s">
        <v>103</v>
      </c>
      <c r="B122" t="s">
        <v>103</v>
      </c>
    </row>
    <row r="123" spans="1:2" x14ac:dyDescent="0.25">
      <c r="A123" t="s">
        <v>103</v>
      </c>
      <c r="B123" t="s">
        <v>103</v>
      </c>
    </row>
    <row r="124" spans="1:2" x14ac:dyDescent="0.25">
      <c r="A124" t="s">
        <v>103</v>
      </c>
      <c r="B124" t="s">
        <v>103</v>
      </c>
    </row>
    <row r="125" spans="1:2" x14ac:dyDescent="0.25">
      <c r="A125" t="s">
        <v>103</v>
      </c>
      <c r="B125" t="s">
        <v>103</v>
      </c>
    </row>
    <row r="126" spans="1:2" x14ac:dyDescent="0.25">
      <c r="A126" t="s">
        <v>103</v>
      </c>
      <c r="B126" t="s">
        <v>103</v>
      </c>
    </row>
    <row r="127" spans="1:2" x14ac:dyDescent="0.25">
      <c r="A127" t="s">
        <v>103</v>
      </c>
      <c r="B127" t="s">
        <v>103</v>
      </c>
    </row>
    <row r="128" spans="1:2" x14ac:dyDescent="0.25">
      <c r="A128" t="s">
        <v>103</v>
      </c>
      <c r="B128" t="s">
        <v>103</v>
      </c>
    </row>
    <row r="129" spans="1:2" x14ac:dyDescent="0.25">
      <c r="A129" t="s">
        <v>103</v>
      </c>
      <c r="B129" t="s">
        <v>103</v>
      </c>
    </row>
    <row r="130" spans="1:2" x14ac:dyDescent="0.25">
      <c r="A130" t="s">
        <v>103</v>
      </c>
      <c r="B130" t="s">
        <v>103</v>
      </c>
    </row>
    <row r="131" spans="1:2" x14ac:dyDescent="0.25">
      <c r="A131" t="s">
        <v>103</v>
      </c>
      <c r="B131" t="s">
        <v>103</v>
      </c>
    </row>
    <row r="132" spans="1:2" x14ac:dyDescent="0.25">
      <c r="A132" t="s">
        <v>103</v>
      </c>
      <c r="B132" t="s">
        <v>103</v>
      </c>
    </row>
    <row r="133" spans="1:2" x14ac:dyDescent="0.25">
      <c r="A133" t="s">
        <v>103</v>
      </c>
      <c r="B133" t="s">
        <v>103</v>
      </c>
    </row>
    <row r="134" spans="1:2" x14ac:dyDescent="0.25">
      <c r="A134" t="s">
        <v>103</v>
      </c>
      <c r="B134" t="s">
        <v>103</v>
      </c>
    </row>
    <row r="135" spans="1:2" x14ac:dyDescent="0.25">
      <c r="A135" t="s">
        <v>103</v>
      </c>
      <c r="B135" t="s">
        <v>103</v>
      </c>
    </row>
    <row r="136" spans="1:2" x14ac:dyDescent="0.25">
      <c r="A136" t="s">
        <v>103</v>
      </c>
      <c r="B136" t="s">
        <v>103</v>
      </c>
    </row>
    <row r="137" spans="1:2" x14ac:dyDescent="0.25">
      <c r="A137" t="s">
        <v>103</v>
      </c>
      <c r="B137" t="s">
        <v>103</v>
      </c>
    </row>
    <row r="138" spans="1:2" x14ac:dyDescent="0.25">
      <c r="A138" t="s">
        <v>103</v>
      </c>
      <c r="B138" t="s">
        <v>103</v>
      </c>
    </row>
    <row r="139" spans="1:2" x14ac:dyDescent="0.25">
      <c r="A139" t="s">
        <v>103</v>
      </c>
      <c r="B139" t="s">
        <v>103</v>
      </c>
    </row>
    <row r="140" spans="1:2" x14ac:dyDescent="0.25">
      <c r="A140" t="s">
        <v>103</v>
      </c>
      <c r="B140" t="s">
        <v>103</v>
      </c>
    </row>
    <row r="141" spans="1:2" x14ac:dyDescent="0.25">
      <c r="A141" t="s">
        <v>103</v>
      </c>
      <c r="B141" t="s">
        <v>103</v>
      </c>
    </row>
    <row r="142" spans="1:2" x14ac:dyDescent="0.25">
      <c r="A142" t="s">
        <v>103</v>
      </c>
      <c r="B142" t="s">
        <v>103</v>
      </c>
    </row>
    <row r="143" spans="1:2" x14ac:dyDescent="0.25">
      <c r="A143" t="s">
        <v>103</v>
      </c>
      <c r="B143" t="s">
        <v>103</v>
      </c>
    </row>
    <row r="144" spans="1:2" x14ac:dyDescent="0.25">
      <c r="A144" t="s">
        <v>103</v>
      </c>
      <c r="B144" t="s">
        <v>103</v>
      </c>
    </row>
    <row r="145" spans="1:2" x14ac:dyDescent="0.25">
      <c r="A145" t="s">
        <v>103</v>
      </c>
      <c r="B145" t="s">
        <v>103</v>
      </c>
    </row>
    <row r="146" spans="1:2" x14ac:dyDescent="0.25">
      <c r="A146" t="s">
        <v>103</v>
      </c>
      <c r="B146" t="s">
        <v>103</v>
      </c>
    </row>
    <row r="147" spans="1:2" x14ac:dyDescent="0.25">
      <c r="A147" t="s">
        <v>103</v>
      </c>
      <c r="B147" t="s">
        <v>103</v>
      </c>
    </row>
    <row r="148" spans="1:2" x14ac:dyDescent="0.25">
      <c r="A148" t="s">
        <v>103</v>
      </c>
      <c r="B148" t="s">
        <v>103</v>
      </c>
    </row>
    <row r="149" spans="1:2" x14ac:dyDescent="0.25">
      <c r="A149" t="s">
        <v>103</v>
      </c>
      <c r="B149" t="s">
        <v>103</v>
      </c>
    </row>
    <row r="150" spans="1:2" x14ac:dyDescent="0.25">
      <c r="A150" t="s">
        <v>103</v>
      </c>
      <c r="B150" t="s">
        <v>103</v>
      </c>
    </row>
    <row r="151" spans="1:2" x14ac:dyDescent="0.25">
      <c r="A151" t="s">
        <v>103</v>
      </c>
      <c r="B151" t="s">
        <v>103</v>
      </c>
    </row>
    <row r="152" spans="1:2" x14ac:dyDescent="0.25">
      <c r="A152" t="s">
        <v>103</v>
      </c>
      <c r="B152" t="s">
        <v>103</v>
      </c>
    </row>
    <row r="153" spans="1:2" x14ac:dyDescent="0.25">
      <c r="A153" t="s">
        <v>103</v>
      </c>
      <c r="B153" t="s">
        <v>103</v>
      </c>
    </row>
    <row r="154" spans="1:2" x14ac:dyDescent="0.25">
      <c r="A154" t="s">
        <v>103</v>
      </c>
      <c r="B154" t="s">
        <v>103</v>
      </c>
    </row>
    <row r="155" spans="1:2" x14ac:dyDescent="0.25">
      <c r="A155" t="s">
        <v>103</v>
      </c>
      <c r="B155" t="s">
        <v>103</v>
      </c>
    </row>
    <row r="156" spans="1:2" x14ac:dyDescent="0.25">
      <c r="A156" t="s">
        <v>103</v>
      </c>
      <c r="B156" t="s">
        <v>103</v>
      </c>
    </row>
    <row r="157" spans="1:2" x14ac:dyDescent="0.25">
      <c r="A157" t="s">
        <v>103</v>
      </c>
      <c r="B157" t="s">
        <v>103</v>
      </c>
    </row>
    <row r="158" spans="1:2" x14ac:dyDescent="0.25">
      <c r="A158" t="s">
        <v>103</v>
      </c>
      <c r="B158" t="s">
        <v>103</v>
      </c>
    </row>
    <row r="159" spans="1:2" x14ac:dyDescent="0.25">
      <c r="A159" t="s">
        <v>103</v>
      </c>
      <c r="B159" t="s">
        <v>103</v>
      </c>
    </row>
    <row r="160" spans="1:2" x14ac:dyDescent="0.25">
      <c r="A160" t="s">
        <v>103</v>
      </c>
      <c r="B160" t="s">
        <v>103</v>
      </c>
    </row>
    <row r="161" spans="1:2" x14ac:dyDescent="0.25">
      <c r="A161" t="s">
        <v>103</v>
      </c>
      <c r="B161" t="s">
        <v>103</v>
      </c>
    </row>
    <row r="162" spans="1:2" x14ac:dyDescent="0.25">
      <c r="A162" t="s">
        <v>103</v>
      </c>
      <c r="B162" t="s">
        <v>103</v>
      </c>
    </row>
    <row r="163" spans="1:2" x14ac:dyDescent="0.25">
      <c r="A163" t="s">
        <v>103</v>
      </c>
      <c r="B163" t="s">
        <v>103</v>
      </c>
    </row>
    <row r="164" spans="1:2" x14ac:dyDescent="0.25">
      <c r="A164" t="s">
        <v>103</v>
      </c>
      <c r="B164" t="s">
        <v>103</v>
      </c>
    </row>
    <row r="165" spans="1:2" x14ac:dyDescent="0.25">
      <c r="A165" t="s">
        <v>103</v>
      </c>
      <c r="B165" t="s">
        <v>103</v>
      </c>
    </row>
    <row r="166" spans="1:2" x14ac:dyDescent="0.25">
      <c r="A166" t="s">
        <v>103</v>
      </c>
      <c r="B166" t="s">
        <v>103</v>
      </c>
    </row>
    <row r="167" spans="1:2" x14ac:dyDescent="0.25">
      <c r="A167" t="s">
        <v>103</v>
      </c>
      <c r="B167" t="s">
        <v>103</v>
      </c>
    </row>
    <row r="168" spans="1:2" x14ac:dyDescent="0.25">
      <c r="A168" t="s">
        <v>103</v>
      </c>
      <c r="B168" t="s">
        <v>103</v>
      </c>
    </row>
    <row r="169" spans="1:2" x14ac:dyDescent="0.25">
      <c r="A169" t="s">
        <v>103</v>
      </c>
      <c r="B169" t="s">
        <v>103</v>
      </c>
    </row>
    <row r="170" spans="1:2" x14ac:dyDescent="0.25">
      <c r="A170" t="s">
        <v>103</v>
      </c>
      <c r="B170" t="s">
        <v>103</v>
      </c>
    </row>
    <row r="171" spans="1:2" x14ac:dyDescent="0.25">
      <c r="A171" t="s">
        <v>103</v>
      </c>
      <c r="B171" t="s">
        <v>103</v>
      </c>
    </row>
    <row r="172" spans="1:2" x14ac:dyDescent="0.25">
      <c r="A172" t="s">
        <v>103</v>
      </c>
      <c r="B172" t="s">
        <v>103</v>
      </c>
    </row>
    <row r="173" spans="1:2" x14ac:dyDescent="0.25">
      <c r="A173" t="s">
        <v>103</v>
      </c>
      <c r="B173" t="s">
        <v>103</v>
      </c>
    </row>
    <row r="174" spans="1:2" x14ac:dyDescent="0.25">
      <c r="A174" t="s">
        <v>103</v>
      </c>
      <c r="B174" t="s">
        <v>103</v>
      </c>
    </row>
    <row r="175" spans="1:2" x14ac:dyDescent="0.25">
      <c r="A175" t="s">
        <v>103</v>
      </c>
      <c r="B175" t="s">
        <v>103</v>
      </c>
    </row>
    <row r="176" spans="1:2" x14ac:dyDescent="0.25">
      <c r="A176" t="s">
        <v>103</v>
      </c>
      <c r="B176" t="s">
        <v>103</v>
      </c>
    </row>
    <row r="177" spans="1:2" x14ac:dyDescent="0.25">
      <c r="A177" t="s">
        <v>103</v>
      </c>
      <c r="B177" t="s">
        <v>103</v>
      </c>
    </row>
    <row r="178" spans="1:2" x14ac:dyDescent="0.25">
      <c r="A178" t="s">
        <v>103</v>
      </c>
      <c r="B178" t="s">
        <v>103</v>
      </c>
    </row>
    <row r="179" spans="1:2" x14ac:dyDescent="0.25">
      <c r="A179" t="s">
        <v>103</v>
      </c>
      <c r="B179" t="s">
        <v>103</v>
      </c>
    </row>
    <row r="180" spans="1:2" x14ac:dyDescent="0.25">
      <c r="A180" t="s">
        <v>103</v>
      </c>
      <c r="B180" t="s">
        <v>103</v>
      </c>
    </row>
    <row r="181" spans="1:2" x14ac:dyDescent="0.25">
      <c r="A181" t="s">
        <v>103</v>
      </c>
      <c r="B181" t="s">
        <v>103</v>
      </c>
    </row>
    <row r="182" spans="1:2" x14ac:dyDescent="0.25">
      <c r="A182" t="s">
        <v>103</v>
      </c>
      <c r="B182" t="s">
        <v>103</v>
      </c>
    </row>
    <row r="183" spans="1:2" x14ac:dyDescent="0.25">
      <c r="A183" t="s">
        <v>103</v>
      </c>
      <c r="B183" t="s">
        <v>103</v>
      </c>
    </row>
    <row r="184" spans="1:2" x14ac:dyDescent="0.25">
      <c r="A184" t="s">
        <v>103</v>
      </c>
      <c r="B184" t="s">
        <v>103</v>
      </c>
    </row>
    <row r="185" spans="1:2" x14ac:dyDescent="0.25">
      <c r="A185" t="s">
        <v>103</v>
      </c>
      <c r="B185" t="s">
        <v>103</v>
      </c>
    </row>
    <row r="186" spans="1:2" x14ac:dyDescent="0.25">
      <c r="A186" t="s">
        <v>103</v>
      </c>
      <c r="B186" t="s">
        <v>103</v>
      </c>
    </row>
    <row r="187" spans="1:2" x14ac:dyDescent="0.25">
      <c r="A187" t="s">
        <v>103</v>
      </c>
      <c r="B187" t="s">
        <v>103</v>
      </c>
    </row>
    <row r="188" spans="1:2" x14ac:dyDescent="0.25">
      <c r="A188" t="s">
        <v>103</v>
      </c>
      <c r="B188" t="s">
        <v>103</v>
      </c>
    </row>
    <row r="189" spans="1:2" x14ac:dyDescent="0.25">
      <c r="A189" t="s">
        <v>103</v>
      </c>
      <c r="B189" t="s">
        <v>103</v>
      </c>
    </row>
    <row r="190" spans="1:2" x14ac:dyDescent="0.25">
      <c r="A190" t="s">
        <v>103</v>
      </c>
      <c r="B190" t="s">
        <v>103</v>
      </c>
    </row>
    <row r="191" spans="1:2" x14ac:dyDescent="0.25">
      <c r="A191" t="s">
        <v>103</v>
      </c>
      <c r="B191" t="s">
        <v>103</v>
      </c>
    </row>
    <row r="192" spans="1:2" x14ac:dyDescent="0.25">
      <c r="A192" t="s">
        <v>103</v>
      </c>
      <c r="B192" t="s">
        <v>103</v>
      </c>
    </row>
    <row r="193" spans="1:2" x14ac:dyDescent="0.25">
      <c r="A193" t="s">
        <v>103</v>
      </c>
      <c r="B193" t="s">
        <v>103</v>
      </c>
    </row>
    <row r="194" spans="1:2" x14ac:dyDescent="0.25">
      <c r="A194" t="s">
        <v>103</v>
      </c>
      <c r="B194" t="s">
        <v>103</v>
      </c>
    </row>
    <row r="195" spans="1:2" x14ac:dyDescent="0.25">
      <c r="A195" t="s">
        <v>103</v>
      </c>
      <c r="B195" t="s">
        <v>103</v>
      </c>
    </row>
    <row r="196" spans="1:2" x14ac:dyDescent="0.25">
      <c r="A196" t="s">
        <v>103</v>
      </c>
      <c r="B196" t="s">
        <v>103</v>
      </c>
    </row>
    <row r="197" spans="1:2" x14ac:dyDescent="0.25">
      <c r="A197" t="s">
        <v>103</v>
      </c>
      <c r="B197" t="s">
        <v>103</v>
      </c>
    </row>
    <row r="198" spans="1:2" x14ac:dyDescent="0.25">
      <c r="A198" t="s">
        <v>103</v>
      </c>
      <c r="B198" t="s">
        <v>103</v>
      </c>
    </row>
    <row r="199" spans="1:2" x14ac:dyDescent="0.25">
      <c r="A199" t="s">
        <v>103</v>
      </c>
      <c r="B199" t="s">
        <v>103</v>
      </c>
    </row>
    <row r="200" spans="1:2" x14ac:dyDescent="0.25">
      <c r="A200" t="s">
        <v>103</v>
      </c>
      <c r="B200" t="s">
        <v>103</v>
      </c>
    </row>
    <row r="201" spans="1:2" x14ac:dyDescent="0.25">
      <c r="A201" t="s">
        <v>103</v>
      </c>
      <c r="B201" t="s">
        <v>103</v>
      </c>
    </row>
    <row r="202" spans="1:2" x14ac:dyDescent="0.25">
      <c r="A202" t="s">
        <v>103</v>
      </c>
      <c r="B202" t="s">
        <v>103</v>
      </c>
    </row>
    <row r="203" spans="1:2" x14ac:dyDescent="0.25">
      <c r="A203" t="s">
        <v>103</v>
      </c>
      <c r="B203" t="s">
        <v>103</v>
      </c>
    </row>
    <row r="204" spans="1:2" x14ac:dyDescent="0.25">
      <c r="A204" t="s">
        <v>103</v>
      </c>
      <c r="B204" t="s">
        <v>103</v>
      </c>
    </row>
    <row r="205" spans="1:2" x14ac:dyDescent="0.25">
      <c r="A205" t="s">
        <v>103</v>
      </c>
      <c r="B205" t="s">
        <v>103</v>
      </c>
    </row>
    <row r="206" spans="1:2" x14ac:dyDescent="0.25">
      <c r="A206" t="s">
        <v>103</v>
      </c>
      <c r="B206" t="s">
        <v>103</v>
      </c>
    </row>
    <row r="207" spans="1:2" x14ac:dyDescent="0.25">
      <c r="A207" t="s">
        <v>103</v>
      </c>
      <c r="B207" t="s">
        <v>103</v>
      </c>
    </row>
    <row r="208" spans="1:2" x14ac:dyDescent="0.25">
      <c r="A208" t="s">
        <v>103</v>
      </c>
      <c r="B208" t="s">
        <v>103</v>
      </c>
    </row>
    <row r="209" spans="1:2" x14ac:dyDescent="0.25">
      <c r="A209" t="s">
        <v>103</v>
      </c>
      <c r="B209" t="s">
        <v>103</v>
      </c>
    </row>
    <row r="210" spans="1:2" x14ac:dyDescent="0.25">
      <c r="A210" t="s">
        <v>103</v>
      </c>
      <c r="B210" t="s">
        <v>103</v>
      </c>
    </row>
    <row r="211" spans="1:2" x14ac:dyDescent="0.25">
      <c r="A211" t="s">
        <v>103</v>
      </c>
      <c r="B211" t="s">
        <v>103</v>
      </c>
    </row>
    <row r="212" spans="1:2" x14ac:dyDescent="0.25">
      <c r="A212" t="s">
        <v>103</v>
      </c>
      <c r="B212" t="s">
        <v>103</v>
      </c>
    </row>
    <row r="213" spans="1:2" x14ac:dyDescent="0.25">
      <c r="A213" t="s">
        <v>103</v>
      </c>
      <c r="B213" t="s">
        <v>103</v>
      </c>
    </row>
    <row r="214" spans="1:2" x14ac:dyDescent="0.25">
      <c r="A214" t="s">
        <v>103</v>
      </c>
      <c r="B214" t="s">
        <v>103</v>
      </c>
    </row>
    <row r="215" spans="1:2" x14ac:dyDescent="0.25">
      <c r="A215" t="s">
        <v>103</v>
      </c>
      <c r="B215" t="s">
        <v>103</v>
      </c>
    </row>
    <row r="216" spans="1:2" x14ac:dyDescent="0.25">
      <c r="A216" t="s">
        <v>103</v>
      </c>
      <c r="B216" t="s">
        <v>103</v>
      </c>
    </row>
    <row r="217" spans="1:2" x14ac:dyDescent="0.25">
      <c r="A217" t="s">
        <v>103</v>
      </c>
      <c r="B217" t="s">
        <v>103</v>
      </c>
    </row>
    <row r="218" spans="1:2" x14ac:dyDescent="0.25">
      <c r="A218" t="s">
        <v>103</v>
      </c>
      <c r="B218" t="s">
        <v>103</v>
      </c>
    </row>
    <row r="219" spans="1:2" x14ac:dyDescent="0.25">
      <c r="A219" t="s">
        <v>103</v>
      </c>
      <c r="B219" t="s">
        <v>103</v>
      </c>
    </row>
    <row r="220" spans="1:2" x14ac:dyDescent="0.25">
      <c r="A220" t="s">
        <v>103</v>
      </c>
      <c r="B220" t="s">
        <v>103</v>
      </c>
    </row>
    <row r="221" spans="1:2" x14ac:dyDescent="0.25">
      <c r="A221" t="s">
        <v>103</v>
      </c>
      <c r="B221" t="s">
        <v>103</v>
      </c>
    </row>
    <row r="222" spans="1:2" x14ac:dyDescent="0.25">
      <c r="A222" t="s">
        <v>103</v>
      </c>
      <c r="B222" t="s">
        <v>103</v>
      </c>
    </row>
    <row r="223" spans="1:2" x14ac:dyDescent="0.25">
      <c r="A223" t="s">
        <v>103</v>
      </c>
      <c r="B223" t="s">
        <v>103</v>
      </c>
    </row>
    <row r="224" spans="1:2" x14ac:dyDescent="0.25">
      <c r="A224" t="s">
        <v>103</v>
      </c>
      <c r="B224" t="s">
        <v>103</v>
      </c>
    </row>
    <row r="225" spans="1:2" x14ac:dyDescent="0.25">
      <c r="A225" t="s">
        <v>103</v>
      </c>
      <c r="B225" t="s">
        <v>103</v>
      </c>
    </row>
    <row r="226" spans="1:2" x14ac:dyDescent="0.25">
      <c r="A226" t="s">
        <v>103</v>
      </c>
      <c r="B226" t="s">
        <v>103</v>
      </c>
    </row>
    <row r="227" spans="1:2" x14ac:dyDescent="0.25">
      <c r="A227" t="s">
        <v>103</v>
      </c>
      <c r="B227" t="s">
        <v>103</v>
      </c>
    </row>
    <row r="228" spans="1:2" x14ac:dyDescent="0.25">
      <c r="A228" t="s">
        <v>103</v>
      </c>
      <c r="B228" t="s">
        <v>103</v>
      </c>
    </row>
    <row r="229" spans="1:2" x14ac:dyDescent="0.25">
      <c r="A229" t="s">
        <v>103</v>
      </c>
      <c r="B229" t="s">
        <v>103</v>
      </c>
    </row>
    <row r="230" spans="1:2" x14ac:dyDescent="0.25">
      <c r="A230" t="s">
        <v>103</v>
      </c>
      <c r="B230" t="s">
        <v>103</v>
      </c>
    </row>
    <row r="231" spans="1:2" x14ac:dyDescent="0.25">
      <c r="A231" t="s">
        <v>103</v>
      </c>
      <c r="B231" t="s">
        <v>103</v>
      </c>
    </row>
    <row r="232" spans="1:2" x14ac:dyDescent="0.25">
      <c r="A232" t="s">
        <v>103</v>
      </c>
      <c r="B232" t="s">
        <v>103</v>
      </c>
    </row>
    <row r="233" spans="1:2" x14ac:dyDescent="0.25">
      <c r="A233" t="s">
        <v>103</v>
      </c>
      <c r="B233" t="s">
        <v>103</v>
      </c>
    </row>
    <row r="234" spans="1:2" x14ac:dyDescent="0.25">
      <c r="A234" t="s">
        <v>103</v>
      </c>
      <c r="B234" t="s">
        <v>103</v>
      </c>
    </row>
    <row r="235" spans="1:2" x14ac:dyDescent="0.25">
      <c r="A235" t="s">
        <v>103</v>
      </c>
      <c r="B235" t="s">
        <v>103</v>
      </c>
    </row>
    <row r="236" spans="1:2" x14ac:dyDescent="0.25">
      <c r="A236" t="s">
        <v>103</v>
      </c>
      <c r="B236" t="s">
        <v>103</v>
      </c>
    </row>
    <row r="237" spans="1:2" x14ac:dyDescent="0.25">
      <c r="A237" t="s">
        <v>103</v>
      </c>
      <c r="B237" t="s">
        <v>103</v>
      </c>
    </row>
    <row r="238" spans="1:2" x14ac:dyDescent="0.25">
      <c r="A238" t="s">
        <v>103</v>
      </c>
      <c r="B238" t="s">
        <v>103</v>
      </c>
    </row>
    <row r="239" spans="1:2" x14ac:dyDescent="0.25">
      <c r="A239" t="s">
        <v>103</v>
      </c>
      <c r="B239" t="s">
        <v>103</v>
      </c>
    </row>
    <row r="240" spans="1:2" x14ac:dyDescent="0.25">
      <c r="A240" t="s">
        <v>103</v>
      </c>
      <c r="B240" t="s">
        <v>103</v>
      </c>
    </row>
    <row r="241" spans="1:2" x14ac:dyDescent="0.25">
      <c r="A241" t="s">
        <v>103</v>
      </c>
      <c r="B241" t="s">
        <v>103</v>
      </c>
    </row>
    <row r="242" spans="1:2" x14ac:dyDescent="0.25">
      <c r="A242" t="s">
        <v>103</v>
      </c>
      <c r="B242" t="s">
        <v>103</v>
      </c>
    </row>
    <row r="243" spans="1:2" x14ac:dyDescent="0.25">
      <c r="A243" t="s">
        <v>103</v>
      </c>
      <c r="B243" t="s">
        <v>103</v>
      </c>
    </row>
    <row r="244" spans="1:2" x14ac:dyDescent="0.25">
      <c r="A244" t="s">
        <v>103</v>
      </c>
      <c r="B244" t="s">
        <v>103</v>
      </c>
    </row>
    <row r="245" spans="1:2" x14ac:dyDescent="0.25">
      <c r="A245" t="s">
        <v>103</v>
      </c>
      <c r="B245" t="s">
        <v>103</v>
      </c>
    </row>
    <row r="246" spans="1:2" x14ac:dyDescent="0.25">
      <c r="A246" t="s">
        <v>103</v>
      </c>
      <c r="B246" t="s">
        <v>103</v>
      </c>
    </row>
    <row r="247" spans="1:2" x14ac:dyDescent="0.25">
      <c r="A247" t="s">
        <v>103</v>
      </c>
      <c r="B247" t="s">
        <v>103</v>
      </c>
    </row>
    <row r="248" spans="1:2" x14ac:dyDescent="0.25">
      <c r="A248" t="s">
        <v>103</v>
      </c>
      <c r="B248" t="s">
        <v>103</v>
      </c>
    </row>
    <row r="249" spans="1:2" x14ac:dyDescent="0.25">
      <c r="A249" t="s">
        <v>103</v>
      </c>
      <c r="B249" t="s">
        <v>103</v>
      </c>
    </row>
    <row r="250" spans="1:2" x14ac:dyDescent="0.25">
      <c r="A250" t="s">
        <v>103</v>
      </c>
      <c r="B250" t="s">
        <v>103</v>
      </c>
    </row>
    <row r="251" spans="1:2" x14ac:dyDescent="0.25">
      <c r="A251" t="s">
        <v>103</v>
      </c>
      <c r="B251" t="s">
        <v>103</v>
      </c>
    </row>
    <row r="252" spans="1:2" x14ac:dyDescent="0.25">
      <c r="A252" t="s">
        <v>103</v>
      </c>
      <c r="B252" t="s">
        <v>103</v>
      </c>
    </row>
    <row r="253" spans="1:2" x14ac:dyDescent="0.25">
      <c r="A253" t="s">
        <v>103</v>
      </c>
      <c r="B253" t="s">
        <v>103</v>
      </c>
    </row>
    <row r="254" spans="1:2" x14ac:dyDescent="0.25">
      <c r="A254" t="s">
        <v>103</v>
      </c>
      <c r="B254" t="s">
        <v>103</v>
      </c>
    </row>
    <row r="255" spans="1:2" x14ac:dyDescent="0.25">
      <c r="A255" t="s">
        <v>103</v>
      </c>
      <c r="B255" t="s">
        <v>103</v>
      </c>
    </row>
    <row r="256" spans="1:2" x14ac:dyDescent="0.25">
      <c r="A256" t="s">
        <v>103</v>
      </c>
      <c r="B256" t="s">
        <v>103</v>
      </c>
    </row>
    <row r="257" spans="1:2" x14ac:dyDescent="0.25">
      <c r="A257" t="s">
        <v>103</v>
      </c>
      <c r="B257" t="s">
        <v>103</v>
      </c>
    </row>
    <row r="258" spans="1:2" x14ac:dyDescent="0.25">
      <c r="A258" t="s">
        <v>103</v>
      </c>
      <c r="B258" t="s">
        <v>103</v>
      </c>
    </row>
    <row r="259" spans="1:2" x14ac:dyDescent="0.25">
      <c r="A259" t="s">
        <v>103</v>
      </c>
      <c r="B259" t="s">
        <v>103</v>
      </c>
    </row>
    <row r="260" spans="1:2" x14ac:dyDescent="0.25">
      <c r="A260" t="s">
        <v>103</v>
      </c>
      <c r="B260" t="s">
        <v>103</v>
      </c>
    </row>
    <row r="261" spans="1:2" x14ac:dyDescent="0.25">
      <c r="A261" t="s">
        <v>103</v>
      </c>
      <c r="B261" t="s">
        <v>103</v>
      </c>
    </row>
    <row r="262" spans="1:2" x14ac:dyDescent="0.25">
      <c r="A262" t="s">
        <v>103</v>
      </c>
      <c r="B262" t="s">
        <v>103</v>
      </c>
    </row>
    <row r="263" spans="1:2" x14ac:dyDescent="0.25">
      <c r="A263" t="s">
        <v>103</v>
      </c>
      <c r="B263" t="s">
        <v>103</v>
      </c>
    </row>
    <row r="264" spans="1:2" x14ac:dyDescent="0.25">
      <c r="A264" t="s">
        <v>103</v>
      </c>
      <c r="B264" t="s">
        <v>103</v>
      </c>
    </row>
    <row r="265" spans="1:2" x14ac:dyDescent="0.25">
      <c r="A265" t="s">
        <v>103</v>
      </c>
      <c r="B265" t="s">
        <v>103</v>
      </c>
    </row>
    <row r="266" spans="1:2" x14ac:dyDescent="0.25">
      <c r="A266" t="s">
        <v>103</v>
      </c>
      <c r="B266" t="s">
        <v>103</v>
      </c>
    </row>
    <row r="267" spans="1:2" x14ac:dyDescent="0.25">
      <c r="A267" t="s">
        <v>103</v>
      </c>
      <c r="B267" t="s">
        <v>103</v>
      </c>
    </row>
    <row r="268" spans="1:2" x14ac:dyDescent="0.25">
      <c r="A268" t="s">
        <v>103</v>
      </c>
      <c r="B268" t="s">
        <v>103</v>
      </c>
    </row>
    <row r="269" spans="1:2" x14ac:dyDescent="0.25">
      <c r="A269" t="s">
        <v>103</v>
      </c>
      <c r="B269" t="s">
        <v>103</v>
      </c>
    </row>
    <row r="270" spans="1:2" x14ac:dyDescent="0.25">
      <c r="A270" t="s">
        <v>103</v>
      </c>
      <c r="B270" t="s">
        <v>103</v>
      </c>
    </row>
    <row r="271" spans="1:2" x14ac:dyDescent="0.25">
      <c r="A271" t="s">
        <v>103</v>
      </c>
      <c r="B271" t="s">
        <v>103</v>
      </c>
    </row>
    <row r="272" spans="1:2" x14ac:dyDescent="0.25">
      <c r="A272" t="s">
        <v>103</v>
      </c>
      <c r="B272" t="s">
        <v>103</v>
      </c>
    </row>
    <row r="273" spans="1:2" x14ac:dyDescent="0.25">
      <c r="A273" t="s">
        <v>103</v>
      </c>
      <c r="B273" t="s">
        <v>103</v>
      </c>
    </row>
    <row r="274" spans="1:2" x14ac:dyDescent="0.25">
      <c r="A274" t="s">
        <v>103</v>
      </c>
      <c r="B274" t="s">
        <v>103</v>
      </c>
    </row>
    <row r="275" spans="1:2" x14ac:dyDescent="0.25">
      <c r="A275" t="s">
        <v>103</v>
      </c>
      <c r="B275" t="s">
        <v>103</v>
      </c>
    </row>
    <row r="276" spans="1:2" x14ac:dyDescent="0.25">
      <c r="A276" t="s">
        <v>103</v>
      </c>
      <c r="B276" t="s">
        <v>103</v>
      </c>
    </row>
    <row r="277" spans="1:2" x14ac:dyDescent="0.25">
      <c r="A277" t="s">
        <v>103</v>
      </c>
      <c r="B277" t="s">
        <v>103</v>
      </c>
    </row>
    <row r="278" spans="1:2" x14ac:dyDescent="0.25">
      <c r="A278" t="s">
        <v>103</v>
      </c>
      <c r="B278" t="s">
        <v>103</v>
      </c>
    </row>
    <row r="279" spans="1:2" x14ac:dyDescent="0.25">
      <c r="A279" t="s">
        <v>103</v>
      </c>
      <c r="B279" t="s">
        <v>103</v>
      </c>
    </row>
    <row r="280" spans="1:2" x14ac:dyDescent="0.25">
      <c r="A280" t="s">
        <v>103</v>
      </c>
      <c r="B280" t="s">
        <v>103</v>
      </c>
    </row>
    <row r="281" spans="1:2" x14ac:dyDescent="0.25">
      <c r="A281" t="s">
        <v>103</v>
      </c>
      <c r="B281" t="s">
        <v>103</v>
      </c>
    </row>
    <row r="282" spans="1:2" x14ac:dyDescent="0.25">
      <c r="A282" t="s">
        <v>103</v>
      </c>
      <c r="B282" t="s">
        <v>103</v>
      </c>
    </row>
    <row r="283" spans="1:2" x14ac:dyDescent="0.25">
      <c r="A283" t="s">
        <v>103</v>
      </c>
      <c r="B283" t="s">
        <v>103</v>
      </c>
    </row>
    <row r="284" spans="1:2" x14ac:dyDescent="0.25">
      <c r="A284" t="s">
        <v>103</v>
      </c>
      <c r="B284" t="s">
        <v>103</v>
      </c>
    </row>
    <row r="285" spans="1:2" x14ac:dyDescent="0.25">
      <c r="A285" t="s">
        <v>103</v>
      </c>
      <c r="B285" t="s">
        <v>103</v>
      </c>
    </row>
    <row r="286" spans="1:2" x14ac:dyDescent="0.25">
      <c r="A286" t="s">
        <v>103</v>
      </c>
      <c r="B286" t="s">
        <v>103</v>
      </c>
    </row>
    <row r="287" spans="1:2" x14ac:dyDescent="0.25">
      <c r="A287" t="s">
        <v>103</v>
      </c>
      <c r="B287" t="s">
        <v>103</v>
      </c>
    </row>
    <row r="288" spans="1:2" x14ac:dyDescent="0.25">
      <c r="A288" t="s">
        <v>103</v>
      </c>
      <c r="B288" t="s">
        <v>103</v>
      </c>
    </row>
    <row r="289" spans="1:2" x14ac:dyDescent="0.25">
      <c r="A289" t="s">
        <v>103</v>
      </c>
      <c r="B289" t="s">
        <v>103</v>
      </c>
    </row>
    <row r="290" spans="1:2" x14ac:dyDescent="0.25">
      <c r="A290" t="s">
        <v>103</v>
      </c>
      <c r="B290" t="s">
        <v>103</v>
      </c>
    </row>
    <row r="291" spans="1:2" x14ac:dyDescent="0.25">
      <c r="A291" t="s">
        <v>103</v>
      </c>
      <c r="B291" t="s">
        <v>103</v>
      </c>
    </row>
    <row r="292" spans="1:2" x14ac:dyDescent="0.25">
      <c r="A292" t="s">
        <v>103</v>
      </c>
      <c r="B292" t="s">
        <v>103</v>
      </c>
    </row>
    <row r="293" spans="1:2" x14ac:dyDescent="0.25">
      <c r="A293" t="s">
        <v>103</v>
      </c>
      <c r="B293" t="s">
        <v>103</v>
      </c>
    </row>
    <row r="294" spans="1:2" x14ac:dyDescent="0.25">
      <c r="A294" t="s">
        <v>103</v>
      </c>
      <c r="B294" t="s">
        <v>103</v>
      </c>
    </row>
    <row r="295" spans="1:2" x14ac:dyDescent="0.25">
      <c r="A295" t="s">
        <v>103</v>
      </c>
      <c r="B295" t="s">
        <v>103</v>
      </c>
    </row>
    <row r="296" spans="1:2" x14ac:dyDescent="0.25">
      <c r="A296" t="s">
        <v>103</v>
      </c>
      <c r="B296" t="s">
        <v>103</v>
      </c>
    </row>
    <row r="297" spans="1:2" x14ac:dyDescent="0.25">
      <c r="A297" t="s">
        <v>103</v>
      </c>
      <c r="B297" t="s">
        <v>103</v>
      </c>
    </row>
    <row r="298" spans="1:2" x14ac:dyDescent="0.25">
      <c r="A298" t="s">
        <v>103</v>
      </c>
      <c r="B298" t="s">
        <v>103</v>
      </c>
    </row>
    <row r="299" spans="1:2" x14ac:dyDescent="0.25">
      <c r="A299" t="s">
        <v>103</v>
      </c>
      <c r="B299" t="s">
        <v>103</v>
      </c>
    </row>
    <row r="300" spans="1:2" x14ac:dyDescent="0.25">
      <c r="A300" t="s">
        <v>103</v>
      </c>
      <c r="B300" t="s">
        <v>103</v>
      </c>
    </row>
    <row r="301" spans="1:2" x14ac:dyDescent="0.25">
      <c r="A301" t="s">
        <v>103</v>
      </c>
      <c r="B301" t="s">
        <v>103</v>
      </c>
    </row>
    <row r="302" spans="1:2" x14ac:dyDescent="0.25">
      <c r="A302" t="s">
        <v>103</v>
      </c>
      <c r="B302" t="s">
        <v>103</v>
      </c>
    </row>
    <row r="303" spans="1:2" x14ac:dyDescent="0.25">
      <c r="A303" t="s">
        <v>103</v>
      </c>
      <c r="B303" t="s">
        <v>103</v>
      </c>
    </row>
    <row r="304" spans="1:2" x14ac:dyDescent="0.25">
      <c r="A304" t="s">
        <v>103</v>
      </c>
      <c r="B304" t="s">
        <v>103</v>
      </c>
    </row>
    <row r="305" spans="1:2" x14ac:dyDescent="0.25">
      <c r="A305" t="s">
        <v>103</v>
      </c>
      <c r="B305" t="s">
        <v>103</v>
      </c>
    </row>
    <row r="306" spans="1:2" x14ac:dyDescent="0.25">
      <c r="A306" t="s">
        <v>103</v>
      </c>
      <c r="B306" t="s">
        <v>103</v>
      </c>
    </row>
    <row r="307" spans="1:2" x14ac:dyDescent="0.25">
      <c r="A307" t="s">
        <v>103</v>
      </c>
      <c r="B307" t="s">
        <v>103</v>
      </c>
    </row>
    <row r="308" spans="1:2" x14ac:dyDescent="0.25">
      <c r="A308" t="s">
        <v>103</v>
      </c>
      <c r="B308" t="s">
        <v>103</v>
      </c>
    </row>
    <row r="309" spans="1:2" x14ac:dyDescent="0.25">
      <c r="A309" t="s">
        <v>103</v>
      </c>
      <c r="B309" t="s">
        <v>103</v>
      </c>
    </row>
    <row r="310" spans="1:2" x14ac:dyDescent="0.25">
      <c r="A310" t="s">
        <v>103</v>
      </c>
      <c r="B310" t="s">
        <v>103</v>
      </c>
    </row>
    <row r="311" spans="1:2" x14ac:dyDescent="0.25">
      <c r="A311" t="s">
        <v>103</v>
      </c>
      <c r="B311" t="s">
        <v>103</v>
      </c>
    </row>
    <row r="312" spans="1:2" x14ac:dyDescent="0.25">
      <c r="A312" t="s">
        <v>103</v>
      </c>
      <c r="B312" t="s">
        <v>103</v>
      </c>
    </row>
    <row r="313" spans="1:2" x14ac:dyDescent="0.25">
      <c r="A313" t="s">
        <v>103</v>
      </c>
      <c r="B313" t="s">
        <v>103</v>
      </c>
    </row>
    <row r="314" spans="1:2" x14ac:dyDescent="0.25">
      <c r="A314" t="s">
        <v>103</v>
      </c>
      <c r="B314" t="s">
        <v>103</v>
      </c>
    </row>
    <row r="315" spans="1:2" x14ac:dyDescent="0.25">
      <c r="A315" t="s">
        <v>103</v>
      </c>
      <c r="B315" t="s">
        <v>103</v>
      </c>
    </row>
    <row r="316" spans="1:2" x14ac:dyDescent="0.25">
      <c r="A316" t="s">
        <v>103</v>
      </c>
      <c r="B316" t="s">
        <v>103</v>
      </c>
    </row>
    <row r="317" spans="1:2" x14ac:dyDescent="0.25">
      <c r="A317" t="s">
        <v>103</v>
      </c>
      <c r="B317" t="s">
        <v>103</v>
      </c>
    </row>
    <row r="318" spans="1:2" x14ac:dyDescent="0.25">
      <c r="A318" t="s">
        <v>103</v>
      </c>
      <c r="B318" t="s">
        <v>103</v>
      </c>
    </row>
    <row r="319" spans="1:2" x14ac:dyDescent="0.25">
      <c r="A319" t="s">
        <v>103</v>
      </c>
      <c r="B319" t="s">
        <v>103</v>
      </c>
    </row>
    <row r="320" spans="1:2" x14ac:dyDescent="0.25">
      <c r="A320" t="s">
        <v>103</v>
      </c>
      <c r="B320" t="s">
        <v>103</v>
      </c>
    </row>
    <row r="321" spans="1:2" x14ac:dyDescent="0.25">
      <c r="A321" t="s">
        <v>103</v>
      </c>
      <c r="B321" t="s">
        <v>103</v>
      </c>
    </row>
    <row r="322" spans="1:2" x14ac:dyDescent="0.25">
      <c r="A322" t="s">
        <v>103</v>
      </c>
      <c r="B322" t="s">
        <v>103</v>
      </c>
    </row>
    <row r="323" spans="1:2" x14ac:dyDescent="0.25">
      <c r="A323" t="s">
        <v>103</v>
      </c>
      <c r="B323" t="s">
        <v>103</v>
      </c>
    </row>
    <row r="324" spans="1:2" x14ac:dyDescent="0.25">
      <c r="A324" t="s">
        <v>103</v>
      </c>
      <c r="B324" t="s">
        <v>103</v>
      </c>
    </row>
    <row r="325" spans="1:2" x14ac:dyDescent="0.25">
      <c r="A325" t="s">
        <v>103</v>
      </c>
      <c r="B325" t="s">
        <v>103</v>
      </c>
    </row>
    <row r="326" spans="1:2" x14ac:dyDescent="0.25">
      <c r="A326" t="s">
        <v>103</v>
      </c>
      <c r="B326" t="s">
        <v>103</v>
      </c>
    </row>
    <row r="327" spans="1:2" x14ac:dyDescent="0.25">
      <c r="A327" t="s">
        <v>103</v>
      </c>
      <c r="B327" t="s">
        <v>103</v>
      </c>
    </row>
    <row r="328" spans="1:2" x14ac:dyDescent="0.25">
      <c r="A328" t="s">
        <v>103</v>
      </c>
      <c r="B328" t="s">
        <v>103</v>
      </c>
    </row>
    <row r="329" spans="1:2" x14ac:dyDescent="0.25">
      <c r="A329" t="s">
        <v>103</v>
      </c>
      <c r="B329" t="s">
        <v>103</v>
      </c>
    </row>
    <row r="330" spans="1:2" x14ac:dyDescent="0.25">
      <c r="A330" t="s">
        <v>103</v>
      </c>
      <c r="B330" t="s">
        <v>103</v>
      </c>
    </row>
    <row r="331" spans="1:2" x14ac:dyDescent="0.25">
      <c r="A331" t="s">
        <v>103</v>
      </c>
      <c r="B331" t="s">
        <v>103</v>
      </c>
    </row>
    <row r="332" spans="1:2" x14ac:dyDescent="0.25">
      <c r="A332" t="s">
        <v>103</v>
      </c>
      <c r="B332" t="s">
        <v>103</v>
      </c>
    </row>
    <row r="333" spans="1:2" x14ac:dyDescent="0.25">
      <c r="A333" t="s">
        <v>103</v>
      </c>
      <c r="B333" t="s">
        <v>103</v>
      </c>
    </row>
    <row r="334" spans="1:2" x14ac:dyDescent="0.25">
      <c r="A334" t="s">
        <v>103</v>
      </c>
      <c r="B334" t="s">
        <v>103</v>
      </c>
    </row>
    <row r="335" spans="1:2" x14ac:dyDescent="0.25">
      <c r="A335" t="s">
        <v>103</v>
      </c>
      <c r="B335" t="s">
        <v>103</v>
      </c>
    </row>
    <row r="336" spans="1:2" x14ac:dyDescent="0.25">
      <c r="A336" t="s">
        <v>103</v>
      </c>
      <c r="B336" t="s">
        <v>103</v>
      </c>
    </row>
    <row r="337" spans="1:2" x14ac:dyDescent="0.25">
      <c r="A337" t="s">
        <v>103</v>
      </c>
      <c r="B337" t="s">
        <v>103</v>
      </c>
    </row>
    <row r="338" spans="1:2" x14ac:dyDescent="0.25">
      <c r="A338" t="s">
        <v>103</v>
      </c>
      <c r="B338" t="s">
        <v>103</v>
      </c>
    </row>
    <row r="339" spans="1:2" x14ac:dyDescent="0.25">
      <c r="A339" t="s">
        <v>103</v>
      </c>
      <c r="B339" t="s">
        <v>103</v>
      </c>
    </row>
    <row r="340" spans="1:2" x14ac:dyDescent="0.25">
      <c r="A340" t="s">
        <v>103</v>
      </c>
      <c r="B340" t="s">
        <v>103</v>
      </c>
    </row>
    <row r="341" spans="1:2" x14ac:dyDescent="0.25">
      <c r="A341" t="s">
        <v>103</v>
      </c>
      <c r="B341" t="s">
        <v>103</v>
      </c>
    </row>
    <row r="342" spans="1:2" x14ac:dyDescent="0.25">
      <c r="A342" t="s">
        <v>103</v>
      </c>
      <c r="B342" t="s">
        <v>103</v>
      </c>
    </row>
    <row r="343" spans="1:2" x14ac:dyDescent="0.25">
      <c r="A343" t="s">
        <v>103</v>
      </c>
      <c r="B343" t="s">
        <v>103</v>
      </c>
    </row>
    <row r="344" spans="1:2" x14ac:dyDescent="0.25">
      <c r="A344" t="s">
        <v>103</v>
      </c>
      <c r="B344" t="s">
        <v>103</v>
      </c>
    </row>
    <row r="345" spans="1:2" x14ac:dyDescent="0.25">
      <c r="A345" t="s">
        <v>103</v>
      </c>
      <c r="B345" t="s">
        <v>103</v>
      </c>
    </row>
    <row r="346" spans="1:2" x14ac:dyDescent="0.25">
      <c r="A346" t="s">
        <v>103</v>
      </c>
      <c r="B346" t="s">
        <v>103</v>
      </c>
    </row>
    <row r="347" spans="1:2" x14ac:dyDescent="0.25">
      <c r="A347" t="s">
        <v>103</v>
      </c>
      <c r="B347" t="s">
        <v>103</v>
      </c>
    </row>
    <row r="348" spans="1:2" x14ac:dyDescent="0.25">
      <c r="A348" t="s">
        <v>103</v>
      </c>
      <c r="B348" t="s">
        <v>103</v>
      </c>
    </row>
    <row r="349" spans="1:2" x14ac:dyDescent="0.25">
      <c r="A349" t="s">
        <v>103</v>
      </c>
      <c r="B349" t="s">
        <v>103</v>
      </c>
    </row>
    <row r="350" spans="1:2" x14ac:dyDescent="0.25">
      <c r="A350" t="s">
        <v>103</v>
      </c>
      <c r="B350" t="s">
        <v>103</v>
      </c>
    </row>
    <row r="351" spans="1:2" x14ac:dyDescent="0.25">
      <c r="A351" t="s">
        <v>103</v>
      </c>
      <c r="B351" t="s">
        <v>103</v>
      </c>
    </row>
    <row r="352" spans="1:2" x14ac:dyDescent="0.25">
      <c r="A352" t="s">
        <v>103</v>
      </c>
      <c r="B352" t="s">
        <v>103</v>
      </c>
    </row>
    <row r="353" spans="1:2" x14ac:dyDescent="0.25">
      <c r="A353" t="s">
        <v>103</v>
      </c>
      <c r="B353" t="s">
        <v>103</v>
      </c>
    </row>
    <row r="354" spans="1:2" x14ac:dyDescent="0.25">
      <c r="A354" t="s">
        <v>103</v>
      </c>
      <c r="B354" t="s">
        <v>103</v>
      </c>
    </row>
    <row r="355" spans="1:2" x14ac:dyDescent="0.25">
      <c r="A355" t="s">
        <v>103</v>
      </c>
      <c r="B355" t="s">
        <v>103</v>
      </c>
    </row>
    <row r="356" spans="1:2" x14ac:dyDescent="0.25">
      <c r="A356" t="s">
        <v>103</v>
      </c>
      <c r="B356" t="s">
        <v>103</v>
      </c>
    </row>
    <row r="357" spans="1:2" x14ac:dyDescent="0.25">
      <c r="A357" t="s">
        <v>103</v>
      </c>
      <c r="B357" t="s">
        <v>103</v>
      </c>
    </row>
    <row r="358" spans="1:2" x14ac:dyDescent="0.25">
      <c r="A358" t="s">
        <v>103</v>
      </c>
      <c r="B358" t="s">
        <v>103</v>
      </c>
    </row>
    <row r="359" spans="1:2" x14ac:dyDescent="0.25">
      <c r="A359" t="s">
        <v>103</v>
      </c>
      <c r="B359" t="s">
        <v>103</v>
      </c>
    </row>
    <row r="360" spans="1:2" x14ac:dyDescent="0.25">
      <c r="A360" t="s">
        <v>103</v>
      </c>
      <c r="B360" t="s">
        <v>103</v>
      </c>
    </row>
    <row r="361" spans="1:2" x14ac:dyDescent="0.25">
      <c r="A361" t="s">
        <v>103</v>
      </c>
      <c r="B361" t="s">
        <v>103</v>
      </c>
    </row>
    <row r="362" spans="1:2" x14ac:dyDescent="0.25">
      <c r="A362" t="s">
        <v>103</v>
      </c>
      <c r="B362" t="s">
        <v>103</v>
      </c>
    </row>
    <row r="363" spans="1:2" x14ac:dyDescent="0.25">
      <c r="A363" t="s">
        <v>103</v>
      </c>
      <c r="B363" t="s">
        <v>103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activeCell="N23" sqref="N23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8" t="s">
        <v>104</v>
      </c>
      <c r="B1" s="128"/>
      <c r="C1" s="128"/>
      <c r="D1" s="128"/>
      <c r="E1" s="128"/>
      <c r="F1" s="128"/>
      <c r="G1" s="66"/>
      <c r="H1" s="66"/>
      <c r="I1" s="66"/>
      <c r="J1" s="66"/>
      <c r="K1" s="129" t="s">
        <v>105</v>
      </c>
      <c r="L1" s="129"/>
      <c r="M1" s="66"/>
    </row>
    <row r="2" spans="1:13" ht="15" customHeight="1" x14ac:dyDescent="0.25">
      <c r="A2" s="128"/>
      <c r="B2" s="128"/>
      <c r="C2" s="128"/>
      <c r="D2" s="128"/>
      <c r="E2" s="128"/>
      <c r="F2" s="128"/>
      <c r="G2" s="64"/>
      <c r="H2" s="64"/>
      <c r="I2" s="64"/>
      <c r="J2" s="64"/>
      <c r="K2" s="129"/>
      <c r="L2" s="129"/>
      <c r="M2" s="64"/>
    </row>
    <row r="3" spans="1:13" ht="15.95" customHeight="1" x14ac:dyDescent="0.25">
      <c r="A3" s="65" t="s">
        <v>106</v>
      </c>
      <c r="B3" s="65" t="s">
        <v>107</v>
      </c>
      <c r="C3" s="65" t="s">
        <v>108</v>
      </c>
      <c r="D3" s="65" t="s">
        <v>109</v>
      </c>
      <c r="E3" s="65" t="s">
        <v>110</v>
      </c>
      <c r="F3" s="65" t="s">
        <v>111</v>
      </c>
      <c r="G3" s="64"/>
      <c r="H3" s="64"/>
      <c r="I3" s="64"/>
      <c r="J3" s="64"/>
      <c r="K3" s="88" t="s">
        <v>112</v>
      </c>
      <c r="L3" s="88" t="s">
        <v>113</v>
      </c>
      <c r="M3" s="64"/>
    </row>
    <row r="4" spans="1:13" ht="15.95" customHeight="1" x14ac:dyDescent="0.25">
      <c r="A4" s="56" t="s">
        <v>114</v>
      </c>
      <c r="B4" s="56" t="s">
        <v>115</v>
      </c>
      <c r="C4" s="87" t="s">
        <v>116</v>
      </c>
      <c r="D4" s="87"/>
      <c r="E4" s="87"/>
      <c r="F4" s="89"/>
      <c r="G4" s="64"/>
      <c r="H4" s="64" t="s">
        <v>117</v>
      </c>
      <c r="I4" s="64"/>
      <c r="J4" s="64"/>
      <c r="K4" t="s">
        <v>133</v>
      </c>
      <c r="L4" t="s">
        <v>27</v>
      </c>
      <c r="M4" s="64"/>
    </row>
    <row r="5" spans="1:13" ht="15.95" customHeight="1" x14ac:dyDescent="0.25">
      <c r="A5" t="s">
        <v>114</v>
      </c>
      <c r="B5" t="s">
        <v>119</v>
      </c>
      <c r="C5" s="65" t="s">
        <v>120</v>
      </c>
      <c r="D5" s="65"/>
      <c r="E5" s="65"/>
      <c r="F5" s="88"/>
      <c r="G5" s="64"/>
      <c r="H5" s="64"/>
      <c r="I5" s="64"/>
      <c r="J5" s="64"/>
      <c r="K5" t="s">
        <v>133</v>
      </c>
      <c r="L5" t="s">
        <v>434</v>
      </c>
      <c r="M5" s="64"/>
    </row>
    <row r="6" spans="1:13" ht="15.95" customHeight="1" x14ac:dyDescent="0.25">
      <c r="A6" t="s">
        <v>114</v>
      </c>
      <c r="B6" t="s">
        <v>121</v>
      </c>
      <c r="C6" s="65" t="s">
        <v>122</v>
      </c>
      <c r="D6" s="65"/>
      <c r="E6" s="65"/>
      <c r="F6" s="88"/>
      <c r="G6" s="64"/>
      <c r="H6" s="64"/>
      <c r="I6" s="64"/>
      <c r="J6" s="64"/>
      <c r="K6" t="s">
        <v>123</v>
      </c>
      <c r="L6" t="s">
        <v>27</v>
      </c>
      <c r="M6" s="64"/>
    </row>
    <row r="7" spans="1:13" ht="15.95" customHeight="1" x14ac:dyDescent="0.25">
      <c r="A7" t="s">
        <v>114</v>
      </c>
      <c r="B7" t="s">
        <v>124</v>
      </c>
      <c r="C7" s="65" t="s">
        <v>125</v>
      </c>
      <c r="D7" s="65"/>
      <c r="E7" s="65"/>
      <c r="F7" s="88"/>
      <c r="G7" s="64"/>
      <c r="H7" s="64"/>
      <c r="I7" s="64"/>
      <c r="J7" s="64"/>
      <c r="K7" t="s">
        <v>123</v>
      </c>
      <c r="L7" t="s">
        <v>434</v>
      </c>
      <c r="M7" s="64"/>
    </row>
    <row r="8" spans="1:13" ht="15.95" customHeight="1" x14ac:dyDescent="0.25">
      <c r="A8" t="s">
        <v>114</v>
      </c>
      <c r="B8" t="s">
        <v>126</v>
      </c>
      <c r="C8" s="65" t="s">
        <v>127</v>
      </c>
      <c r="D8" s="65"/>
      <c r="E8" s="65"/>
      <c r="F8" s="88"/>
      <c r="G8" s="64"/>
      <c r="H8" s="64"/>
      <c r="I8" s="64"/>
      <c r="J8" s="64"/>
      <c r="K8" t="s">
        <v>118</v>
      </c>
      <c r="L8" t="s">
        <v>441</v>
      </c>
      <c r="M8" s="64"/>
    </row>
    <row r="9" spans="1:13" ht="15.95" customHeight="1" x14ac:dyDescent="0.25">
      <c r="A9" t="s">
        <v>114</v>
      </c>
      <c r="B9" t="s">
        <v>128</v>
      </c>
      <c r="C9" s="65" t="s">
        <v>129</v>
      </c>
      <c r="D9" s="65"/>
      <c r="E9" s="65"/>
      <c r="F9" s="88"/>
      <c r="G9" s="64"/>
      <c r="H9" s="64"/>
      <c r="I9" s="64"/>
      <c r="J9" s="64"/>
      <c r="K9" t="s">
        <v>118</v>
      </c>
      <c r="L9" t="s">
        <v>442</v>
      </c>
      <c r="M9" s="64"/>
    </row>
    <row r="10" spans="1:13" ht="15.95" customHeight="1" x14ac:dyDescent="0.25">
      <c r="A10" t="s">
        <v>114</v>
      </c>
      <c r="B10" t="s">
        <v>130</v>
      </c>
      <c r="C10" s="65" t="s">
        <v>131</v>
      </c>
      <c r="D10" s="65"/>
      <c r="E10" s="65"/>
      <c r="F10" s="88"/>
      <c r="G10" s="64"/>
      <c r="H10" s="64" t="s">
        <v>132</v>
      </c>
      <c r="I10" s="64"/>
      <c r="J10" s="64"/>
      <c r="K10" t="s">
        <v>118</v>
      </c>
      <c r="L10" t="s">
        <v>458</v>
      </c>
      <c r="M10" s="64"/>
    </row>
    <row r="11" spans="1:13" ht="15.95" customHeight="1" x14ac:dyDescent="0.25">
      <c r="A11" t="s">
        <v>114</v>
      </c>
      <c r="B11" t="s">
        <v>134</v>
      </c>
      <c r="C11" s="65" t="s">
        <v>135</v>
      </c>
      <c r="D11" s="65"/>
      <c r="E11" s="65"/>
      <c r="F11" s="88"/>
      <c r="G11" s="64"/>
      <c r="H11" s="64"/>
      <c r="I11" s="64"/>
      <c r="J11" s="64"/>
      <c r="M11" s="64"/>
    </row>
    <row r="12" spans="1:13" ht="15.95" customHeight="1" x14ac:dyDescent="0.25">
      <c r="A12" t="s">
        <v>114</v>
      </c>
      <c r="B12" t="s">
        <v>136</v>
      </c>
      <c r="C12" s="65" t="s">
        <v>137</v>
      </c>
      <c r="D12" s="65"/>
      <c r="E12" s="65"/>
      <c r="F12" s="88"/>
      <c r="G12" s="64"/>
      <c r="H12" s="64"/>
      <c r="I12" s="64"/>
      <c r="J12" s="64"/>
      <c r="M12" s="64"/>
    </row>
    <row r="13" spans="1:13" ht="15.95" customHeight="1" x14ac:dyDescent="0.25">
      <c r="A13" t="s">
        <v>114</v>
      </c>
      <c r="B13" t="s">
        <v>138</v>
      </c>
      <c r="C13" s="65" t="s">
        <v>139</v>
      </c>
      <c r="D13" s="65"/>
      <c r="E13" s="65"/>
      <c r="F13" s="88"/>
      <c r="G13" s="64"/>
      <c r="H13" s="64"/>
      <c r="I13" s="64"/>
      <c r="J13" s="64"/>
      <c r="M13" s="64"/>
    </row>
    <row r="14" spans="1:13" ht="15.95" customHeight="1" x14ac:dyDescent="0.25">
      <c r="A14" t="s">
        <v>114</v>
      </c>
      <c r="B14" t="s">
        <v>140</v>
      </c>
      <c r="C14" s="65" t="s">
        <v>141</v>
      </c>
      <c r="D14" s="65"/>
      <c r="E14" s="65"/>
      <c r="F14" s="88"/>
      <c r="G14" s="64"/>
      <c r="H14" s="64"/>
      <c r="I14" s="64"/>
      <c r="J14" s="64"/>
      <c r="M14" s="64"/>
    </row>
    <row r="15" spans="1:13" ht="15.95" customHeight="1" x14ac:dyDescent="0.25">
      <c r="A15" t="s">
        <v>114</v>
      </c>
      <c r="B15" t="s">
        <v>142</v>
      </c>
      <c r="C15" s="65" t="s">
        <v>143</v>
      </c>
      <c r="D15" s="88"/>
      <c r="E15" s="88"/>
      <c r="F15" s="88"/>
      <c r="G15" s="64"/>
      <c r="H15" s="64"/>
      <c r="I15" s="64"/>
      <c r="J15" s="64"/>
      <c r="M15" s="64"/>
    </row>
    <row r="16" spans="1:13" ht="15.95" customHeight="1" x14ac:dyDescent="0.25">
      <c r="A16" t="s">
        <v>114</v>
      </c>
      <c r="B16" t="s">
        <v>144</v>
      </c>
      <c r="C16" s="65" t="s">
        <v>145</v>
      </c>
      <c r="D16" s="88"/>
      <c r="E16" s="88"/>
      <c r="F16" s="88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114</v>
      </c>
      <c r="B17" t="s">
        <v>146</v>
      </c>
      <c r="C17" s="65" t="s">
        <v>147</v>
      </c>
      <c r="D17" s="88"/>
      <c r="E17" s="88"/>
      <c r="F17" s="88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148</v>
      </c>
      <c r="B18" s="56" t="s">
        <v>149</v>
      </c>
      <c r="C18" s="87" t="s">
        <v>116</v>
      </c>
      <c r="D18" s="87"/>
      <c r="E18" s="87"/>
      <c r="F18" s="89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148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116</v>
      </c>
      <c r="D19" s="65" t="s">
        <v>120</v>
      </c>
      <c r="E19" s="65"/>
      <c r="F19" s="88" t="s">
        <v>150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148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120</v>
      </c>
      <c r="D20" s="65" t="s">
        <v>122</v>
      </c>
      <c r="E20" s="65"/>
      <c r="F20" s="88" t="s">
        <v>150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148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122</v>
      </c>
      <c r="D21" s="65" t="s">
        <v>125</v>
      </c>
      <c r="E21" s="65"/>
      <c r="F21" s="88" t="s">
        <v>150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148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127</v>
      </c>
      <c r="D22" s="65" t="s">
        <v>129</v>
      </c>
      <c r="E22" s="65"/>
      <c r="F22" s="88" t="s">
        <v>150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148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129</v>
      </c>
      <c r="D23" s="65" t="s">
        <v>131</v>
      </c>
      <c r="E23" s="88"/>
      <c r="F23" s="88" t="s">
        <v>150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148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116</v>
      </c>
      <c r="D24" s="65" t="s">
        <v>120</v>
      </c>
      <c r="E24" s="88"/>
      <c r="F24" s="88" t="s">
        <v>151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148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120</v>
      </c>
      <c r="D25" s="65" t="s">
        <v>122</v>
      </c>
      <c r="E25" s="88"/>
      <c r="F25" s="88" t="s">
        <v>151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148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122</v>
      </c>
      <c r="D26" s="65" t="s">
        <v>125</v>
      </c>
      <c r="E26" s="88"/>
      <c r="F26" s="88" t="s">
        <v>151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148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127</v>
      </c>
      <c r="D27" s="65" t="s">
        <v>129</v>
      </c>
      <c r="E27" s="88"/>
      <c r="F27" s="88" t="s">
        <v>151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148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PP_06 PP_07  Horizontal</v>
      </c>
      <c r="C28" s="65" t="s">
        <v>129</v>
      </c>
      <c r="D28" s="65" t="s">
        <v>131</v>
      </c>
      <c r="E28" s="88"/>
      <c r="F28" s="88" t="s">
        <v>151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148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116</v>
      </c>
      <c r="D29" s="65" t="s">
        <v>120</v>
      </c>
      <c r="E29" s="65" t="s">
        <v>122</v>
      </c>
      <c r="F29" s="88" t="s">
        <v>150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148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125</v>
      </c>
      <c r="D30" s="65" t="s">
        <v>127</v>
      </c>
      <c r="E30" s="65" t="s">
        <v>129</v>
      </c>
      <c r="F30" s="88" t="s">
        <v>150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148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116</v>
      </c>
      <c r="D31" s="65" t="s">
        <v>120</v>
      </c>
      <c r="E31" s="65" t="s">
        <v>122</v>
      </c>
      <c r="F31" s="88" t="s">
        <v>151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148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125</v>
      </c>
      <c r="D32" s="65" t="s">
        <v>127</v>
      </c>
      <c r="E32" s="65" t="s">
        <v>129</v>
      </c>
      <c r="F32" s="88" t="s">
        <v>151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 t="s">
        <v>152</v>
      </c>
      <c r="B33" s="56" t="s">
        <v>149</v>
      </c>
      <c r="C33" s="87" t="s">
        <v>116</v>
      </c>
      <c r="D33" s="87"/>
      <c r="E33" s="87"/>
      <c r="F33" s="89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A34" t="s">
        <v>152</v>
      </c>
      <c r="B34" t="str">
        <f>tblIndexPowerpoint7[[#This Row],[Content 1]]&amp;" "&amp;tblIndexPowerpoint7[[#This Row],[Content 2]]&amp;" "&amp;tblIndexPowerpoint7[[#This Row],[Content 3]]&amp;" "&amp;tblIndexPowerpoint7[[#This Row],[Layout]]</f>
        <v>PP_01 PP_01  Vertical</v>
      </c>
      <c r="C34" s="65" t="s">
        <v>116</v>
      </c>
      <c r="D34" s="65" t="s">
        <v>116</v>
      </c>
      <c r="E34" s="65"/>
      <c r="F34" s="88" t="s">
        <v>150</v>
      </c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A35" t="s">
        <v>152</v>
      </c>
      <c r="B35" t="str">
        <f>tblIndexPowerpoint7[[#This Row],[Content 1]]&amp;" "&amp;tblIndexPowerpoint7[[#This Row],[Content 2]]&amp;" "&amp;tblIndexPowerpoint7[[#This Row],[Content 3]]&amp;" "&amp;tblIndexPowerpoint7[[#This Row],[Layout]]</f>
        <v>PP_01 PP_01  Horizontal</v>
      </c>
      <c r="C35" s="65" t="s">
        <v>116</v>
      </c>
      <c r="D35" s="65" t="s">
        <v>116</v>
      </c>
      <c r="E35" s="65"/>
      <c r="F35" s="88" t="s">
        <v>151</v>
      </c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A36" t="s">
        <v>152</v>
      </c>
      <c r="B36" t="str">
        <f>tblIndexPowerpoint7[[#This Row],[Content 1]]&amp;" "&amp;tblIndexPowerpoint7[[#This Row],[Content 2]]&amp;" "&amp;tblIndexPowerpoint7[[#This Row],[Content 3]]&amp;" "&amp;tblIndexPowerpoint7[[#This Row],[Layout]]</f>
        <v>PP_01 PP_01 PP_01 Vertical</v>
      </c>
      <c r="C36" s="65" t="s">
        <v>116</v>
      </c>
      <c r="D36" s="65" t="s">
        <v>116</v>
      </c>
      <c r="E36" s="65" t="s">
        <v>116</v>
      </c>
      <c r="F36" s="88" t="s">
        <v>150</v>
      </c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A37" t="s">
        <v>152</v>
      </c>
      <c r="B37" t="str">
        <f>tblIndexPowerpoint7[[#This Row],[Content 1]]&amp;" "&amp;tblIndexPowerpoint7[[#This Row],[Content 2]]&amp;" "&amp;tblIndexPowerpoint7[[#This Row],[Content 3]]&amp;" "&amp;tblIndexPowerpoint7[[#This Row],[Layout]]</f>
        <v>PP_01 PP_01 PP_01 Horizontal</v>
      </c>
      <c r="C37" s="65" t="s">
        <v>116</v>
      </c>
      <c r="D37" s="65" t="s">
        <v>116</v>
      </c>
      <c r="E37" s="65" t="s">
        <v>116</v>
      </c>
      <c r="F37" s="88" t="s">
        <v>151</v>
      </c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8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8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8"/>
      <c r="E40" s="88"/>
      <c r="F40" s="88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8"/>
      <c r="E41" s="88"/>
      <c r="F41" s="88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8"/>
      <c r="E42" s="88"/>
      <c r="F42" s="88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8"/>
      <c r="E43" s="88"/>
      <c r="F43" s="88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8"/>
      <c r="E44" s="88"/>
      <c r="F44" s="88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8"/>
      <c r="E45" s="88"/>
      <c r="F45" s="88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8"/>
      <c r="E46" s="88"/>
      <c r="F46" s="88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8"/>
      <c r="E47" s="88"/>
      <c r="F47" s="88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8"/>
      <c r="E48" s="88"/>
      <c r="F48" s="88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8"/>
      <c r="E49" s="88"/>
      <c r="F49" s="88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8"/>
      <c r="E50" s="88"/>
      <c r="F50" s="88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8"/>
      <c r="E51" s="88"/>
      <c r="F51" s="88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8"/>
      <c r="E52" s="88"/>
      <c r="F52" s="88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8"/>
      <c r="E53" s="88"/>
      <c r="F53" s="88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8"/>
      <c r="E54" s="88"/>
      <c r="F54" s="88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8"/>
      <c r="E55" s="88"/>
      <c r="F55" s="88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8"/>
      <c r="E56" s="88"/>
      <c r="F56" s="88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8"/>
      <c r="E57" s="88"/>
      <c r="F57" s="88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8"/>
      <c r="E58" s="88"/>
      <c r="F58" s="88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8"/>
      <c r="E59" s="88"/>
      <c r="F59" s="88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8"/>
      <c r="E60" s="88"/>
      <c r="F60" s="88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8"/>
      <c r="E61" s="88"/>
      <c r="F61" s="88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8"/>
      <c r="E62" s="88"/>
      <c r="F62" s="88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8"/>
      <c r="E63" s="88"/>
      <c r="F63" s="88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8"/>
      <c r="E64" s="88"/>
      <c r="F64" s="88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8"/>
      <c r="E65" s="88"/>
      <c r="F65" s="88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8"/>
      <c r="E66" s="88"/>
      <c r="F66" s="88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8"/>
      <c r="E67" s="88"/>
      <c r="F67" s="88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8"/>
      <c r="E68" s="88"/>
      <c r="F68" s="88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8"/>
      <c r="E69" s="88"/>
      <c r="F69" s="88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8"/>
      <c r="E70" s="88"/>
      <c r="F70" s="88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8"/>
      <c r="E71" s="88"/>
      <c r="F71" s="88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8"/>
      <c r="E72" s="88"/>
      <c r="F72" s="88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8"/>
      <c r="E73" s="88"/>
      <c r="F73" s="88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8"/>
      <c r="E74" s="88"/>
      <c r="F74" s="88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8"/>
      <c r="E75" s="88"/>
      <c r="F75" s="88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8"/>
      <c r="E76" s="88"/>
      <c r="F76" s="88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8"/>
      <c r="E77" s="88"/>
      <c r="F77" s="88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8"/>
      <c r="E78" s="88"/>
      <c r="F78" s="88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8"/>
      <c r="E79" s="88"/>
      <c r="F79" s="88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8"/>
      <c r="E80" s="88"/>
      <c r="F80" s="88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8"/>
      <c r="E81" s="88"/>
      <c r="F81" s="88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8"/>
      <c r="E82" s="88"/>
      <c r="F82" s="88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activeCell="B21" sqref="A1:B2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426</v>
      </c>
      <c r="B1" s="131"/>
    </row>
    <row r="2" spans="1:2" ht="15.75" thickBot="1" x14ac:dyDescent="0.3">
      <c r="A2" s="84" t="s">
        <v>153</v>
      </c>
      <c r="B2" s="85" t="s">
        <v>154</v>
      </c>
    </row>
    <row r="3" spans="1:2" x14ac:dyDescent="0.25">
      <c r="A3" s="82" t="s">
        <v>155</v>
      </c>
      <c r="B3" s="83" t="s">
        <v>156</v>
      </c>
    </row>
    <row r="4" spans="1:2" x14ac:dyDescent="0.25">
      <c r="A4" s="78" t="s">
        <v>157</v>
      </c>
      <c r="B4" s="79" t="s">
        <v>158</v>
      </c>
    </row>
    <row r="5" spans="1:2" x14ac:dyDescent="0.25">
      <c r="A5" s="78" t="s">
        <v>159</v>
      </c>
      <c r="B5" s="79" t="s">
        <v>160</v>
      </c>
    </row>
    <row r="6" spans="1:2" x14ac:dyDescent="0.25">
      <c r="A6" s="78" t="s">
        <v>161</v>
      </c>
      <c r="B6" s="79" t="s">
        <v>162</v>
      </c>
    </row>
    <row r="7" spans="1:2" x14ac:dyDescent="0.25">
      <c r="A7" s="78" t="s">
        <v>163</v>
      </c>
      <c r="B7" s="79" t="s">
        <v>431</v>
      </c>
    </row>
    <row r="8" spans="1:2" x14ac:dyDescent="0.25">
      <c r="A8" s="78" t="s">
        <v>425</v>
      </c>
      <c r="B8" s="79" t="s">
        <v>432</v>
      </c>
    </row>
    <row r="9" spans="1:2" x14ac:dyDescent="0.25">
      <c r="A9" s="78" t="s">
        <v>430</v>
      </c>
      <c r="B9" s="79" t="s">
        <v>433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165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activeCell="M38" sqref="M38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166</v>
      </c>
      <c r="B1" s="131"/>
    </row>
    <row r="2" spans="1:2" x14ac:dyDescent="0.25">
      <c r="A2" s="84" t="s">
        <v>153</v>
      </c>
      <c r="B2" s="85" t="s">
        <v>154</v>
      </c>
    </row>
    <row r="3" spans="1:2" x14ac:dyDescent="0.25">
      <c r="A3" s="78" t="s">
        <v>435</v>
      </c>
      <c r="B3" s="79" t="s">
        <v>436</v>
      </c>
    </row>
    <row r="4" spans="1:2" x14ac:dyDescent="0.25">
      <c r="A4" s="82" t="s">
        <v>167</v>
      </c>
      <c r="B4" s="83" t="s">
        <v>168</v>
      </c>
    </row>
    <row r="5" spans="1:2" x14ac:dyDescent="0.25">
      <c r="A5" s="78" t="s">
        <v>169</v>
      </c>
      <c r="B5" s="79" t="s">
        <v>170</v>
      </c>
    </row>
    <row r="6" spans="1:2" x14ac:dyDescent="0.25">
      <c r="A6" s="78" t="s">
        <v>171</v>
      </c>
      <c r="B6" s="79" t="s">
        <v>172</v>
      </c>
    </row>
    <row r="7" spans="1:2" x14ac:dyDescent="0.25">
      <c r="A7" s="78" t="s">
        <v>173</v>
      </c>
      <c r="B7" s="79" t="s">
        <v>174</v>
      </c>
    </row>
    <row r="8" spans="1:2" x14ac:dyDescent="0.25">
      <c r="A8" s="78" t="s">
        <v>175</v>
      </c>
      <c r="B8" s="79" t="s">
        <v>428</v>
      </c>
    </row>
    <row r="9" spans="1:2" x14ac:dyDescent="0.25">
      <c r="A9" s="113" t="s">
        <v>427</v>
      </c>
      <c r="B9" s="79" t="s">
        <v>429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165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2" t="s">
        <v>176</v>
      </c>
      <c r="B1" s="132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177</v>
      </c>
      <c r="B2" s="77" t="s">
        <v>178</v>
      </c>
      <c r="C2" s="58"/>
      <c r="P2" s="59"/>
    </row>
    <row r="3" spans="1:16" x14ac:dyDescent="0.25">
      <c r="A3" s="74"/>
      <c r="B3" s="70"/>
      <c r="C3" s="58"/>
      <c r="P3" s="59"/>
    </row>
    <row r="4" spans="1:16" x14ac:dyDescent="0.25">
      <c r="A4" s="75"/>
      <c r="B4" s="76"/>
      <c r="C4" s="58"/>
      <c r="P4" s="59"/>
    </row>
    <row r="5" spans="1:16" x14ac:dyDescent="0.25">
      <c r="A5" s="74"/>
      <c r="B5" s="70"/>
      <c r="C5" s="58"/>
      <c r="P5" s="59"/>
    </row>
    <row r="6" spans="1:16" x14ac:dyDescent="0.25">
      <c r="A6" s="74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7" t="s">
        <v>176</v>
      </c>
      <c r="B1" s="138"/>
      <c r="C1" s="112"/>
    </row>
    <row r="2" spans="1:3" x14ac:dyDescent="0.25">
      <c r="A2" s="106" t="s">
        <v>177</v>
      </c>
      <c r="B2" s="107" t="s">
        <v>179</v>
      </c>
      <c r="C2" s="88"/>
    </row>
    <row r="3" spans="1:3" x14ac:dyDescent="0.25">
      <c r="A3" s="74"/>
      <c r="B3" s="70"/>
      <c r="C3" s="70"/>
    </row>
    <row r="4" spans="1:3" x14ac:dyDescent="0.25">
      <c r="A4" s="75"/>
      <c r="B4" s="76"/>
      <c r="C4" s="76"/>
    </row>
    <row r="5" spans="1:3" x14ac:dyDescent="0.25">
      <c r="A5" s="74"/>
      <c r="B5" s="70"/>
      <c r="C5" s="70"/>
    </row>
    <row r="6" spans="1:3" x14ac:dyDescent="0.25">
      <c r="A6" s="74"/>
      <c r="B6" s="70"/>
      <c r="C6" s="70"/>
    </row>
    <row r="22" spans="4:16" x14ac:dyDescent="0.25">
      <c r="E22" s="133">
        <v>2023</v>
      </c>
      <c r="F22" s="134"/>
      <c r="G22" s="133">
        <v>2024</v>
      </c>
      <c r="H22" s="134"/>
      <c r="I22" s="139">
        <v>2025</v>
      </c>
      <c r="J22" s="140"/>
      <c r="K22" s="141">
        <v>2025</v>
      </c>
      <c r="L22" s="142"/>
      <c r="M22" s="133">
        <v>2025</v>
      </c>
      <c r="N22" s="134"/>
      <c r="O22" s="135" t="s">
        <v>180</v>
      </c>
      <c r="P22" s="136"/>
    </row>
    <row r="23" spans="4:16" ht="30" x14ac:dyDescent="0.25">
      <c r="D23" s="90"/>
      <c r="E23" s="2" t="s">
        <v>78</v>
      </c>
      <c r="F23" s="2" t="s">
        <v>181</v>
      </c>
      <c r="G23" s="2" t="s">
        <v>78</v>
      </c>
      <c r="H23" s="2" t="s">
        <v>181</v>
      </c>
      <c r="I23" s="2" t="s">
        <v>78</v>
      </c>
      <c r="J23" s="2" t="s">
        <v>181</v>
      </c>
      <c r="K23" s="2" t="s">
        <v>78</v>
      </c>
      <c r="L23" s="2" t="s">
        <v>181</v>
      </c>
      <c r="M23" s="2" t="s">
        <v>78</v>
      </c>
      <c r="N23" s="2" t="s">
        <v>181</v>
      </c>
      <c r="O23" s="2" t="s">
        <v>78</v>
      </c>
      <c r="P23" s="2" t="s">
        <v>181</v>
      </c>
    </row>
    <row r="24" spans="4:16" x14ac:dyDescent="0.25">
      <c r="D24" s="91" t="s">
        <v>39</v>
      </c>
      <c r="E24" s="3">
        <f>SUMIFS(tabSuperdettagli[ORE_],tabSuperdettagli[da considerare?_],"sì",tabSuperdettagli[Anno_],$E$22,tabSuperdettagli[BussinessArea Cluster 1_],$D24)/1000</f>
        <v>0</v>
      </c>
      <c r="F24" s="4"/>
      <c r="G24" s="4">
        <f>SUMIFS(tabSuperdettagli[ORE_],tabSuperdettagli[da considerare?_],"sì",tabSuperdettagli[Anno_],G$22,tabSuperdettagli[BussinessArea Cluster 1_],$D24)/1000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 1_],$D24)/1000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2" t="s">
        <v>182</v>
      </c>
      <c r="E25" s="6">
        <f>SUMIFS(tabSuperdettagli[ORE_],tabSuperdettagli[da considerare?_],"sì",tabSuperdettagli[Anno_],$E$22,tabSuperdettagli[BussinessArea Cluster 1_],$D25)/1000</f>
        <v>0</v>
      </c>
      <c r="F25" s="7"/>
      <c r="G25" s="7">
        <f>SUMIFS(tabSuperdettagli[ORE_],tabSuperdettagli[da considerare?_],"sì",tabSuperdettagli[Anno_],G$22,tabSuperdettagli[BussinessArea Cluster 1_],$D25)/1000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 1_],$D25)/1000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3" t="s">
        <v>183</v>
      </c>
      <c r="E26" s="9">
        <f>SUMIFS(tabSuperdettagli[ORE_],tabSuperdettagli[da considerare?_],"sì",tabSuperdettagli[Anno_],$E$22,tabSuperdettagli[BussinessArea Cluster 1_],$D26)/1000</f>
        <v>0</v>
      </c>
      <c r="F26" s="10"/>
      <c r="G26" s="10">
        <f>SUMIFS(tabSuperdettagli[ORE_],tabSuperdettagli[da considerare?_],"sì",tabSuperdettagli[Anno_],G$22,tabSuperdettagli[BussinessArea Cluster 1_],$D26)/1000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 1_],$D26)/1000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4" t="s">
        <v>184</v>
      </c>
      <c r="E27" s="12">
        <f>SUMIFS(tabSuperdettagli[ORE_],tabSuperdettagli[da considerare?_],"sì",tabSuperdettagli[Anno_],E$22,tabSuperdettagli[BussinessArea Cluster 1_],$D27)/1000</f>
        <v>0</v>
      </c>
      <c r="F27" s="13"/>
      <c r="G27" s="13">
        <f>SUMIFS(tabSuperdettagli[ORE_],tabSuperdettagli[da considerare?_],"sì",tabSuperdettagli[Anno_],G$22,tabSuperdettagli[BussinessArea Cluster 1_],$D27)/1000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 1_],$D27)/1000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5" t="s">
        <v>185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6" t="s">
        <v>186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7" t="s">
        <v>99</v>
      </c>
      <c r="E31" s="19"/>
      <c r="F31" s="20">
        <f>SUMIFS(tabSuperdettagli[ORE_],tabSuperdettagli[da considerare?_],"sì",tabSuperdettagli[Anno_],E$22,tabSuperdettagli[ProjType Cluster 2_],$D31)/1000</f>
        <v>0</v>
      </c>
      <c r="G31" s="20"/>
      <c r="H31" s="20">
        <f>SUMIFS(tabSuperdettagli[ORE_],tabSuperdettagli[da considerare?_],"sì",tabSuperdettagli[Anno_],G$22,tabSuperdettagli[ProjType Cluster 2_],$D31)/1000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 2_],$D31)/1000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8" t="s">
        <v>187</v>
      </c>
      <c r="E32" s="23"/>
      <c r="F32" s="24">
        <f>SUMIFS(tabSuperdettagli[ORE_],tabSuperdettagli[da considerare?_],"sì",tabSuperdettagli[Anno_],E$22,tabSuperdettagli[ProjType Cluster 2_],$D32)/1000</f>
        <v>0</v>
      </c>
      <c r="G32" s="24"/>
      <c r="H32" s="24">
        <f>SUMIFS(tabSuperdettagli[ORE_],tabSuperdettagli[da considerare?_],"sì",tabSuperdettagli[Anno_],G$22,tabSuperdettagli[ProjType Cluster 2_],$D32)/1000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 2_],$D32)/1000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9" t="s">
        <v>188</v>
      </c>
      <c r="E33" s="27"/>
      <c r="F33" s="28">
        <f>SUMIFS(tabSuperdettagli[ORE_],tabSuperdettagli[da considerare?_],"sì",tabSuperdettagli[Anno_],E$22,tabSuperdettagli[ProjType Cluster 1_],$D33)/1000</f>
        <v>0</v>
      </c>
      <c r="G33" s="28"/>
      <c r="H33" s="28">
        <f>SUMIFS(tabSuperdettagli[ORE_],tabSuperdettagli[da considerare?_],"sì",tabSuperdettagli[Anno_],G$22,tabSuperdettagli[ProjType Cluster 1_],$D33)/1000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 1_],$D33)/1000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100" t="s">
        <v>100</v>
      </c>
      <c r="E34" s="31"/>
      <c r="F34" s="32">
        <f>SUMIFS(tabSuperdettagli[ORE_],tabSuperdettagli[da considerare?_],"sì",tabSuperdettagli[Anno_],E$22,tabSuperdettagli[ProjType Cluster 1_],$D34)/1000</f>
        <v>0</v>
      </c>
      <c r="G34" s="32"/>
      <c r="H34" s="32">
        <f>SUMIFS(tabSuperdettagli[ORE_],tabSuperdettagli[da considerare?_],"sì",tabSuperdettagli[Anno_],G$22,tabSuperdettagli[ProjType Cluster 1_],$D34)/1000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 1_],$D34)/1000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1" t="s">
        <v>189</v>
      </c>
      <c r="E35" s="35"/>
      <c r="F35" s="36">
        <f>SUMIFS(tabSuperdettagli[ORE_],tabSuperdettagli[da considerare?_],"sì",tabSuperdettagli[Anno_],E$22,tabSuperdettagli[ProjType Cluster 1_],$D35)/1000</f>
        <v>0</v>
      </c>
      <c r="G35" s="36"/>
      <c r="H35" s="36">
        <f>SUMIFS(tabSuperdettagli[ORE_],tabSuperdettagli[da considerare?_],"sì",tabSuperdettagli[Anno_],G$22,tabSuperdettagli[ProjType Cluster 1_],$D35)/1000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 1_],$D35)/1000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2" t="s">
        <v>190</v>
      </c>
      <c r="E36" s="39"/>
      <c r="F36" s="40">
        <f>SUMIFS(tabSuperdettagli[ORE_],tabSuperdettagli[da considerare?_],"sì",tabSuperdettagli[Anno_],E$22,tabSuperdettagli[ProjType Cluster 1_],$D36)/1000</f>
        <v>0</v>
      </c>
      <c r="G36" s="40"/>
      <c r="H36" s="40">
        <f>SUMIFS(tabSuperdettagli[ORE_],tabSuperdettagli[da considerare?_],"sì",tabSuperdettagli[Anno_],G$22,tabSuperdettagli[ProjType Cluster 1_],$D36)/1000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 1_],$D36)/1000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3" t="s">
        <v>191</v>
      </c>
      <c r="E37" s="43"/>
      <c r="F37" s="44">
        <f>SUMIFS(tabSuperdettagli[ORE_],tabSuperdettagli[da considerare?_],"sì",tabSuperdettagli[Anno_],E$22,tabSuperdettagli[ProjType Cluster 1_],$D37)/1000</f>
        <v>0</v>
      </c>
      <c r="G37" s="44"/>
      <c r="H37" s="44">
        <f>SUMIFS(tabSuperdettagli[ORE_],tabSuperdettagli[da considerare?_],"sì",tabSuperdettagli[Anno_],G$22,tabSuperdettagli[ProjType Cluster 1_],$D37)/1000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 1_],$D37)/1000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4" t="s">
        <v>192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</v>
      </c>
    </row>
    <row r="39" spans="4:16" x14ac:dyDescent="0.25">
      <c r="D39" s="105" t="s">
        <v>193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86" t="s">
        <v>120</v>
      </c>
      <c r="E1" s="86" t="str">
        <f>D1</f>
        <v>PP_02</v>
      </c>
      <c r="F1" s="86" t="str">
        <f t="shared" ref="F1:P1" si="0">E1</f>
        <v>PP_02</v>
      </c>
      <c r="G1" s="86" t="str">
        <f t="shared" si="0"/>
        <v>PP_02</v>
      </c>
      <c r="H1" s="86" t="str">
        <f t="shared" si="0"/>
        <v>PP_02</v>
      </c>
      <c r="I1" s="86" t="str">
        <f t="shared" si="0"/>
        <v>PP_02</v>
      </c>
      <c r="J1" s="86" t="str">
        <f t="shared" si="0"/>
        <v>PP_02</v>
      </c>
      <c r="K1" s="86" t="str">
        <f t="shared" si="0"/>
        <v>PP_02</v>
      </c>
      <c r="L1" s="86" t="str">
        <f t="shared" si="0"/>
        <v>PP_02</v>
      </c>
      <c r="M1" s="86" t="str">
        <f t="shared" si="0"/>
        <v>PP_02</v>
      </c>
      <c r="N1" s="86" t="str">
        <f t="shared" si="0"/>
        <v>PP_02</v>
      </c>
      <c r="O1" s="86" t="str">
        <f t="shared" si="0"/>
        <v>PP_02</v>
      </c>
      <c r="P1" s="86" t="str">
        <f t="shared" si="0"/>
        <v>PP_02</v>
      </c>
    </row>
    <row r="2" spans="1:16" x14ac:dyDescent="0.25">
      <c r="A2" s="106" t="s">
        <v>177</v>
      </c>
      <c r="B2" s="107" t="s">
        <v>194</v>
      </c>
      <c r="D2" s="86" t="str">
        <f>D1</f>
        <v>PP_02</v>
      </c>
      <c r="E2" s="86" t="str">
        <f t="shared" ref="E2:P2" si="1">D2</f>
        <v>PP_02</v>
      </c>
      <c r="F2" s="86" t="str">
        <f t="shared" si="1"/>
        <v>PP_02</v>
      </c>
      <c r="G2" s="86" t="str">
        <f t="shared" si="1"/>
        <v>PP_02</v>
      </c>
      <c r="H2" s="86" t="str">
        <f t="shared" si="1"/>
        <v>PP_02</v>
      </c>
      <c r="I2" s="86" t="str">
        <f t="shared" si="1"/>
        <v>PP_02</v>
      </c>
      <c r="J2" s="86" t="str">
        <f t="shared" si="1"/>
        <v>PP_02</v>
      </c>
      <c r="K2" s="86" t="str">
        <f t="shared" si="1"/>
        <v>PP_02</v>
      </c>
      <c r="L2" s="86" t="str">
        <f t="shared" si="1"/>
        <v>PP_02</v>
      </c>
      <c r="M2" s="86" t="str">
        <f t="shared" si="1"/>
        <v>PP_02</v>
      </c>
      <c r="N2" s="86" t="str">
        <f t="shared" si="1"/>
        <v>PP_02</v>
      </c>
      <c r="O2" s="86" t="str">
        <f t="shared" si="1"/>
        <v>PP_02</v>
      </c>
      <c r="P2" s="86" t="str">
        <f t="shared" si="1"/>
        <v>PP_02</v>
      </c>
    </row>
    <row r="3" spans="1:16" x14ac:dyDescent="0.25">
      <c r="A3" s="74"/>
      <c r="B3" s="70"/>
      <c r="D3" s="86" t="str">
        <f t="shared" ref="D3:D30" si="2">D2</f>
        <v>PP_02</v>
      </c>
      <c r="E3" s="86" t="str">
        <f t="shared" ref="E3:P3" si="3">D3</f>
        <v>PP_02</v>
      </c>
      <c r="F3" s="86" t="str">
        <f t="shared" si="3"/>
        <v>PP_02</v>
      </c>
      <c r="G3" s="86" t="str">
        <f t="shared" si="3"/>
        <v>PP_02</v>
      </c>
      <c r="H3" s="86" t="str">
        <f t="shared" si="3"/>
        <v>PP_02</v>
      </c>
      <c r="I3" s="86" t="str">
        <f t="shared" si="3"/>
        <v>PP_02</v>
      </c>
      <c r="J3" s="86" t="str">
        <f t="shared" si="3"/>
        <v>PP_02</v>
      </c>
      <c r="K3" s="86" t="str">
        <f t="shared" si="3"/>
        <v>PP_02</v>
      </c>
      <c r="L3" s="86" t="str">
        <f t="shared" si="3"/>
        <v>PP_02</v>
      </c>
      <c r="M3" s="86" t="str">
        <f t="shared" si="3"/>
        <v>PP_02</v>
      </c>
      <c r="N3" s="86" t="str">
        <f t="shared" si="3"/>
        <v>PP_02</v>
      </c>
      <c r="O3" s="86" t="str">
        <f t="shared" si="3"/>
        <v>PP_02</v>
      </c>
      <c r="P3" s="86" t="str">
        <f t="shared" si="3"/>
        <v>PP_02</v>
      </c>
    </row>
    <row r="4" spans="1:16" x14ac:dyDescent="0.25">
      <c r="A4" s="75"/>
      <c r="B4" s="76"/>
      <c r="D4" s="86" t="str">
        <f t="shared" si="2"/>
        <v>PP_02</v>
      </c>
      <c r="E4" s="86" t="str">
        <f t="shared" ref="E4:P4" si="4">D4</f>
        <v>PP_02</v>
      </c>
      <c r="F4" s="86" t="str">
        <f t="shared" si="4"/>
        <v>PP_02</v>
      </c>
      <c r="G4" s="86" t="str">
        <f t="shared" si="4"/>
        <v>PP_02</v>
      </c>
      <c r="H4" s="86" t="str">
        <f t="shared" si="4"/>
        <v>PP_02</v>
      </c>
      <c r="I4" s="86" t="str">
        <f t="shared" si="4"/>
        <v>PP_02</v>
      </c>
      <c r="J4" s="86" t="str">
        <f t="shared" si="4"/>
        <v>PP_02</v>
      </c>
      <c r="K4" s="86" t="str">
        <f t="shared" si="4"/>
        <v>PP_02</v>
      </c>
      <c r="L4" s="86" t="str">
        <f t="shared" si="4"/>
        <v>PP_02</v>
      </c>
      <c r="M4" s="86" t="str">
        <f t="shared" si="4"/>
        <v>PP_02</v>
      </c>
      <c r="N4" s="86" t="str">
        <f t="shared" si="4"/>
        <v>PP_02</v>
      </c>
      <c r="O4" s="86" t="str">
        <f t="shared" si="4"/>
        <v>PP_02</v>
      </c>
      <c r="P4" s="86" t="str">
        <f t="shared" si="4"/>
        <v>PP_02</v>
      </c>
    </row>
    <row r="5" spans="1:16" x14ac:dyDescent="0.25">
      <c r="A5" s="74"/>
      <c r="B5" s="70"/>
      <c r="D5" s="86" t="str">
        <f t="shared" si="2"/>
        <v>PP_02</v>
      </c>
      <c r="E5" s="86" t="str">
        <f t="shared" ref="E5:P5" si="5">D5</f>
        <v>PP_02</v>
      </c>
      <c r="F5" s="86" t="str">
        <f t="shared" si="5"/>
        <v>PP_02</v>
      </c>
      <c r="G5" s="86" t="str">
        <f t="shared" si="5"/>
        <v>PP_02</v>
      </c>
      <c r="H5" s="86" t="str">
        <f t="shared" si="5"/>
        <v>PP_02</v>
      </c>
      <c r="I5" s="86" t="str">
        <f t="shared" si="5"/>
        <v>PP_02</v>
      </c>
      <c r="J5" s="86" t="str">
        <f t="shared" si="5"/>
        <v>PP_02</v>
      </c>
      <c r="K5" s="86" t="str">
        <f t="shared" si="5"/>
        <v>PP_02</v>
      </c>
      <c r="L5" s="86" t="str">
        <f t="shared" si="5"/>
        <v>PP_02</v>
      </c>
      <c r="M5" s="86" t="str">
        <f t="shared" si="5"/>
        <v>PP_02</v>
      </c>
      <c r="N5" s="86" t="str">
        <f t="shared" si="5"/>
        <v>PP_02</v>
      </c>
      <c r="O5" s="86" t="str">
        <f t="shared" si="5"/>
        <v>PP_02</v>
      </c>
      <c r="P5" s="86" t="str">
        <f t="shared" si="5"/>
        <v>PP_02</v>
      </c>
    </row>
    <row r="6" spans="1:16" x14ac:dyDescent="0.25">
      <c r="A6" s="74"/>
      <c r="B6" s="70"/>
      <c r="D6" s="86" t="str">
        <f t="shared" si="2"/>
        <v>PP_02</v>
      </c>
      <c r="E6" s="86" t="str">
        <f t="shared" ref="E6:P6" si="6">D6</f>
        <v>PP_02</v>
      </c>
      <c r="F6" s="86" t="str">
        <f t="shared" si="6"/>
        <v>PP_02</v>
      </c>
      <c r="G6" s="86" t="str">
        <f t="shared" si="6"/>
        <v>PP_02</v>
      </c>
      <c r="H6" s="86" t="str">
        <f t="shared" si="6"/>
        <v>PP_02</v>
      </c>
      <c r="I6" s="86" t="str">
        <f t="shared" si="6"/>
        <v>PP_02</v>
      </c>
      <c r="J6" s="86" t="str">
        <f t="shared" si="6"/>
        <v>PP_02</v>
      </c>
      <c r="K6" s="86" t="str">
        <f t="shared" si="6"/>
        <v>PP_02</v>
      </c>
      <c r="L6" s="86" t="str">
        <f t="shared" si="6"/>
        <v>PP_02</v>
      </c>
      <c r="M6" s="86" t="str">
        <f t="shared" si="6"/>
        <v>PP_02</v>
      </c>
      <c r="N6" s="86" t="str">
        <f t="shared" si="6"/>
        <v>PP_02</v>
      </c>
      <c r="O6" s="86" t="str">
        <f t="shared" si="6"/>
        <v>PP_02</v>
      </c>
      <c r="P6" s="86" t="str">
        <f t="shared" si="6"/>
        <v>PP_02</v>
      </c>
    </row>
    <row r="7" spans="1:16" x14ac:dyDescent="0.25">
      <c r="D7" s="86" t="str">
        <f t="shared" si="2"/>
        <v>PP_02</v>
      </c>
      <c r="E7" s="86" t="str">
        <f t="shared" ref="E7:P7" si="7">D7</f>
        <v>PP_02</v>
      </c>
      <c r="F7" s="86" t="str">
        <f t="shared" si="7"/>
        <v>PP_02</v>
      </c>
      <c r="G7" s="86" t="str">
        <f t="shared" si="7"/>
        <v>PP_02</v>
      </c>
      <c r="H7" s="86" t="str">
        <f t="shared" si="7"/>
        <v>PP_02</v>
      </c>
      <c r="I7" s="86" t="str">
        <f t="shared" si="7"/>
        <v>PP_02</v>
      </c>
      <c r="J7" s="86" t="str">
        <f t="shared" si="7"/>
        <v>PP_02</v>
      </c>
      <c r="K7" s="86" t="str">
        <f t="shared" si="7"/>
        <v>PP_02</v>
      </c>
      <c r="L7" s="86" t="str">
        <f t="shared" si="7"/>
        <v>PP_02</v>
      </c>
      <c r="M7" s="86" t="str">
        <f t="shared" si="7"/>
        <v>PP_02</v>
      </c>
      <c r="N7" s="86" t="str">
        <f t="shared" si="7"/>
        <v>PP_02</v>
      </c>
      <c r="O7" s="86" t="str">
        <f t="shared" si="7"/>
        <v>PP_02</v>
      </c>
      <c r="P7" s="86" t="str">
        <f t="shared" si="7"/>
        <v>PP_02</v>
      </c>
    </row>
    <row r="8" spans="1:16" x14ac:dyDescent="0.25">
      <c r="D8" s="86" t="str">
        <f t="shared" si="2"/>
        <v>PP_02</v>
      </c>
      <c r="E8" s="86" t="str">
        <f t="shared" ref="E8:P8" si="8">D8</f>
        <v>PP_02</v>
      </c>
      <c r="F8" s="86" t="str">
        <f t="shared" si="8"/>
        <v>PP_02</v>
      </c>
      <c r="G8" s="86" t="str">
        <f t="shared" si="8"/>
        <v>PP_02</v>
      </c>
      <c r="H8" s="86" t="str">
        <f t="shared" si="8"/>
        <v>PP_02</v>
      </c>
      <c r="I8" s="86" t="str">
        <f t="shared" si="8"/>
        <v>PP_02</v>
      </c>
      <c r="J8" s="86" t="str">
        <f t="shared" si="8"/>
        <v>PP_02</v>
      </c>
      <c r="K8" s="86" t="str">
        <f t="shared" si="8"/>
        <v>PP_02</v>
      </c>
      <c r="L8" s="86" t="str">
        <f t="shared" si="8"/>
        <v>PP_02</v>
      </c>
      <c r="M8" s="86" t="str">
        <f t="shared" si="8"/>
        <v>PP_02</v>
      </c>
      <c r="N8" s="86" t="str">
        <f t="shared" si="8"/>
        <v>PP_02</v>
      </c>
      <c r="O8" s="86" t="str">
        <f t="shared" si="8"/>
        <v>PP_02</v>
      </c>
      <c r="P8" s="86" t="str">
        <f t="shared" si="8"/>
        <v>PP_02</v>
      </c>
    </row>
    <row r="9" spans="1:16" x14ac:dyDescent="0.25">
      <c r="D9" s="86" t="str">
        <f t="shared" si="2"/>
        <v>PP_02</v>
      </c>
      <c r="E9" s="86" t="str">
        <f t="shared" ref="E9:P9" si="9">D9</f>
        <v>PP_02</v>
      </c>
      <c r="F9" s="86" t="str">
        <f t="shared" si="9"/>
        <v>PP_02</v>
      </c>
      <c r="G9" s="86" t="str">
        <f t="shared" si="9"/>
        <v>PP_02</v>
      </c>
      <c r="H9" s="86" t="str">
        <f t="shared" si="9"/>
        <v>PP_02</v>
      </c>
      <c r="I9" s="86" t="str">
        <f t="shared" si="9"/>
        <v>PP_02</v>
      </c>
      <c r="J9" s="86" t="str">
        <f t="shared" si="9"/>
        <v>PP_02</v>
      </c>
      <c r="K9" s="86" t="str">
        <f t="shared" si="9"/>
        <v>PP_02</v>
      </c>
      <c r="L9" s="86" t="str">
        <f t="shared" si="9"/>
        <v>PP_02</v>
      </c>
      <c r="M9" s="86" t="str">
        <f t="shared" si="9"/>
        <v>PP_02</v>
      </c>
      <c r="N9" s="86" t="str">
        <f t="shared" si="9"/>
        <v>PP_02</v>
      </c>
      <c r="O9" s="86" t="str">
        <f t="shared" si="9"/>
        <v>PP_02</v>
      </c>
      <c r="P9" s="86" t="str">
        <f t="shared" si="9"/>
        <v>PP_02</v>
      </c>
    </row>
    <row r="10" spans="1:16" x14ac:dyDescent="0.25">
      <c r="D10" s="86" t="str">
        <f t="shared" si="2"/>
        <v>PP_02</v>
      </c>
      <c r="E10" s="86" t="str">
        <f t="shared" ref="E10:P10" si="10">D10</f>
        <v>PP_02</v>
      </c>
      <c r="F10" s="86" t="str">
        <f t="shared" si="10"/>
        <v>PP_02</v>
      </c>
      <c r="G10" s="86" t="str">
        <f t="shared" si="10"/>
        <v>PP_02</v>
      </c>
      <c r="H10" s="86" t="str">
        <f t="shared" si="10"/>
        <v>PP_02</v>
      </c>
      <c r="I10" s="86" t="str">
        <f t="shared" si="10"/>
        <v>PP_02</v>
      </c>
      <c r="J10" s="86" t="str">
        <f t="shared" si="10"/>
        <v>PP_02</v>
      </c>
      <c r="K10" s="86" t="str">
        <f t="shared" si="10"/>
        <v>PP_02</v>
      </c>
      <c r="L10" s="86" t="str">
        <f t="shared" si="10"/>
        <v>PP_02</v>
      </c>
      <c r="M10" s="86" t="str">
        <f t="shared" si="10"/>
        <v>PP_02</v>
      </c>
      <c r="N10" s="86" t="str">
        <f t="shared" si="10"/>
        <v>PP_02</v>
      </c>
      <c r="O10" s="86" t="str">
        <f t="shared" si="10"/>
        <v>PP_02</v>
      </c>
      <c r="P10" s="86" t="str">
        <f t="shared" si="10"/>
        <v>PP_02</v>
      </c>
    </row>
    <row r="11" spans="1:16" x14ac:dyDescent="0.25">
      <c r="D11" s="86" t="str">
        <f t="shared" si="2"/>
        <v>PP_02</v>
      </c>
      <c r="E11" s="86" t="str">
        <f t="shared" ref="E11:P11" si="11">D11</f>
        <v>PP_02</v>
      </c>
      <c r="F11" s="86" t="str">
        <f t="shared" si="11"/>
        <v>PP_02</v>
      </c>
      <c r="G11" s="86" t="str">
        <f t="shared" si="11"/>
        <v>PP_02</v>
      </c>
      <c r="H11" s="86" t="str">
        <f t="shared" si="11"/>
        <v>PP_02</v>
      </c>
      <c r="I11" s="86" t="str">
        <f t="shared" si="11"/>
        <v>PP_02</v>
      </c>
      <c r="J11" s="86" t="str">
        <f t="shared" si="11"/>
        <v>PP_02</v>
      </c>
      <c r="K11" s="86" t="str">
        <f t="shared" si="11"/>
        <v>PP_02</v>
      </c>
      <c r="L11" s="86" t="str">
        <f t="shared" si="11"/>
        <v>PP_02</v>
      </c>
      <c r="M11" s="86" t="str">
        <f t="shared" si="11"/>
        <v>PP_02</v>
      </c>
      <c r="N11" s="86" t="str">
        <f t="shared" si="11"/>
        <v>PP_02</v>
      </c>
      <c r="O11" s="86" t="str">
        <f t="shared" si="11"/>
        <v>PP_02</v>
      </c>
      <c r="P11" s="86" t="str">
        <f t="shared" si="11"/>
        <v>PP_02</v>
      </c>
    </row>
    <row r="12" spans="1:16" x14ac:dyDescent="0.25">
      <c r="D12" s="86" t="str">
        <f t="shared" si="2"/>
        <v>PP_02</v>
      </c>
      <c r="E12" s="86" t="str">
        <f t="shared" ref="E12:P12" si="12">D12</f>
        <v>PP_02</v>
      </c>
      <c r="F12" s="86" t="str">
        <f t="shared" si="12"/>
        <v>PP_02</v>
      </c>
      <c r="G12" s="86" t="str">
        <f t="shared" si="12"/>
        <v>PP_02</v>
      </c>
      <c r="H12" s="86" t="str">
        <f t="shared" si="12"/>
        <v>PP_02</v>
      </c>
      <c r="I12" s="86" t="str">
        <f t="shared" si="12"/>
        <v>PP_02</v>
      </c>
      <c r="J12" s="86" t="str">
        <f t="shared" si="12"/>
        <v>PP_02</v>
      </c>
      <c r="K12" s="86" t="str">
        <f t="shared" si="12"/>
        <v>PP_02</v>
      </c>
      <c r="L12" s="86" t="str">
        <f t="shared" si="12"/>
        <v>PP_02</v>
      </c>
      <c r="M12" s="86" t="str">
        <f t="shared" si="12"/>
        <v>PP_02</v>
      </c>
      <c r="N12" s="86" t="str">
        <f t="shared" si="12"/>
        <v>PP_02</v>
      </c>
      <c r="O12" s="86" t="str">
        <f t="shared" si="12"/>
        <v>PP_02</v>
      </c>
      <c r="P12" s="86" t="str">
        <f t="shared" si="12"/>
        <v>PP_02</v>
      </c>
    </row>
    <row r="13" spans="1:16" x14ac:dyDescent="0.25">
      <c r="D13" s="86" t="str">
        <f t="shared" si="2"/>
        <v>PP_02</v>
      </c>
      <c r="E13" s="86" t="str">
        <f t="shared" ref="E13:P13" si="13">D13</f>
        <v>PP_02</v>
      </c>
      <c r="F13" s="86" t="str">
        <f t="shared" si="13"/>
        <v>PP_02</v>
      </c>
      <c r="G13" s="86" t="str">
        <f t="shared" si="13"/>
        <v>PP_02</v>
      </c>
      <c r="H13" s="86" t="str">
        <f t="shared" si="13"/>
        <v>PP_02</v>
      </c>
      <c r="I13" s="86" t="str">
        <f t="shared" si="13"/>
        <v>PP_02</v>
      </c>
      <c r="J13" s="86" t="str">
        <f t="shared" si="13"/>
        <v>PP_02</v>
      </c>
      <c r="K13" s="86" t="str">
        <f t="shared" si="13"/>
        <v>PP_02</v>
      </c>
      <c r="L13" s="86" t="str">
        <f t="shared" si="13"/>
        <v>PP_02</v>
      </c>
      <c r="M13" s="86" t="str">
        <f t="shared" si="13"/>
        <v>PP_02</v>
      </c>
      <c r="N13" s="86" t="str">
        <f t="shared" si="13"/>
        <v>PP_02</v>
      </c>
      <c r="O13" s="86" t="str">
        <f t="shared" si="13"/>
        <v>PP_02</v>
      </c>
      <c r="P13" s="86" t="str">
        <f t="shared" si="13"/>
        <v>PP_02</v>
      </c>
    </row>
    <row r="14" spans="1:16" x14ac:dyDescent="0.25">
      <c r="D14" s="86" t="str">
        <f t="shared" si="2"/>
        <v>PP_02</v>
      </c>
      <c r="E14" s="86" t="str">
        <f t="shared" ref="E14:P14" si="14">D14</f>
        <v>PP_02</v>
      </c>
      <c r="F14" s="86" t="str">
        <f t="shared" si="14"/>
        <v>PP_02</v>
      </c>
      <c r="G14" s="86" t="str">
        <f t="shared" si="14"/>
        <v>PP_02</v>
      </c>
      <c r="H14" s="86" t="str">
        <f t="shared" si="14"/>
        <v>PP_02</v>
      </c>
      <c r="I14" s="86" t="str">
        <f t="shared" si="14"/>
        <v>PP_02</v>
      </c>
      <c r="J14" s="86" t="str">
        <f t="shared" si="14"/>
        <v>PP_02</v>
      </c>
      <c r="K14" s="86" t="str">
        <f t="shared" si="14"/>
        <v>PP_02</v>
      </c>
      <c r="L14" s="86" t="str">
        <f t="shared" si="14"/>
        <v>PP_02</v>
      </c>
      <c r="M14" s="86" t="str">
        <f t="shared" si="14"/>
        <v>PP_02</v>
      </c>
      <c r="N14" s="86" t="str">
        <f t="shared" si="14"/>
        <v>PP_02</v>
      </c>
      <c r="O14" s="86" t="str">
        <f t="shared" si="14"/>
        <v>PP_02</v>
      </c>
      <c r="P14" s="86" t="str">
        <f t="shared" si="14"/>
        <v>PP_02</v>
      </c>
    </row>
    <row r="15" spans="1:16" x14ac:dyDescent="0.25">
      <c r="D15" s="86" t="str">
        <f t="shared" si="2"/>
        <v>PP_02</v>
      </c>
      <c r="E15" s="86" t="str">
        <f t="shared" ref="E15:P15" si="15">D15</f>
        <v>PP_02</v>
      </c>
      <c r="F15" s="86" t="str">
        <f t="shared" si="15"/>
        <v>PP_02</v>
      </c>
      <c r="G15" s="86" t="str">
        <f t="shared" si="15"/>
        <v>PP_02</v>
      </c>
      <c r="H15" s="86" t="str">
        <f t="shared" si="15"/>
        <v>PP_02</v>
      </c>
      <c r="I15" s="86" t="str">
        <f t="shared" si="15"/>
        <v>PP_02</v>
      </c>
      <c r="J15" s="86" t="str">
        <f t="shared" si="15"/>
        <v>PP_02</v>
      </c>
      <c r="K15" s="86" t="str">
        <f t="shared" si="15"/>
        <v>PP_02</v>
      </c>
      <c r="L15" s="86" t="str">
        <f t="shared" si="15"/>
        <v>PP_02</v>
      </c>
      <c r="M15" s="86" t="str">
        <f t="shared" si="15"/>
        <v>PP_02</v>
      </c>
      <c r="N15" s="86" t="str">
        <f t="shared" si="15"/>
        <v>PP_02</v>
      </c>
      <c r="O15" s="86" t="str">
        <f t="shared" si="15"/>
        <v>PP_02</v>
      </c>
      <c r="P15" s="86" t="str">
        <f t="shared" si="15"/>
        <v>PP_02</v>
      </c>
    </row>
    <row r="16" spans="1:16" x14ac:dyDescent="0.25">
      <c r="D16" s="86" t="str">
        <f t="shared" si="2"/>
        <v>PP_02</v>
      </c>
      <c r="E16" s="86" t="str">
        <f t="shared" ref="E16:P16" si="16">D16</f>
        <v>PP_02</v>
      </c>
      <c r="F16" s="86" t="str">
        <f t="shared" si="16"/>
        <v>PP_02</v>
      </c>
      <c r="G16" s="86" t="str">
        <f t="shared" si="16"/>
        <v>PP_02</v>
      </c>
      <c r="H16" s="86" t="str">
        <f t="shared" si="16"/>
        <v>PP_02</v>
      </c>
      <c r="I16" s="86" t="str">
        <f t="shared" si="16"/>
        <v>PP_02</v>
      </c>
      <c r="J16" s="86" t="str">
        <f t="shared" si="16"/>
        <v>PP_02</v>
      </c>
      <c r="K16" s="86" t="str">
        <f t="shared" si="16"/>
        <v>PP_02</v>
      </c>
      <c r="L16" s="86" t="str">
        <f t="shared" si="16"/>
        <v>PP_02</v>
      </c>
      <c r="M16" s="86" t="str">
        <f t="shared" si="16"/>
        <v>PP_02</v>
      </c>
      <c r="N16" s="86" t="str">
        <f t="shared" si="16"/>
        <v>PP_02</v>
      </c>
      <c r="O16" s="86" t="str">
        <f t="shared" si="16"/>
        <v>PP_02</v>
      </c>
      <c r="P16" s="86" t="str">
        <f t="shared" si="16"/>
        <v>PP_02</v>
      </c>
    </row>
    <row r="17" spans="4:16" x14ac:dyDescent="0.25">
      <c r="D17" s="86" t="str">
        <f t="shared" si="2"/>
        <v>PP_02</v>
      </c>
      <c r="E17" s="86" t="str">
        <f t="shared" ref="E17:P17" si="17">D17</f>
        <v>PP_02</v>
      </c>
      <c r="F17" s="86" t="str">
        <f t="shared" si="17"/>
        <v>PP_02</v>
      </c>
      <c r="G17" s="86" t="str">
        <f t="shared" si="17"/>
        <v>PP_02</v>
      </c>
      <c r="H17" s="86" t="str">
        <f t="shared" si="17"/>
        <v>PP_02</v>
      </c>
      <c r="I17" s="86" t="str">
        <f t="shared" si="17"/>
        <v>PP_02</v>
      </c>
      <c r="J17" s="86" t="str">
        <f t="shared" si="17"/>
        <v>PP_02</v>
      </c>
      <c r="K17" s="86" t="str">
        <f t="shared" si="17"/>
        <v>PP_02</v>
      </c>
      <c r="L17" s="86" t="str">
        <f t="shared" si="17"/>
        <v>PP_02</v>
      </c>
      <c r="M17" s="86" t="str">
        <f t="shared" si="17"/>
        <v>PP_02</v>
      </c>
      <c r="N17" s="86" t="str">
        <f t="shared" si="17"/>
        <v>PP_02</v>
      </c>
      <c r="O17" s="86" t="str">
        <f t="shared" si="17"/>
        <v>PP_02</v>
      </c>
      <c r="P17" s="86" t="str">
        <f t="shared" si="17"/>
        <v>PP_02</v>
      </c>
    </row>
    <row r="18" spans="4:16" x14ac:dyDescent="0.25">
      <c r="D18" s="86" t="str">
        <f t="shared" si="2"/>
        <v>PP_02</v>
      </c>
      <c r="E18" s="86" t="str">
        <f t="shared" ref="E18:P18" si="18">D18</f>
        <v>PP_02</v>
      </c>
      <c r="F18" s="86" t="str">
        <f t="shared" si="18"/>
        <v>PP_02</v>
      </c>
      <c r="G18" s="86" t="str">
        <f t="shared" si="18"/>
        <v>PP_02</v>
      </c>
      <c r="H18" s="86" t="str">
        <f t="shared" si="18"/>
        <v>PP_02</v>
      </c>
      <c r="I18" s="86" t="str">
        <f t="shared" si="18"/>
        <v>PP_02</v>
      </c>
      <c r="J18" s="86" t="str">
        <f t="shared" si="18"/>
        <v>PP_02</v>
      </c>
      <c r="K18" s="86" t="str">
        <f t="shared" si="18"/>
        <v>PP_02</v>
      </c>
      <c r="L18" s="86" t="str">
        <f t="shared" si="18"/>
        <v>PP_02</v>
      </c>
      <c r="M18" s="86" t="str">
        <f t="shared" si="18"/>
        <v>PP_02</v>
      </c>
      <c r="N18" s="86" t="str">
        <f t="shared" si="18"/>
        <v>PP_02</v>
      </c>
      <c r="O18" s="86" t="str">
        <f t="shared" si="18"/>
        <v>PP_02</v>
      </c>
      <c r="P18" s="86" t="str">
        <f t="shared" si="18"/>
        <v>PP_02</v>
      </c>
    </row>
    <row r="19" spans="4:16" x14ac:dyDescent="0.25">
      <c r="D19" s="86" t="str">
        <f t="shared" si="2"/>
        <v>PP_02</v>
      </c>
      <c r="E19" s="86" t="str">
        <f t="shared" ref="E19:P19" si="19">D19</f>
        <v>PP_02</v>
      </c>
      <c r="F19" s="86" t="str">
        <f t="shared" si="19"/>
        <v>PP_02</v>
      </c>
      <c r="G19" s="86" t="str">
        <f t="shared" si="19"/>
        <v>PP_02</v>
      </c>
      <c r="H19" s="86" t="str">
        <f t="shared" si="19"/>
        <v>PP_02</v>
      </c>
      <c r="I19" s="86" t="str">
        <f t="shared" si="19"/>
        <v>PP_02</v>
      </c>
      <c r="J19" s="86" t="str">
        <f t="shared" si="19"/>
        <v>PP_02</v>
      </c>
      <c r="K19" s="86" t="str">
        <f t="shared" si="19"/>
        <v>PP_02</v>
      </c>
      <c r="L19" s="86" t="str">
        <f t="shared" si="19"/>
        <v>PP_02</v>
      </c>
      <c r="M19" s="86" t="str">
        <f t="shared" si="19"/>
        <v>PP_02</v>
      </c>
      <c r="N19" s="86" t="str">
        <f t="shared" si="19"/>
        <v>PP_02</v>
      </c>
      <c r="O19" s="86" t="str">
        <f t="shared" si="19"/>
        <v>PP_02</v>
      </c>
      <c r="P19" s="86" t="str">
        <f t="shared" si="19"/>
        <v>PP_02</v>
      </c>
    </row>
    <row r="20" spans="4:16" x14ac:dyDescent="0.25">
      <c r="D20" s="86" t="str">
        <f t="shared" si="2"/>
        <v>PP_02</v>
      </c>
      <c r="E20" s="86" t="str">
        <f t="shared" ref="E20:P20" si="20">D20</f>
        <v>PP_02</v>
      </c>
      <c r="F20" s="86" t="str">
        <f t="shared" si="20"/>
        <v>PP_02</v>
      </c>
      <c r="G20" s="86" t="str">
        <f t="shared" si="20"/>
        <v>PP_02</v>
      </c>
      <c r="H20" s="86" t="str">
        <f t="shared" si="20"/>
        <v>PP_02</v>
      </c>
      <c r="I20" s="86" t="str">
        <f t="shared" si="20"/>
        <v>PP_02</v>
      </c>
      <c r="J20" s="86" t="str">
        <f t="shared" si="20"/>
        <v>PP_02</v>
      </c>
      <c r="K20" s="86" t="str">
        <f t="shared" si="20"/>
        <v>PP_02</v>
      </c>
      <c r="L20" s="86" t="str">
        <f t="shared" si="20"/>
        <v>PP_02</v>
      </c>
      <c r="M20" s="86" t="str">
        <f t="shared" si="20"/>
        <v>PP_02</v>
      </c>
      <c r="N20" s="86" t="str">
        <f t="shared" si="20"/>
        <v>PP_02</v>
      </c>
      <c r="O20" s="86" t="str">
        <f t="shared" si="20"/>
        <v>PP_02</v>
      </c>
      <c r="P20" s="86" t="str">
        <f t="shared" si="20"/>
        <v>PP_02</v>
      </c>
    </row>
    <row r="21" spans="4:16" x14ac:dyDescent="0.25">
      <c r="D21" s="86" t="str">
        <f t="shared" si="2"/>
        <v>PP_02</v>
      </c>
      <c r="E21" s="86" t="str">
        <f t="shared" ref="E21:P21" si="21">D21</f>
        <v>PP_02</v>
      </c>
      <c r="F21" s="86" t="str">
        <f t="shared" si="21"/>
        <v>PP_02</v>
      </c>
      <c r="G21" s="86" t="str">
        <f t="shared" si="21"/>
        <v>PP_02</v>
      </c>
      <c r="H21" s="86" t="str">
        <f t="shared" si="21"/>
        <v>PP_02</v>
      </c>
      <c r="I21" s="86" t="str">
        <f t="shared" si="21"/>
        <v>PP_02</v>
      </c>
      <c r="J21" s="86" t="str">
        <f t="shared" si="21"/>
        <v>PP_02</v>
      </c>
      <c r="K21" s="86" t="str">
        <f t="shared" si="21"/>
        <v>PP_02</v>
      </c>
      <c r="L21" s="86" t="str">
        <f t="shared" si="21"/>
        <v>PP_02</v>
      </c>
      <c r="M21" s="86" t="str">
        <f t="shared" si="21"/>
        <v>PP_02</v>
      </c>
      <c r="N21" s="86" t="str">
        <f t="shared" si="21"/>
        <v>PP_02</v>
      </c>
      <c r="O21" s="86" t="str">
        <f t="shared" si="21"/>
        <v>PP_02</v>
      </c>
      <c r="P21" s="86" t="str">
        <f t="shared" si="21"/>
        <v>PP_02</v>
      </c>
    </row>
    <row r="22" spans="4:16" x14ac:dyDescent="0.25">
      <c r="D22" s="86" t="str">
        <f t="shared" si="2"/>
        <v>PP_02</v>
      </c>
      <c r="E22" s="86" t="str">
        <f t="shared" ref="E22:P22" si="22">D22</f>
        <v>PP_02</v>
      </c>
      <c r="F22" s="86" t="str">
        <f t="shared" si="22"/>
        <v>PP_02</v>
      </c>
      <c r="G22" s="86" t="str">
        <f t="shared" si="22"/>
        <v>PP_02</v>
      </c>
      <c r="H22" s="86" t="str">
        <f t="shared" si="22"/>
        <v>PP_02</v>
      </c>
      <c r="I22" s="86" t="str">
        <f t="shared" si="22"/>
        <v>PP_02</v>
      </c>
      <c r="J22" s="86" t="str">
        <f t="shared" si="22"/>
        <v>PP_02</v>
      </c>
      <c r="K22" s="86" t="str">
        <f t="shared" si="22"/>
        <v>PP_02</v>
      </c>
      <c r="L22" s="86" t="str">
        <f t="shared" si="22"/>
        <v>PP_02</v>
      </c>
      <c r="M22" s="86" t="str">
        <f t="shared" si="22"/>
        <v>PP_02</v>
      </c>
      <c r="N22" s="86" t="str">
        <f t="shared" si="22"/>
        <v>PP_02</v>
      </c>
      <c r="O22" s="86" t="str">
        <f t="shared" si="22"/>
        <v>PP_02</v>
      </c>
      <c r="P22" s="86" t="str">
        <f t="shared" si="22"/>
        <v>PP_02</v>
      </c>
    </row>
    <row r="23" spans="4:16" x14ac:dyDescent="0.25">
      <c r="D23" s="86" t="str">
        <f t="shared" si="2"/>
        <v>PP_02</v>
      </c>
      <c r="E23" s="86" t="str">
        <f t="shared" ref="E23:P23" si="23">D23</f>
        <v>PP_02</v>
      </c>
      <c r="F23" s="86" t="str">
        <f t="shared" si="23"/>
        <v>PP_02</v>
      </c>
      <c r="G23" s="86" t="str">
        <f t="shared" si="23"/>
        <v>PP_02</v>
      </c>
      <c r="H23" s="86" t="str">
        <f t="shared" si="23"/>
        <v>PP_02</v>
      </c>
      <c r="I23" s="86" t="str">
        <f t="shared" si="23"/>
        <v>PP_02</v>
      </c>
      <c r="J23" s="86" t="str">
        <f t="shared" si="23"/>
        <v>PP_02</v>
      </c>
      <c r="K23" s="86" t="str">
        <f t="shared" si="23"/>
        <v>PP_02</v>
      </c>
      <c r="L23" s="86" t="str">
        <f t="shared" si="23"/>
        <v>PP_02</v>
      </c>
      <c r="M23" s="86" t="str">
        <f t="shared" si="23"/>
        <v>PP_02</v>
      </c>
      <c r="N23" s="86" t="str">
        <f t="shared" si="23"/>
        <v>PP_02</v>
      </c>
      <c r="O23" s="86" t="str">
        <f t="shared" si="23"/>
        <v>PP_02</v>
      </c>
      <c r="P23" s="86" t="str">
        <f t="shared" si="23"/>
        <v>PP_02</v>
      </c>
    </row>
    <row r="24" spans="4:16" x14ac:dyDescent="0.25">
      <c r="D24" s="86" t="str">
        <f t="shared" si="2"/>
        <v>PP_02</v>
      </c>
      <c r="E24" s="86" t="str">
        <f t="shared" ref="E24:P24" si="24">D24</f>
        <v>PP_02</v>
      </c>
      <c r="F24" s="86" t="str">
        <f t="shared" si="24"/>
        <v>PP_02</v>
      </c>
      <c r="G24" s="86" t="str">
        <f t="shared" si="24"/>
        <v>PP_02</v>
      </c>
      <c r="H24" s="86" t="str">
        <f t="shared" si="24"/>
        <v>PP_02</v>
      </c>
      <c r="I24" s="86" t="str">
        <f t="shared" si="24"/>
        <v>PP_02</v>
      </c>
      <c r="J24" s="86" t="str">
        <f t="shared" si="24"/>
        <v>PP_02</v>
      </c>
      <c r="K24" s="86" t="str">
        <f t="shared" si="24"/>
        <v>PP_02</v>
      </c>
      <c r="L24" s="86" t="str">
        <f t="shared" si="24"/>
        <v>PP_02</v>
      </c>
      <c r="M24" s="86" t="str">
        <f t="shared" si="24"/>
        <v>PP_02</v>
      </c>
      <c r="N24" s="86" t="str">
        <f t="shared" si="24"/>
        <v>PP_02</v>
      </c>
      <c r="O24" s="86" t="str">
        <f t="shared" si="24"/>
        <v>PP_02</v>
      </c>
      <c r="P24" s="86" t="str">
        <f t="shared" si="24"/>
        <v>PP_02</v>
      </c>
    </row>
    <row r="25" spans="4:16" x14ac:dyDescent="0.25">
      <c r="D25" s="86" t="str">
        <f t="shared" si="2"/>
        <v>PP_02</v>
      </c>
      <c r="E25" s="86" t="str">
        <f t="shared" ref="E25:P25" si="25">D25</f>
        <v>PP_02</v>
      </c>
      <c r="F25" s="86" t="str">
        <f t="shared" si="25"/>
        <v>PP_02</v>
      </c>
      <c r="G25" s="86" t="str">
        <f t="shared" si="25"/>
        <v>PP_02</v>
      </c>
      <c r="H25" s="86" t="str">
        <f t="shared" si="25"/>
        <v>PP_02</v>
      </c>
      <c r="I25" s="86" t="str">
        <f t="shared" si="25"/>
        <v>PP_02</v>
      </c>
      <c r="J25" s="86" t="str">
        <f t="shared" si="25"/>
        <v>PP_02</v>
      </c>
      <c r="K25" s="86" t="str">
        <f t="shared" si="25"/>
        <v>PP_02</v>
      </c>
      <c r="L25" s="86" t="str">
        <f t="shared" si="25"/>
        <v>PP_02</v>
      </c>
      <c r="M25" s="86" t="str">
        <f t="shared" si="25"/>
        <v>PP_02</v>
      </c>
      <c r="N25" s="86" t="str">
        <f t="shared" si="25"/>
        <v>PP_02</v>
      </c>
      <c r="O25" s="86" t="str">
        <f t="shared" si="25"/>
        <v>PP_02</v>
      </c>
      <c r="P25" s="86" t="str">
        <f t="shared" si="25"/>
        <v>PP_02</v>
      </c>
    </row>
    <row r="26" spans="4:16" x14ac:dyDescent="0.25">
      <c r="D26" s="86" t="str">
        <f t="shared" si="2"/>
        <v>PP_02</v>
      </c>
      <c r="E26" s="86" t="str">
        <f t="shared" ref="E26:P26" si="26">D26</f>
        <v>PP_02</v>
      </c>
      <c r="F26" s="86" t="str">
        <f t="shared" si="26"/>
        <v>PP_02</v>
      </c>
      <c r="G26" s="86" t="str">
        <f t="shared" si="26"/>
        <v>PP_02</v>
      </c>
      <c r="H26" s="86" t="str">
        <f t="shared" si="26"/>
        <v>PP_02</v>
      </c>
      <c r="I26" s="86" t="str">
        <f t="shared" si="26"/>
        <v>PP_02</v>
      </c>
      <c r="J26" s="86" t="str">
        <f t="shared" si="26"/>
        <v>PP_02</v>
      </c>
      <c r="K26" s="86" t="str">
        <f t="shared" si="26"/>
        <v>PP_02</v>
      </c>
      <c r="L26" s="86" t="str">
        <f t="shared" si="26"/>
        <v>PP_02</v>
      </c>
      <c r="M26" s="86" t="str">
        <f t="shared" si="26"/>
        <v>PP_02</v>
      </c>
      <c r="N26" s="86" t="str">
        <f t="shared" si="26"/>
        <v>PP_02</v>
      </c>
      <c r="O26" s="86" t="str">
        <f t="shared" si="26"/>
        <v>PP_02</v>
      </c>
      <c r="P26" s="86" t="str">
        <f t="shared" si="26"/>
        <v>PP_02</v>
      </c>
    </row>
    <row r="27" spans="4:16" x14ac:dyDescent="0.25">
      <c r="D27" s="86" t="str">
        <f t="shared" si="2"/>
        <v>PP_02</v>
      </c>
      <c r="E27" s="86" t="str">
        <f t="shared" ref="E27:P27" si="27">D27</f>
        <v>PP_02</v>
      </c>
      <c r="F27" s="86" t="str">
        <f t="shared" si="27"/>
        <v>PP_02</v>
      </c>
      <c r="G27" s="86" t="str">
        <f t="shared" si="27"/>
        <v>PP_02</v>
      </c>
      <c r="H27" s="86" t="str">
        <f t="shared" si="27"/>
        <v>PP_02</v>
      </c>
      <c r="I27" s="86" t="str">
        <f t="shared" si="27"/>
        <v>PP_02</v>
      </c>
      <c r="J27" s="86" t="str">
        <f t="shared" si="27"/>
        <v>PP_02</v>
      </c>
      <c r="K27" s="86" t="str">
        <f t="shared" si="27"/>
        <v>PP_02</v>
      </c>
      <c r="L27" s="86" t="str">
        <f t="shared" si="27"/>
        <v>PP_02</v>
      </c>
      <c r="M27" s="86" t="str">
        <f t="shared" si="27"/>
        <v>PP_02</v>
      </c>
      <c r="N27" s="86" t="str">
        <f t="shared" si="27"/>
        <v>PP_02</v>
      </c>
      <c r="O27" s="86" t="str">
        <f t="shared" si="27"/>
        <v>PP_02</v>
      </c>
      <c r="P27" s="86" t="str">
        <f t="shared" si="27"/>
        <v>PP_02</v>
      </c>
    </row>
    <row r="28" spans="4:16" x14ac:dyDescent="0.25">
      <c r="D28" s="86" t="str">
        <f t="shared" si="2"/>
        <v>PP_02</v>
      </c>
      <c r="E28" s="86" t="str">
        <f t="shared" ref="E28:P28" si="28">D28</f>
        <v>PP_02</v>
      </c>
      <c r="F28" s="86" t="str">
        <f t="shared" si="28"/>
        <v>PP_02</v>
      </c>
      <c r="G28" s="86" t="str">
        <f t="shared" si="28"/>
        <v>PP_02</v>
      </c>
      <c r="H28" s="86" t="str">
        <f t="shared" si="28"/>
        <v>PP_02</v>
      </c>
      <c r="I28" s="86" t="str">
        <f t="shared" si="28"/>
        <v>PP_02</v>
      </c>
      <c r="J28" s="86" t="str">
        <f t="shared" si="28"/>
        <v>PP_02</v>
      </c>
      <c r="K28" s="86" t="str">
        <f t="shared" si="28"/>
        <v>PP_02</v>
      </c>
      <c r="L28" s="86" t="str">
        <f t="shared" si="28"/>
        <v>PP_02</v>
      </c>
      <c r="M28" s="86" t="str">
        <f t="shared" si="28"/>
        <v>PP_02</v>
      </c>
      <c r="N28" s="86" t="str">
        <f t="shared" si="28"/>
        <v>PP_02</v>
      </c>
      <c r="O28" s="86" t="str">
        <f t="shared" si="28"/>
        <v>PP_02</v>
      </c>
      <c r="P28" s="86" t="str">
        <f t="shared" si="28"/>
        <v>PP_02</v>
      </c>
    </row>
    <row r="29" spans="4:16" x14ac:dyDescent="0.25">
      <c r="D29" s="86" t="str">
        <f t="shared" si="2"/>
        <v>PP_02</v>
      </c>
      <c r="E29" s="86" t="str">
        <f t="shared" ref="E29:P29" si="29">D29</f>
        <v>PP_02</v>
      </c>
      <c r="F29" s="86" t="str">
        <f t="shared" si="29"/>
        <v>PP_02</v>
      </c>
      <c r="G29" s="86" t="str">
        <f t="shared" si="29"/>
        <v>PP_02</v>
      </c>
      <c r="H29" s="86" t="str">
        <f t="shared" si="29"/>
        <v>PP_02</v>
      </c>
      <c r="I29" s="86" t="str">
        <f t="shared" si="29"/>
        <v>PP_02</v>
      </c>
      <c r="J29" s="86" t="str">
        <f t="shared" si="29"/>
        <v>PP_02</v>
      </c>
      <c r="K29" s="86" t="str">
        <f t="shared" si="29"/>
        <v>PP_02</v>
      </c>
      <c r="L29" s="86" t="str">
        <f t="shared" si="29"/>
        <v>PP_02</v>
      </c>
      <c r="M29" s="86" t="str">
        <f t="shared" si="29"/>
        <v>PP_02</v>
      </c>
      <c r="N29" s="86" t="str">
        <f t="shared" si="29"/>
        <v>PP_02</v>
      </c>
      <c r="O29" s="86" t="str">
        <f t="shared" si="29"/>
        <v>PP_02</v>
      </c>
      <c r="P29" s="86" t="str">
        <f t="shared" si="29"/>
        <v>PP_02</v>
      </c>
    </row>
    <row r="30" spans="4:16" x14ac:dyDescent="0.25">
      <c r="D30" s="86" t="str">
        <f t="shared" si="2"/>
        <v>PP_02</v>
      </c>
      <c r="E30" s="86" t="str">
        <f t="shared" ref="E30:P30" si="30">D30</f>
        <v>PP_02</v>
      </c>
      <c r="F30" s="86" t="str">
        <f t="shared" si="30"/>
        <v>PP_02</v>
      </c>
      <c r="G30" s="86" t="str">
        <f t="shared" si="30"/>
        <v>PP_02</v>
      </c>
      <c r="H30" s="86" t="str">
        <f t="shared" si="30"/>
        <v>PP_02</v>
      </c>
      <c r="I30" s="86" t="str">
        <f t="shared" si="30"/>
        <v>PP_02</v>
      </c>
      <c r="J30" s="86" t="str">
        <f t="shared" si="30"/>
        <v>PP_02</v>
      </c>
      <c r="K30" s="86" t="str">
        <f t="shared" si="30"/>
        <v>PP_02</v>
      </c>
      <c r="L30" s="86" t="str">
        <f t="shared" si="30"/>
        <v>PP_02</v>
      </c>
      <c r="M30" s="86" t="str">
        <f t="shared" si="30"/>
        <v>PP_02</v>
      </c>
      <c r="N30" s="86" t="str">
        <f t="shared" si="30"/>
        <v>PP_02</v>
      </c>
      <c r="O30" s="86" t="str">
        <f t="shared" si="30"/>
        <v>PP_02</v>
      </c>
      <c r="P30" s="86" t="str">
        <f t="shared" si="30"/>
        <v>PP_02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08" t="s">
        <v>122</v>
      </c>
      <c r="E1" s="108" t="str">
        <f>D1</f>
        <v>PP_03</v>
      </c>
      <c r="F1" s="108" t="str">
        <f t="shared" ref="F1:P1" si="0">E1</f>
        <v>PP_03</v>
      </c>
      <c r="G1" s="108" t="str">
        <f t="shared" si="0"/>
        <v>PP_03</v>
      </c>
      <c r="H1" s="108" t="str">
        <f t="shared" si="0"/>
        <v>PP_03</v>
      </c>
      <c r="I1" s="108" t="str">
        <f t="shared" si="0"/>
        <v>PP_03</v>
      </c>
      <c r="J1" s="108" t="str">
        <f t="shared" si="0"/>
        <v>PP_03</v>
      </c>
      <c r="K1" s="108" t="str">
        <f t="shared" si="0"/>
        <v>PP_03</v>
      </c>
      <c r="L1" s="108" t="str">
        <f t="shared" si="0"/>
        <v>PP_03</v>
      </c>
      <c r="M1" s="108" t="str">
        <f t="shared" si="0"/>
        <v>PP_03</v>
      </c>
      <c r="N1" s="108" t="str">
        <f t="shared" si="0"/>
        <v>PP_03</v>
      </c>
      <c r="O1" s="108" t="str">
        <f t="shared" si="0"/>
        <v>PP_03</v>
      </c>
      <c r="P1" s="108" t="str">
        <f t="shared" si="0"/>
        <v>PP_03</v>
      </c>
    </row>
    <row r="2" spans="1:16" x14ac:dyDescent="0.25">
      <c r="A2" s="106" t="s">
        <v>177</v>
      </c>
      <c r="B2" s="107" t="s">
        <v>195</v>
      </c>
      <c r="D2" s="108" t="str">
        <f>D1</f>
        <v>PP_03</v>
      </c>
      <c r="E2" s="108" t="str">
        <f t="shared" ref="E2:P2" si="1">D2</f>
        <v>PP_03</v>
      </c>
      <c r="F2" s="108" t="str">
        <f t="shared" si="1"/>
        <v>PP_03</v>
      </c>
      <c r="G2" s="108" t="str">
        <f t="shared" si="1"/>
        <v>PP_03</v>
      </c>
      <c r="H2" s="108" t="str">
        <f t="shared" si="1"/>
        <v>PP_03</v>
      </c>
      <c r="I2" s="108" t="str">
        <f t="shared" si="1"/>
        <v>PP_03</v>
      </c>
      <c r="J2" s="108" t="str">
        <f t="shared" si="1"/>
        <v>PP_03</v>
      </c>
      <c r="K2" s="108" t="str">
        <f t="shared" si="1"/>
        <v>PP_03</v>
      </c>
      <c r="L2" s="108" t="str">
        <f t="shared" si="1"/>
        <v>PP_03</v>
      </c>
      <c r="M2" s="108" t="str">
        <f t="shared" si="1"/>
        <v>PP_03</v>
      </c>
      <c r="N2" s="108" t="str">
        <f t="shared" si="1"/>
        <v>PP_03</v>
      </c>
      <c r="O2" s="108" t="str">
        <f t="shared" si="1"/>
        <v>PP_03</v>
      </c>
      <c r="P2" s="108" t="str">
        <f t="shared" si="1"/>
        <v>PP_03</v>
      </c>
    </row>
    <row r="3" spans="1:16" x14ac:dyDescent="0.25">
      <c r="A3" s="74"/>
      <c r="B3" s="70"/>
      <c r="D3" s="108" t="str">
        <f t="shared" ref="D3:D30" si="2">D2</f>
        <v>PP_03</v>
      </c>
      <c r="E3" s="108" t="str">
        <f t="shared" ref="E3:P3" si="3">D3</f>
        <v>PP_03</v>
      </c>
      <c r="F3" s="108" t="str">
        <f t="shared" si="3"/>
        <v>PP_03</v>
      </c>
      <c r="G3" s="108" t="str">
        <f t="shared" si="3"/>
        <v>PP_03</v>
      </c>
      <c r="H3" s="108" t="str">
        <f t="shared" si="3"/>
        <v>PP_03</v>
      </c>
      <c r="I3" s="108" t="str">
        <f t="shared" si="3"/>
        <v>PP_03</v>
      </c>
      <c r="J3" s="108" t="str">
        <f t="shared" si="3"/>
        <v>PP_03</v>
      </c>
      <c r="K3" s="108" t="str">
        <f t="shared" si="3"/>
        <v>PP_03</v>
      </c>
      <c r="L3" s="108" t="str">
        <f t="shared" si="3"/>
        <v>PP_03</v>
      </c>
      <c r="M3" s="108" t="str">
        <f t="shared" si="3"/>
        <v>PP_03</v>
      </c>
      <c r="N3" s="108" t="str">
        <f t="shared" si="3"/>
        <v>PP_03</v>
      </c>
      <c r="O3" s="108" t="str">
        <f t="shared" si="3"/>
        <v>PP_03</v>
      </c>
      <c r="P3" s="108" t="str">
        <f t="shared" si="3"/>
        <v>PP_03</v>
      </c>
    </row>
    <row r="4" spans="1:16" x14ac:dyDescent="0.25">
      <c r="A4" s="75"/>
      <c r="B4" s="76"/>
      <c r="D4" s="108" t="str">
        <f t="shared" si="2"/>
        <v>PP_03</v>
      </c>
      <c r="E4" s="108" t="str">
        <f t="shared" ref="E4:P4" si="4">D4</f>
        <v>PP_03</v>
      </c>
      <c r="F4" s="108" t="str">
        <f t="shared" si="4"/>
        <v>PP_03</v>
      </c>
      <c r="G4" s="108" t="str">
        <f t="shared" si="4"/>
        <v>PP_03</v>
      </c>
      <c r="H4" s="108" t="str">
        <f t="shared" si="4"/>
        <v>PP_03</v>
      </c>
      <c r="I4" s="108" t="str">
        <f t="shared" si="4"/>
        <v>PP_03</v>
      </c>
      <c r="J4" s="108" t="str">
        <f t="shared" si="4"/>
        <v>PP_03</v>
      </c>
      <c r="K4" s="108" t="str">
        <f t="shared" si="4"/>
        <v>PP_03</v>
      </c>
      <c r="L4" s="108" t="str">
        <f t="shared" si="4"/>
        <v>PP_03</v>
      </c>
      <c r="M4" s="108" t="str">
        <f t="shared" si="4"/>
        <v>PP_03</v>
      </c>
      <c r="N4" s="108" t="str">
        <f t="shared" si="4"/>
        <v>PP_03</v>
      </c>
      <c r="O4" s="108" t="str">
        <f t="shared" si="4"/>
        <v>PP_03</v>
      </c>
      <c r="P4" s="108" t="str">
        <f t="shared" si="4"/>
        <v>PP_03</v>
      </c>
    </row>
    <row r="5" spans="1:16" x14ac:dyDescent="0.25">
      <c r="A5" s="74"/>
      <c r="B5" s="70"/>
      <c r="D5" s="108" t="str">
        <f t="shared" si="2"/>
        <v>PP_03</v>
      </c>
      <c r="E5" s="108" t="str">
        <f t="shared" ref="E5:P5" si="5">D5</f>
        <v>PP_03</v>
      </c>
      <c r="F5" s="108" t="str">
        <f t="shared" si="5"/>
        <v>PP_03</v>
      </c>
      <c r="G5" s="108" t="str">
        <f t="shared" si="5"/>
        <v>PP_03</v>
      </c>
      <c r="H5" s="108" t="str">
        <f t="shared" si="5"/>
        <v>PP_03</v>
      </c>
      <c r="I5" s="108" t="str">
        <f t="shared" si="5"/>
        <v>PP_03</v>
      </c>
      <c r="J5" s="108" t="str">
        <f t="shared" si="5"/>
        <v>PP_03</v>
      </c>
      <c r="K5" s="108" t="str">
        <f t="shared" si="5"/>
        <v>PP_03</v>
      </c>
      <c r="L5" s="108" t="str">
        <f t="shared" si="5"/>
        <v>PP_03</v>
      </c>
      <c r="M5" s="108" t="str">
        <f t="shared" si="5"/>
        <v>PP_03</v>
      </c>
      <c r="N5" s="108" t="str">
        <f t="shared" si="5"/>
        <v>PP_03</v>
      </c>
      <c r="O5" s="108" t="str">
        <f t="shared" si="5"/>
        <v>PP_03</v>
      </c>
      <c r="P5" s="108" t="str">
        <f t="shared" si="5"/>
        <v>PP_03</v>
      </c>
    </row>
    <row r="6" spans="1:16" x14ac:dyDescent="0.25">
      <c r="A6" s="74"/>
      <c r="B6" s="70"/>
      <c r="D6" s="108" t="str">
        <f t="shared" si="2"/>
        <v>PP_03</v>
      </c>
      <c r="E6" s="108" t="str">
        <f t="shared" ref="E6:P6" si="6">D6</f>
        <v>PP_03</v>
      </c>
      <c r="F6" s="108" t="str">
        <f t="shared" si="6"/>
        <v>PP_03</v>
      </c>
      <c r="G6" s="108" t="str">
        <f t="shared" si="6"/>
        <v>PP_03</v>
      </c>
      <c r="H6" s="108" t="str">
        <f t="shared" si="6"/>
        <v>PP_03</v>
      </c>
      <c r="I6" s="108" t="str">
        <f t="shared" si="6"/>
        <v>PP_03</v>
      </c>
      <c r="J6" s="108" t="str">
        <f t="shared" si="6"/>
        <v>PP_03</v>
      </c>
      <c r="K6" s="108" t="str">
        <f t="shared" si="6"/>
        <v>PP_03</v>
      </c>
      <c r="L6" s="108" t="str">
        <f t="shared" si="6"/>
        <v>PP_03</v>
      </c>
      <c r="M6" s="108" t="str">
        <f t="shared" si="6"/>
        <v>PP_03</v>
      </c>
      <c r="N6" s="108" t="str">
        <f t="shared" si="6"/>
        <v>PP_03</v>
      </c>
      <c r="O6" s="108" t="str">
        <f t="shared" si="6"/>
        <v>PP_03</v>
      </c>
      <c r="P6" s="108" t="str">
        <f t="shared" si="6"/>
        <v>PP_03</v>
      </c>
    </row>
    <row r="7" spans="1:16" x14ac:dyDescent="0.25">
      <c r="D7" s="108" t="str">
        <f t="shared" si="2"/>
        <v>PP_03</v>
      </c>
      <c r="E7" s="108" t="str">
        <f t="shared" ref="E7:P7" si="7">D7</f>
        <v>PP_03</v>
      </c>
      <c r="F7" s="108" t="str">
        <f t="shared" si="7"/>
        <v>PP_03</v>
      </c>
      <c r="G7" s="108" t="str">
        <f t="shared" si="7"/>
        <v>PP_03</v>
      </c>
      <c r="H7" s="108" t="str">
        <f t="shared" si="7"/>
        <v>PP_03</v>
      </c>
      <c r="I7" s="108" t="str">
        <f t="shared" si="7"/>
        <v>PP_03</v>
      </c>
      <c r="J7" s="108" t="str">
        <f t="shared" si="7"/>
        <v>PP_03</v>
      </c>
      <c r="K7" s="108" t="str">
        <f t="shared" si="7"/>
        <v>PP_03</v>
      </c>
      <c r="L7" s="108" t="str">
        <f t="shared" si="7"/>
        <v>PP_03</v>
      </c>
      <c r="M7" s="108" t="str">
        <f t="shared" si="7"/>
        <v>PP_03</v>
      </c>
      <c r="N7" s="108" t="str">
        <f t="shared" si="7"/>
        <v>PP_03</v>
      </c>
      <c r="O7" s="108" t="str">
        <f t="shared" si="7"/>
        <v>PP_03</v>
      </c>
      <c r="P7" s="108" t="str">
        <f t="shared" si="7"/>
        <v>PP_03</v>
      </c>
    </row>
    <row r="8" spans="1:16" x14ac:dyDescent="0.25">
      <c r="D8" s="108" t="str">
        <f t="shared" si="2"/>
        <v>PP_03</v>
      </c>
      <c r="E8" s="108" t="str">
        <f t="shared" ref="E8:P8" si="8">D8</f>
        <v>PP_03</v>
      </c>
      <c r="F8" s="108" t="str">
        <f t="shared" si="8"/>
        <v>PP_03</v>
      </c>
      <c r="G8" s="108" t="str">
        <f t="shared" si="8"/>
        <v>PP_03</v>
      </c>
      <c r="H8" s="108" t="str">
        <f t="shared" si="8"/>
        <v>PP_03</v>
      </c>
      <c r="I8" s="108" t="str">
        <f t="shared" si="8"/>
        <v>PP_03</v>
      </c>
      <c r="J8" s="108" t="str">
        <f t="shared" si="8"/>
        <v>PP_03</v>
      </c>
      <c r="K8" s="108" t="str">
        <f t="shared" si="8"/>
        <v>PP_03</v>
      </c>
      <c r="L8" s="108" t="str">
        <f t="shared" si="8"/>
        <v>PP_03</v>
      </c>
      <c r="M8" s="108" t="str">
        <f t="shared" si="8"/>
        <v>PP_03</v>
      </c>
      <c r="N8" s="108" t="str">
        <f t="shared" si="8"/>
        <v>PP_03</v>
      </c>
      <c r="O8" s="108" t="str">
        <f t="shared" si="8"/>
        <v>PP_03</v>
      </c>
      <c r="P8" s="108" t="str">
        <f t="shared" si="8"/>
        <v>PP_03</v>
      </c>
    </row>
    <row r="9" spans="1:16" x14ac:dyDescent="0.25">
      <c r="D9" s="108" t="str">
        <f t="shared" si="2"/>
        <v>PP_03</v>
      </c>
      <c r="E9" s="108" t="str">
        <f t="shared" ref="E9:P9" si="9">D9</f>
        <v>PP_03</v>
      </c>
      <c r="F9" s="108" t="str">
        <f t="shared" si="9"/>
        <v>PP_03</v>
      </c>
      <c r="G9" s="108" t="str">
        <f t="shared" si="9"/>
        <v>PP_03</v>
      </c>
      <c r="H9" s="108" t="str">
        <f t="shared" si="9"/>
        <v>PP_03</v>
      </c>
      <c r="I9" s="108" t="str">
        <f t="shared" si="9"/>
        <v>PP_03</v>
      </c>
      <c r="J9" s="108" t="str">
        <f t="shared" si="9"/>
        <v>PP_03</v>
      </c>
      <c r="K9" s="108" t="str">
        <f t="shared" si="9"/>
        <v>PP_03</v>
      </c>
      <c r="L9" s="108" t="str">
        <f t="shared" si="9"/>
        <v>PP_03</v>
      </c>
      <c r="M9" s="108" t="str">
        <f t="shared" si="9"/>
        <v>PP_03</v>
      </c>
      <c r="N9" s="108" t="str">
        <f t="shared" si="9"/>
        <v>PP_03</v>
      </c>
      <c r="O9" s="108" t="str">
        <f t="shared" si="9"/>
        <v>PP_03</v>
      </c>
      <c r="P9" s="108" t="str">
        <f t="shared" si="9"/>
        <v>PP_03</v>
      </c>
    </row>
    <row r="10" spans="1:16" x14ac:dyDescent="0.25">
      <c r="D10" s="108" t="str">
        <f t="shared" si="2"/>
        <v>PP_03</v>
      </c>
      <c r="E10" s="108" t="str">
        <f t="shared" ref="E10:P10" si="10">D10</f>
        <v>PP_03</v>
      </c>
      <c r="F10" s="108" t="str">
        <f t="shared" si="10"/>
        <v>PP_03</v>
      </c>
      <c r="G10" s="108" t="str">
        <f t="shared" si="10"/>
        <v>PP_03</v>
      </c>
      <c r="H10" s="108" t="str">
        <f t="shared" si="10"/>
        <v>PP_03</v>
      </c>
      <c r="I10" s="108" t="str">
        <f t="shared" si="10"/>
        <v>PP_03</v>
      </c>
      <c r="J10" s="108" t="str">
        <f t="shared" si="10"/>
        <v>PP_03</v>
      </c>
      <c r="K10" s="108" t="str">
        <f t="shared" si="10"/>
        <v>PP_03</v>
      </c>
      <c r="L10" s="108" t="str">
        <f t="shared" si="10"/>
        <v>PP_03</v>
      </c>
      <c r="M10" s="108" t="str">
        <f t="shared" si="10"/>
        <v>PP_03</v>
      </c>
      <c r="N10" s="108" t="str">
        <f t="shared" si="10"/>
        <v>PP_03</v>
      </c>
      <c r="O10" s="108" t="str">
        <f t="shared" si="10"/>
        <v>PP_03</v>
      </c>
      <c r="P10" s="108" t="str">
        <f t="shared" si="10"/>
        <v>PP_03</v>
      </c>
    </row>
    <row r="11" spans="1:16" x14ac:dyDescent="0.25">
      <c r="D11" s="108" t="str">
        <f t="shared" si="2"/>
        <v>PP_03</v>
      </c>
      <c r="E11" s="108" t="str">
        <f t="shared" ref="E11:P11" si="11">D11</f>
        <v>PP_03</v>
      </c>
      <c r="F11" s="108" t="str">
        <f t="shared" si="11"/>
        <v>PP_03</v>
      </c>
      <c r="G11" s="108" t="str">
        <f t="shared" si="11"/>
        <v>PP_03</v>
      </c>
      <c r="H11" s="108" t="str">
        <f t="shared" si="11"/>
        <v>PP_03</v>
      </c>
      <c r="I11" s="108" t="str">
        <f t="shared" si="11"/>
        <v>PP_03</v>
      </c>
      <c r="J11" s="108" t="str">
        <f t="shared" si="11"/>
        <v>PP_03</v>
      </c>
      <c r="K11" s="108" t="str">
        <f t="shared" si="11"/>
        <v>PP_03</v>
      </c>
      <c r="L11" s="108" t="str">
        <f t="shared" si="11"/>
        <v>PP_03</v>
      </c>
      <c r="M11" s="108" t="str">
        <f t="shared" si="11"/>
        <v>PP_03</v>
      </c>
      <c r="N11" s="108" t="str">
        <f t="shared" si="11"/>
        <v>PP_03</v>
      </c>
      <c r="O11" s="108" t="str">
        <f t="shared" si="11"/>
        <v>PP_03</v>
      </c>
      <c r="P11" s="108" t="str">
        <f t="shared" si="11"/>
        <v>PP_03</v>
      </c>
    </row>
    <row r="12" spans="1:16" x14ac:dyDescent="0.25">
      <c r="D12" s="108" t="str">
        <f t="shared" si="2"/>
        <v>PP_03</v>
      </c>
      <c r="E12" s="108" t="str">
        <f t="shared" ref="E12:P12" si="12">D12</f>
        <v>PP_03</v>
      </c>
      <c r="F12" s="108" t="str">
        <f t="shared" si="12"/>
        <v>PP_03</v>
      </c>
      <c r="G12" s="108" t="str">
        <f t="shared" si="12"/>
        <v>PP_03</v>
      </c>
      <c r="H12" s="108" t="str">
        <f t="shared" si="12"/>
        <v>PP_03</v>
      </c>
      <c r="I12" s="108" t="str">
        <f t="shared" si="12"/>
        <v>PP_03</v>
      </c>
      <c r="J12" s="108" t="str">
        <f t="shared" si="12"/>
        <v>PP_03</v>
      </c>
      <c r="K12" s="108" t="str">
        <f t="shared" si="12"/>
        <v>PP_03</v>
      </c>
      <c r="L12" s="108" t="str">
        <f t="shared" si="12"/>
        <v>PP_03</v>
      </c>
      <c r="M12" s="108" t="str">
        <f t="shared" si="12"/>
        <v>PP_03</v>
      </c>
      <c r="N12" s="108" t="str">
        <f t="shared" si="12"/>
        <v>PP_03</v>
      </c>
      <c r="O12" s="108" t="str">
        <f t="shared" si="12"/>
        <v>PP_03</v>
      </c>
      <c r="P12" s="108" t="str">
        <f t="shared" si="12"/>
        <v>PP_03</v>
      </c>
    </row>
    <row r="13" spans="1:16" x14ac:dyDescent="0.25">
      <c r="D13" s="108" t="str">
        <f t="shared" si="2"/>
        <v>PP_03</v>
      </c>
      <c r="E13" s="108" t="str">
        <f t="shared" ref="E13:P13" si="13">D13</f>
        <v>PP_03</v>
      </c>
      <c r="F13" s="108" t="str">
        <f t="shared" si="13"/>
        <v>PP_03</v>
      </c>
      <c r="G13" s="108" t="str">
        <f t="shared" si="13"/>
        <v>PP_03</v>
      </c>
      <c r="H13" s="108" t="str">
        <f t="shared" si="13"/>
        <v>PP_03</v>
      </c>
      <c r="I13" s="108" t="str">
        <f t="shared" si="13"/>
        <v>PP_03</v>
      </c>
      <c r="J13" s="108" t="str">
        <f t="shared" si="13"/>
        <v>PP_03</v>
      </c>
      <c r="K13" s="108" t="str">
        <f t="shared" si="13"/>
        <v>PP_03</v>
      </c>
      <c r="L13" s="108" t="str">
        <f t="shared" si="13"/>
        <v>PP_03</v>
      </c>
      <c r="M13" s="108" t="str">
        <f t="shared" si="13"/>
        <v>PP_03</v>
      </c>
      <c r="N13" s="108" t="str">
        <f t="shared" si="13"/>
        <v>PP_03</v>
      </c>
      <c r="O13" s="108" t="str">
        <f t="shared" si="13"/>
        <v>PP_03</v>
      </c>
      <c r="P13" s="108" t="str">
        <f t="shared" si="13"/>
        <v>PP_03</v>
      </c>
    </row>
    <row r="14" spans="1:16" x14ac:dyDescent="0.25">
      <c r="D14" s="108" t="str">
        <f t="shared" si="2"/>
        <v>PP_03</v>
      </c>
      <c r="E14" s="108" t="str">
        <f t="shared" ref="E14:P14" si="14">D14</f>
        <v>PP_03</v>
      </c>
      <c r="F14" s="108" t="str">
        <f t="shared" si="14"/>
        <v>PP_03</v>
      </c>
      <c r="G14" s="108" t="str">
        <f t="shared" si="14"/>
        <v>PP_03</v>
      </c>
      <c r="H14" s="108" t="str">
        <f t="shared" si="14"/>
        <v>PP_03</v>
      </c>
      <c r="I14" s="108" t="str">
        <f t="shared" si="14"/>
        <v>PP_03</v>
      </c>
      <c r="J14" s="108" t="str">
        <f t="shared" si="14"/>
        <v>PP_03</v>
      </c>
      <c r="K14" s="108" t="str">
        <f t="shared" si="14"/>
        <v>PP_03</v>
      </c>
      <c r="L14" s="108" t="str">
        <f t="shared" si="14"/>
        <v>PP_03</v>
      </c>
      <c r="M14" s="108" t="str">
        <f t="shared" si="14"/>
        <v>PP_03</v>
      </c>
      <c r="N14" s="108" t="str">
        <f t="shared" si="14"/>
        <v>PP_03</v>
      </c>
      <c r="O14" s="108" t="str">
        <f t="shared" si="14"/>
        <v>PP_03</v>
      </c>
      <c r="P14" s="108" t="str">
        <f t="shared" si="14"/>
        <v>PP_03</v>
      </c>
    </row>
    <row r="15" spans="1:16" x14ac:dyDescent="0.25">
      <c r="D15" s="108" t="str">
        <f t="shared" si="2"/>
        <v>PP_03</v>
      </c>
      <c r="E15" s="108" t="str">
        <f t="shared" ref="E15:P15" si="15">D15</f>
        <v>PP_03</v>
      </c>
      <c r="F15" s="108" t="str">
        <f t="shared" si="15"/>
        <v>PP_03</v>
      </c>
      <c r="G15" s="108" t="str">
        <f t="shared" si="15"/>
        <v>PP_03</v>
      </c>
      <c r="H15" s="108" t="str">
        <f t="shared" si="15"/>
        <v>PP_03</v>
      </c>
      <c r="I15" s="108" t="str">
        <f t="shared" si="15"/>
        <v>PP_03</v>
      </c>
      <c r="J15" s="108" t="str">
        <f t="shared" si="15"/>
        <v>PP_03</v>
      </c>
      <c r="K15" s="108" t="str">
        <f t="shared" si="15"/>
        <v>PP_03</v>
      </c>
      <c r="L15" s="108" t="str">
        <f t="shared" si="15"/>
        <v>PP_03</v>
      </c>
      <c r="M15" s="108" t="str">
        <f t="shared" si="15"/>
        <v>PP_03</v>
      </c>
      <c r="N15" s="108" t="str">
        <f t="shared" si="15"/>
        <v>PP_03</v>
      </c>
      <c r="O15" s="108" t="str">
        <f t="shared" si="15"/>
        <v>PP_03</v>
      </c>
      <c r="P15" s="108" t="str">
        <f t="shared" si="15"/>
        <v>PP_03</v>
      </c>
    </row>
    <row r="16" spans="1:16" x14ac:dyDescent="0.25">
      <c r="D16" s="108" t="str">
        <f t="shared" si="2"/>
        <v>PP_03</v>
      </c>
      <c r="E16" s="108" t="str">
        <f t="shared" ref="E16:P16" si="16">D16</f>
        <v>PP_03</v>
      </c>
      <c r="F16" s="108" t="str">
        <f t="shared" si="16"/>
        <v>PP_03</v>
      </c>
      <c r="G16" s="108" t="str">
        <f t="shared" si="16"/>
        <v>PP_03</v>
      </c>
      <c r="H16" s="108" t="str">
        <f t="shared" si="16"/>
        <v>PP_03</v>
      </c>
      <c r="I16" s="108" t="str">
        <f t="shared" si="16"/>
        <v>PP_03</v>
      </c>
      <c r="J16" s="108" t="str">
        <f t="shared" si="16"/>
        <v>PP_03</v>
      </c>
      <c r="K16" s="108" t="str">
        <f t="shared" si="16"/>
        <v>PP_03</v>
      </c>
      <c r="L16" s="108" t="str">
        <f t="shared" si="16"/>
        <v>PP_03</v>
      </c>
      <c r="M16" s="108" t="str">
        <f t="shared" si="16"/>
        <v>PP_03</v>
      </c>
      <c r="N16" s="108" t="str">
        <f t="shared" si="16"/>
        <v>PP_03</v>
      </c>
      <c r="O16" s="108" t="str">
        <f t="shared" si="16"/>
        <v>PP_03</v>
      </c>
      <c r="P16" s="108" t="str">
        <f t="shared" si="16"/>
        <v>PP_03</v>
      </c>
    </row>
    <row r="17" spans="4:16" x14ac:dyDescent="0.25">
      <c r="D17" s="108" t="str">
        <f t="shared" si="2"/>
        <v>PP_03</v>
      </c>
      <c r="E17" s="108" t="str">
        <f t="shared" ref="E17:P17" si="17">D17</f>
        <v>PP_03</v>
      </c>
      <c r="F17" s="108" t="str">
        <f t="shared" si="17"/>
        <v>PP_03</v>
      </c>
      <c r="G17" s="108" t="str">
        <f t="shared" si="17"/>
        <v>PP_03</v>
      </c>
      <c r="H17" s="108" t="str">
        <f t="shared" si="17"/>
        <v>PP_03</v>
      </c>
      <c r="I17" s="108" t="str">
        <f t="shared" si="17"/>
        <v>PP_03</v>
      </c>
      <c r="J17" s="108" t="str">
        <f t="shared" si="17"/>
        <v>PP_03</v>
      </c>
      <c r="K17" s="108" t="str">
        <f t="shared" si="17"/>
        <v>PP_03</v>
      </c>
      <c r="L17" s="108" t="str">
        <f t="shared" si="17"/>
        <v>PP_03</v>
      </c>
      <c r="M17" s="108" t="str">
        <f t="shared" si="17"/>
        <v>PP_03</v>
      </c>
      <c r="N17" s="108" t="str">
        <f t="shared" si="17"/>
        <v>PP_03</v>
      </c>
      <c r="O17" s="108" t="str">
        <f t="shared" si="17"/>
        <v>PP_03</v>
      </c>
      <c r="P17" s="108" t="str">
        <f t="shared" si="17"/>
        <v>PP_03</v>
      </c>
    </row>
    <row r="18" spans="4:16" x14ac:dyDescent="0.25">
      <c r="D18" s="108" t="str">
        <f t="shared" si="2"/>
        <v>PP_03</v>
      </c>
      <c r="E18" s="108" t="str">
        <f t="shared" ref="E18:P18" si="18">D18</f>
        <v>PP_03</v>
      </c>
      <c r="F18" s="108" t="str">
        <f t="shared" si="18"/>
        <v>PP_03</v>
      </c>
      <c r="G18" s="108" t="str">
        <f t="shared" si="18"/>
        <v>PP_03</v>
      </c>
      <c r="H18" s="108" t="str">
        <f t="shared" si="18"/>
        <v>PP_03</v>
      </c>
      <c r="I18" s="108" t="str">
        <f t="shared" si="18"/>
        <v>PP_03</v>
      </c>
      <c r="J18" s="108" t="str">
        <f t="shared" si="18"/>
        <v>PP_03</v>
      </c>
      <c r="K18" s="108" t="str">
        <f t="shared" si="18"/>
        <v>PP_03</v>
      </c>
      <c r="L18" s="108" t="str">
        <f t="shared" si="18"/>
        <v>PP_03</v>
      </c>
      <c r="M18" s="108" t="str">
        <f t="shared" si="18"/>
        <v>PP_03</v>
      </c>
      <c r="N18" s="108" t="str">
        <f t="shared" si="18"/>
        <v>PP_03</v>
      </c>
      <c r="O18" s="108" t="str">
        <f t="shared" si="18"/>
        <v>PP_03</v>
      </c>
      <c r="P18" s="108" t="str">
        <f t="shared" si="18"/>
        <v>PP_03</v>
      </c>
    </row>
    <row r="19" spans="4:16" x14ac:dyDescent="0.25">
      <c r="D19" s="108" t="str">
        <f t="shared" si="2"/>
        <v>PP_03</v>
      </c>
      <c r="E19" s="108" t="str">
        <f t="shared" ref="E19:P19" si="19">D19</f>
        <v>PP_03</v>
      </c>
      <c r="F19" s="108" t="str">
        <f t="shared" si="19"/>
        <v>PP_03</v>
      </c>
      <c r="G19" s="108" t="str">
        <f t="shared" si="19"/>
        <v>PP_03</v>
      </c>
      <c r="H19" s="108" t="str">
        <f t="shared" si="19"/>
        <v>PP_03</v>
      </c>
      <c r="I19" s="108" t="str">
        <f t="shared" si="19"/>
        <v>PP_03</v>
      </c>
      <c r="J19" s="108" t="str">
        <f t="shared" si="19"/>
        <v>PP_03</v>
      </c>
      <c r="K19" s="108" t="str">
        <f t="shared" si="19"/>
        <v>PP_03</v>
      </c>
      <c r="L19" s="108" t="str">
        <f t="shared" si="19"/>
        <v>PP_03</v>
      </c>
      <c r="M19" s="108" t="str">
        <f t="shared" si="19"/>
        <v>PP_03</v>
      </c>
      <c r="N19" s="108" t="str">
        <f t="shared" si="19"/>
        <v>PP_03</v>
      </c>
      <c r="O19" s="108" t="str">
        <f t="shared" si="19"/>
        <v>PP_03</v>
      </c>
      <c r="P19" s="108" t="str">
        <f t="shared" si="19"/>
        <v>PP_03</v>
      </c>
    </row>
    <row r="20" spans="4:16" x14ac:dyDescent="0.25">
      <c r="D20" s="108" t="str">
        <f t="shared" si="2"/>
        <v>PP_03</v>
      </c>
      <c r="E20" s="108" t="str">
        <f t="shared" ref="E20:P20" si="20">D20</f>
        <v>PP_03</v>
      </c>
      <c r="F20" s="108" t="str">
        <f t="shared" si="20"/>
        <v>PP_03</v>
      </c>
      <c r="G20" s="108" t="str">
        <f t="shared" si="20"/>
        <v>PP_03</v>
      </c>
      <c r="H20" s="108" t="str">
        <f t="shared" si="20"/>
        <v>PP_03</v>
      </c>
      <c r="I20" s="108" t="str">
        <f t="shared" si="20"/>
        <v>PP_03</v>
      </c>
      <c r="J20" s="108" t="str">
        <f t="shared" si="20"/>
        <v>PP_03</v>
      </c>
      <c r="K20" s="108" t="str">
        <f t="shared" si="20"/>
        <v>PP_03</v>
      </c>
      <c r="L20" s="108" t="str">
        <f t="shared" si="20"/>
        <v>PP_03</v>
      </c>
      <c r="M20" s="108" t="str">
        <f t="shared" si="20"/>
        <v>PP_03</v>
      </c>
      <c r="N20" s="108" t="str">
        <f t="shared" si="20"/>
        <v>PP_03</v>
      </c>
      <c r="O20" s="108" t="str">
        <f t="shared" si="20"/>
        <v>PP_03</v>
      </c>
      <c r="P20" s="108" t="str">
        <f t="shared" si="20"/>
        <v>PP_03</v>
      </c>
    </row>
    <row r="21" spans="4:16" x14ac:dyDescent="0.25">
      <c r="D21" s="108" t="str">
        <f t="shared" si="2"/>
        <v>PP_03</v>
      </c>
      <c r="E21" s="108" t="str">
        <f t="shared" ref="E21:P21" si="21">D21</f>
        <v>PP_03</v>
      </c>
      <c r="F21" s="108" t="str">
        <f t="shared" si="21"/>
        <v>PP_03</v>
      </c>
      <c r="G21" s="108" t="str">
        <f t="shared" si="21"/>
        <v>PP_03</v>
      </c>
      <c r="H21" s="108" t="str">
        <f t="shared" si="21"/>
        <v>PP_03</v>
      </c>
      <c r="I21" s="108" t="str">
        <f t="shared" si="21"/>
        <v>PP_03</v>
      </c>
      <c r="J21" s="108" t="str">
        <f t="shared" si="21"/>
        <v>PP_03</v>
      </c>
      <c r="K21" s="108" t="str">
        <f t="shared" si="21"/>
        <v>PP_03</v>
      </c>
      <c r="L21" s="108" t="str">
        <f t="shared" si="21"/>
        <v>PP_03</v>
      </c>
      <c r="M21" s="108" t="str">
        <f t="shared" si="21"/>
        <v>PP_03</v>
      </c>
      <c r="N21" s="108" t="str">
        <f t="shared" si="21"/>
        <v>PP_03</v>
      </c>
      <c r="O21" s="108" t="str">
        <f t="shared" si="21"/>
        <v>PP_03</v>
      </c>
      <c r="P21" s="108" t="str">
        <f t="shared" si="21"/>
        <v>PP_03</v>
      </c>
    </row>
    <row r="22" spans="4:16" x14ac:dyDescent="0.25">
      <c r="D22" s="108" t="str">
        <f t="shared" si="2"/>
        <v>PP_03</v>
      </c>
      <c r="E22" s="108" t="str">
        <f t="shared" ref="E22:P22" si="22">D22</f>
        <v>PP_03</v>
      </c>
      <c r="F22" s="108" t="str">
        <f t="shared" si="22"/>
        <v>PP_03</v>
      </c>
      <c r="G22" s="108" t="str">
        <f t="shared" si="22"/>
        <v>PP_03</v>
      </c>
      <c r="H22" s="108" t="str">
        <f t="shared" si="22"/>
        <v>PP_03</v>
      </c>
      <c r="I22" s="108" t="str">
        <f t="shared" si="22"/>
        <v>PP_03</v>
      </c>
      <c r="J22" s="108" t="str">
        <f t="shared" si="22"/>
        <v>PP_03</v>
      </c>
      <c r="K22" s="108" t="str">
        <f t="shared" si="22"/>
        <v>PP_03</v>
      </c>
      <c r="L22" s="108" t="str">
        <f t="shared" si="22"/>
        <v>PP_03</v>
      </c>
      <c r="M22" s="108" t="str">
        <f t="shared" si="22"/>
        <v>PP_03</v>
      </c>
      <c r="N22" s="108" t="str">
        <f t="shared" si="22"/>
        <v>PP_03</v>
      </c>
      <c r="O22" s="108" t="str">
        <f t="shared" si="22"/>
        <v>PP_03</v>
      </c>
      <c r="P22" s="108" t="str">
        <f t="shared" si="22"/>
        <v>PP_03</v>
      </c>
    </row>
    <row r="23" spans="4:16" x14ac:dyDescent="0.25">
      <c r="D23" s="108" t="str">
        <f t="shared" si="2"/>
        <v>PP_03</v>
      </c>
      <c r="E23" s="108" t="str">
        <f t="shared" ref="E23:P23" si="23">D23</f>
        <v>PP_03</v>
      </c>
      <c r="F23" s="108" t="str">
        <f t="shared" si="23"/>
        <v>PP_03</v>
      </c>
      <c r="G23" s="108" t="str">
        <f t="shared" si="23"/>
        <v>PP_03</v>
      </c>
      <c r="H23" s="108" t="str">
        <f t="shared" si="23"/>
        <v>PP_03</v>
      </c>
      <c r="I23" s="108" t="str">
        <f t="shared" si="23"/>
        <v>PP_03</v>
      </c>
      <c r="J23" s="108" t="str">
        <f t="shared" si="23"/>
        <v>PP_03</v>
      </c>
      <c r="K23" s="108" t="str">
        <f t="shared" si="23"/>
        <v>PP_03</v>
      </c>
      <c r="L23" s="108" t="str">
        <f t="shared" si="23"/>
        <v>PP_03</v>
      </c>
      <c r="M23" s="108" t="str">
        <f t="shared" si="23"/>
        <v>PP_03</v>
      </c>
      <c r="N23" s="108" t="str">
        <f t="shared" si="23"/>
        <v>PP_03</v>
      </c>
      <c r="O23" s="108" t="str">
        <f t="shared" si="23"/>
        <v>PP_03</v>
      </c>
      <c r="P23" s="108" t="str">
        <f t="shared" si="23"/>
        <v>PP_03</v>
      </c>
    </row>
    <row r="24" spans="4:16" x14ac:dyDescent="0.25">
      <c r="D24" s="108" t="str">
        <f t="shared" si="2"/>
        <v>PP_03</v>
      </c>
      <c r="E24" s="108" t="str">
        <f t="shared" ref="E24:P24" si="24">D24</f>
        <v>PP_03</v>
      </c>
      <c r="F24" s="108" t="str">
        <f t="shared" si="24"/>
        <v>PP_03</v>
      </c>
      <c r="G24" s="108" t="str">
        <f t="shared" si="24"/>
        <v>PP_03</v>
      </c>
      <c r="H24" s="108" t="str">
        <f t="shared" si="24"/>
        <v>PP_03</v>
      </c>
      <c r="I24" s="108" t="str">
        <f t="shared" si="24"/>
        <v>PP_03</v>
      </c>
      <c r="J24" s="108" t="str">
        <f t="shared" si="24"/>
        <v>PP_03</v>
      </c>
      <c r="K24" s="108" t="str">
        <f t="shared" si="24"/>
        <v>PP_03</v>
      </c>
      <c r="L24" s="108" t="str">
        <f t="shared" si="24"/>
        <v>PP_03</v>
      </c>
      <c r="M24" s="108" t="str">
        <f t="shared" si="24"/>
        <v>PP_03</v>
      </c>
      <c r="N24" s="108" t="str">
        <f t="shared" si="24"/>
        <v>PP_03</v>
      </c>
      <c r="O24" s="108" t="str">
        <f t="shared" si="24"/>
        <v>PP_03</v>
      </c>
      <c r="P24" s="108" t="str">
        <f t="shared" si="24"/>
        <v>PP_03</v>
      </c>
    </row>
    <row r="25" spans="4:16" x14ac:dyDescent="0.25">
      <c r="D25" s="108" t="str">
        <f t="shared" si="2"/>
        <v>PP_03</v>
      </c>
      <c r="E25" s="108" t="str">
        <f t="shared" ref="E25:P25" si="25">D25</f>
        <v>PP_03</v>
      </c>
      <c r="F25" s="108" t="str">
        <f t="shared" si="25"/>
        <v>PP_03</v>
      </c>
      <c r="G25" s="108" t="str">
        <f t="shared" si="25"/>
        <v>PP_03</v>
      </c>
      <c r="H25" s="108" t="str">
        <f t="shared" si="25"/>
        <v>PP_03</v>
      </c>
      <c r="I25" s="108" t="str">
        <f t="shared" si="25"/>
        <v>PP_03</v>
      </c>
      <c r="J25" s="108" t="str">
        <f t="shared" si="25"/>
        <v>PP_03</v>
      </c>
      <c r="K25" s="108" t="str">
        <f t="shared" si="25"/>
        <v>PP_03</v>
      </c>
      <c r="L25" s="108" t="str">
        <f t="shared" si="25"/>
        <v>PP_03</v>
      </c>
      <c r="M25" s="108" t="str">
        <f t="shared" si="25"/>
        <v>PP_03</v>
      </c>
      <c r="N25" s="108" t="str">
        <f t="shared" si="25"/>
        <v>PP_03</v>
      </c>
      <c r="O25" s="108" t="str">
        <f t="shared" si="25"/>
        <v>PP_03</v>
      </c>
      <c r="P25" s="108" t="str">
        <f t="shared" si="25"/>
        <v>PP_03</v>
      </c>
    </row>
    <row r="26" spans="4:16" x14ac:dyDescent="0.25">
      <c r="D26" s="108" t="str">
        <f t="shared" si="2"/>
        <v>PP_03</v>
      </c>
      <c r="E26" s="108" t="str">
        <f t="shared" ref="E26:P26" si="26">D26</f>
        <v>PP_03</v>
      </c>
      <c r="F26" s="108" t="str">
        <f t="shared" si="26"/>
        <v>PP_03</v>
      </c>
      <c r="G26" s="108" t="str">
        <f t="shared" si="26"/>
        <v>PP_03</v>
      </c>
      <c r="H26" s="108" t="str">
        <f t="shared" si="26"/>
        <v>PP_03</v>
      </c>
      <c r="I26" s="108" t="str">
        <f t="shared" si="26"/>
        <v>PP_03</v>
      </c>
      <c r="J26" s="108" t="str">
        <f t="shared" si="26"/>
        <v>PP_03</v>
      </c>
      <c r="K26" s="108" t="str">
        <f t="shared" si="26"/>
        <v>PP_03</v>
      </c>
      <c r="L26" s="108" t="str">
        <f t="shared" si="26"/>
        <v>PP_03</v>
      </c>
      <c r="M26" s="108" t="str">
        <f t="shared" si="26"/>
        <v>PP_03</v>
      </c>
      <c r="N26" s="108" t="str">
        <f t="shared" si="26"/>
        <v>PP_03</v>
      </c>
      <c r="O26" s="108" t="str">
        <f t="shared" si="26"/>
        <v>PP_03</v>
      </c>
      <c r="P26" s="108" t="str">
        <f t="shared" si="26"/>
        <v>PP_03</v>
      </c>
    </row>
    <row r="27" spans="4:16" x14ac:dyDescent="0.25">
      <c r="D27" s="108" t="str">
        <f t="shared" si="2"/>
        <v>PP_03</v>
      </c>
      <c r="E27" s="108" t="str">
        <f t="shared" ref="E27:P27" si="27">D27</f>
        <v>PP_03</v>
      </c>
      <c r="F27" s="108" t="str">
        <f t="shared" si="27"/>
        <v>PP_03</v>
      </c>
      <c r="G27" s="108" t="str">
        <f t="shared" si="27"/>
        <v>PP_03</v>
      </c>
      <c r="H27" s="108" t="str">
        <f t="shared" si="27"/>
        <v>PP_03</v>
      </c>
      <c r="I27" s="108" t="str">
        <f t="shared" si="27"/>
        <v>PP_03</v>
      </c>
      <c r="J27" s="108" t="str">
        <f t="shared" si="27"/>
        <v>PP_03</v>
      </c>
      <c r="K27" s="108" t="str">
        <f t="shared" si="27"/>
        <v>PP_03</v>
      </c>
      <c r="L27" s="108" t="str">
        <f t="shared" si="27"/>
        <v>PP_03</v>
      </c>
      <c r="M27" s="108" t="str">
        <f t="shared" si="27"/>
        <v>PP_03</v>
      </c>
      <c r="N27" s="108" t="str">
        <f t="shared" si="27"/>
        <v>PP_03</v>
      </c>
      <c r="O27" s="108" t="str">
        <f t="shared" si="27"/>
        <v>PP_03</v>
      </c>
      <c r="P27" s="108" t="str">
        <f t="shared" si="27"/>
        <v>PP_03</v>
      </c>
    </row>
    <row r="28" spans="4:16" x14ac:dyDescent="0.25">
      <c r="D28" s="108" t="str">
        <f t="shared" si="2"/>
        <v>PP_03</v>
      </c>
      <c r="E28" s="108" t="str">
        <f t="shared" ref="E28:P28" si="28">D28</f>
        <v>PP_03</v>
      </c>
      <c r="F28" s="108" t="str">
        <f t="shared" si="28"/>
        <v>PP_03</v>
      </c>
      <c r="G28" s="108" t="str">
        <f t="shared" si="28"/>
        <v>PP_03</v>
      </c>
      <c r="H28" s="108" t="str">
        <f t="shared" si="28"/>
        <v>PP_03</v>
      </c>
      <c r="I28" s="108" t="str">
        <f t="shared" si="28"/>
        <v>PP_03</v>
      </c>
      <c r="J28" s="108" t="str">
        <f t="shared" si="28"/>
        <v>PP_03</v>
      </c>
      <c r="K28" s="108" t="str">
        <f t="shared" si="28"/>
        <v>PP_03</v>
      </c>
      <c r="L28" s="108" t="str">
        <f t="shared" si="28"/>
        <v>PP_03</v>
      </c>
      <c r="M28" s="108" t="str">
        <f t="shared" si="28"/>
        <v>PP_03</v>
      </c>
      <c r="N28" s="108" t="str">
        <f t="shared" si="28"/>
        <v>PP_03</v>
      </c>
      <c r="O28" s="108" t="str">
        <f t="shared" si="28"/>
        <v>PP_03</v>
      </c>
      <c r="P28" s="108" t="str">
        <f t="shared" si="28"/>
        <v>PP_03</v>
      </c>
    </row>
    <row r="29" spans="4:16" x14ac:dyDescent="0.25">
      <c r="D29" s="108" t="str">
        <f t="shared" si="2"/>
        <v>PP_03</v>
      </c>
      <c r="E29" s="108" t="str">
        <f t="shared" ref="E29:P29" si="29">D29</f>
        <v>PP_03</v>
      </c>
      <c r="F29" s="108" t="str">
        <f t="shared" si="29"/>
        <v>PP_03</v>
      </c>
      <c r="G29" s="108" t="str">
        <f t="shared" si="29"/>
        <v>PP_03</v>
      </c>
      <c r="H29" s="108" t="str">
        <f t="shared" si="29"/>
        <v>PP_03</v>
      </c>
      <c r="I29" s="108" t="str">
        <f t="shared" si="29"/>
        <v>PP_03</v>
      </c>
      <c r="J29" s="108" t="str">
        <f t="shared" si="29"/>
        <v>PP_03</v>
      </c>
      <c r="K29" s="108" t="str">
        <f t="shared" si="29"/>
        <v>PP_03</v>
      </c>
      <c r="L29" s="108" t="str">
        <f t="shared" si="29"/>
        <v>PP_03</v>
      </c>
      <c r="M29" s="108" t="str">
        <f t="shared" si="29"/>
        <v>PP_03</v>
      </c>
      <c r="N29" s="108" t="str">
        <f t="shared" si="29"/>
        <v>PP_03</v>
      </c>
      <c r="O29" s="108" t="str">
        <f t="shared" si="29"/>
        <v>PP_03</v>
      </c>
      <c r="P29" s="108" t="str">
        <f t="shared" si="29"/>
        <v>PP_03</v>
      </c>
    </row>
    <row r="30" spans="4:16" x14ac:dyDescent="0.25">
      <c r="D30" s="108" t="str">
        <f t="shared" si="2"/>
        <v>PP_03</v>
      </c>
      <c r="E30" s="108" t="str">
        <f t="shared" ref="E30:P30" si="30">D30</f>
        <v>PP_03</v>
      </c>
      <c r="F30" s="108" t="str">
        <f t="shared" si="30"/>
        <v>PP_03</v>
      </c>
      <c r="G30" s="108" t="str">
        <f t="shared" si="30"/>
        <v>PP_03</v>
      </c>
      <c r="H30" s="108" t="str">
        <f t="shared" si="30"/>
        <v>PP_03</v>
      </c>
      <c r="I30" s="108" t="str">
        <f t="shared" si="30"/>
        <v>PP_03</v>
      </c>
      <c r="J30" s="108" t="str">
        <f t="shared" si="30"/>
        <v>PP_03</v>
      </c>
      <c r="K30" s="108" t="str">
        <f t="shared" si="30"/>
        <v>PP_03</v>
      </c>
      <c r="L30" s="108" t="str">
        <f t="shared" si="30"/>
        <v>PP_03</v>
      </c>
      <c r="M30" s="108" t="str">
        <f t="shared" si="30"/>
        <v>PP_03</v>
      </c>
      <c r="N30" s="108" t="str">
        <f t="shared" si="30"/>
        <v>PP_03</v>
      </c>
      <c r="O30" s="108" t="str">
        <f t="shared" si="30"/>
        <v>PP_03</v>
      </c>
      <c r="P30" s="108" t="str">
        <f t="shared" si="30"/>
        <v>PP_03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09" t="s">
        <v>125</v>
      </c>
      <c r="E1" s="109" t="str">
        <f>D1</f>
        <v>PP_04</v>
      </c>
      <c r="F1" s="109" t="str">
        <f t="shared" ref="F1:P1" si="0">E1</f>
        <v>PP_04</v>
      </c>
      <c r="G1" s="109" t="str">
        <f t="shared" si="0"/>
        <v>PP_04</v>
      </c>
      <c r="H1" s="109" t="str">
        <f t="shared" si="0"/>
        <v>PP_04</v>
      </c>
      <c r="I1" s="109" t="str">
        <f t="shared" si="0"/>
        <v>PP_04</v>
      </c>
      <c r="J1" s="109" t="str">
        <f t="shared" si="0"/>
        <v>PP_04</v>
      </c>
      <c r="K1" s="109" t="str">
        <f t="shared" si="0"/>
        <v>PP_04</v>
      </c>
      <c r="L1" s="109" t="str">
        <f t="shared" si="0"/>
        <v>PP_04</v>
      </c>
      <c r="M1" s="109" t="str">
        <f t="shared" si="0"/>
        <v>PP_04</v>
      </c>
      <c r="N1" s="109" t="str">
        <f t="shared" si="0"/>
        <v>PP_04</v>
      </c>
      <c r="O1" s="109" t="str">
        <f t="shared" si="0"/>
        <v>PP_04</v>
      </c>
      <c r="P1" s="109" t="str">
        <f t="shared" si="0"/>
        <v>PP_04</v>
      </c>
    </row>
    <row r="2" spans="1:16" x14ac:dyDescent="0.25">
      <c r="A2" s="106" t="s">
        <v>177</v>
      </c>
      <c r="B2" s="107" t="s">
        <v>196</v>
      </c>
      <c r="D2" s="109" t="str">
        <f>D1</f>
        <v>PP_04</v>
      </c>
      <c r="E2" s="109" t="str">
        <f t="shared" ref="E2:P2" si="1">D2</f>
        <v>PP_04</v>
      </c>
      <c r="F2" s="109" t="str">
        <f t="shared" si="1"/>
        <v>PP_04</v>
      </c>
      <c r="G2" s="109" t="str">
        <f t="shared" si="1"/>
        <v>PP_04</v>
      </c>
      <c r="H2" s="109" t="str">
        <f t="shared" si="1"/>
        <v>PP_04</v>
      </c>
      <c r="I2" s="109" t="str">
        <f t="shared" si="1"/>
        <v>PP_04</v>
      </c>
      <c r="J2" s="109" t="str">
        <f t="shared" si="1"/>
        <v>PP_04</v>
      </c>
      <c r="K2" s="109" t="str">
        <f t="shared" si="1"/>
        <v>PP_04</v>
      </c>
      <c r="L2" s="109" t="str">
        <f t="shared" si="1"/>
        <v>PP_04</v>
      </c>
      <c r="M2" s="109" t="str">
        <f t="shared" si="1"/>
        <v>PP_04</v>
      </c>
      <c r="N2" s="109" t="str">
        <f t="shared" si="1"/>
        <v>PP_04</v>
      </c>
      <c r="O2" s="109" t="str">
        <f t="shared" si="1"/>
        <v>PP_04</v>
      </c>
      <c r="P2" s="109" t="str">
        <f t="shared" si="1"/>
        <v>PP_04</v>
      </c>
    </row>
    <row r="3" spans="1:16" x14ac:dyDescent="0.25">
      <c r="A3" s="74"/>
      <c r="B3" s="70"/>
      <c r="D3" s="109" t="str">
        <f t="shared" ref="D3:D30" si="2">D2</f>
        <v>PP_04</v>
      </c>
      <c r="E3" s="109" t="str">
        <f t="shared" ref="E3:P3" si="3">D3</f>
        <v>PP_04</v>
      </c>
      <c r="F3" s="109" t="str">
        <f t="shared" si="3"/>
        <v>PP_04</v>
      </c>
      <c r="G3" s="109" t="str">
        <f t="shared" si="3"/>
        <v>PP_04</v>
      </c>
      <c r="H3" s="109" t="str">
        <f t="shared" si="3"/>
        <v>PP_04</v>
      </c>
      <c r="I3" s="109" t="str">
        <f t="shared" si="3"/>
        <v>PP_04</v>
      </c>
      <c r="J3" s="109" t="str">
        <f t="shared" si="3"/>
        <v>PP_04</v>
      </c>
      <c r="K3" s="109" t="str">
        <f t="shared" si="3"/>
        <v>PP_04</v>
      </c>
      <c r="L3" s="109" t="str">
        <f t="shared" si="3"/>
        <v>PP_04</v>
      </c>
      <c r="M3" s="109" t="str">
        <f t="shared" si="3"/>
        <v>PP_04</v>
      </c>
      <c r="N3" s="109" t="str">
        <f t="shared" si="3"/>
        <v>PP_04</v>
      </c>
      <c r="O3" s="109" t="str">
        <f t="shared" si="3"/>
        <v>PP_04</v>
      </c>
      <c r="P3" s="109" t="str">
        <f t="shared" si="3"/>
        <v>PP_04</v>
      </c>
    </row>
    <row r="4" spans="1:16" x14ac:dyDescent="0.25">
      <c r="A4" s="75"/>
      <c r="B4" s="76"/>
      <c r="D4" s="109" t="str">
        <f t="shared" si="2"/>
        <v>PP_04</v>
      </c>
      <c r="E4" s="109" t="str">
        <f t="shared" ref="E4:P4" si="4">D4</f>
        <v>PP_04</v>
      </c>
      <c r="F4" s="109" t="str">
        <f t="shared" si="4"/>
        <v>PP_04</v>
      </c>
      <c r="G4" s="109" t="str">
        <f t="shared" si="4"/>
        <v>PP_04</v>
      </c>
      <c r="H4" s="109" t="str">
        <f t="shared" si="4"/>
        <v>PP_04</v>
      </c>
      <c r="I4" s="109" t="str">
        <f t="shared" si="4"/>
        <v>PP_04</v>
      </c>
      <c r="J4" s="109" t="str">
        <f t="shared" si="4"/>
        <v>PP_04</v>
      </c>
      <c r="K4" s="109" t="str">
        <f t="shared" si="4"/>
        <v>PP_04</v>
      </c>
      <c r="L4" s="109" t="str">
        <f t="shared" si="4"/>
        <v>PP_04</v>
      </c>
      <c r="M4" s="109" t="str">
        <f t="shared" si="4"/>
        <v>PP_04</v>
      </c>
      <c r="N4" s="109" t="str">
        <f t="shared" si="4"/>
        <v>PP_04</v>
      </c>
      <c r="O4" s="109" t="str">
        <f t="shared" si="4"/>
        <v>PP_04</v>
      </c>
      <c r="P4" s="109" t="str">
        <f t="shared" si="4"/>
        <v>PP_04</v>
      </c>
    </row>
    <row r="5" spans="1:16" x14ac:dyDescent="0.25">
      <c r="A5" s="74"/>
      <c r="B5" s="70"/>
      <c r="D5" s="109" t="str">
        <f t="shared" si="2"/>
        <v>PP_04</v>
      </c>
      <c r="E5" s="109" t="str">
        <f t="shared" ref="E5:P5" si="5">D5</f>
        <v>PP_04</v>
      </c>
      <c r="F5" s="109" t="str">
        <f t="shared" si="5"/>
        <v>PP_04</v>
      </c>
      <c r="G5" s="109" t="str">
        <f t="shared" si="5"/>
        <v>PP_04</v>
      </c>
      <c r="H5" s="109" t="str">
        <f t="shared" si="5"/>
        <v>PP_04</v>
      </c>
      <c r="I5" s="109" t="str">
        <f t="shared" si="5"/>
        <v>PP_04</v>
      </c>
      <c r="J5" s="109" t="str">
        <f t="shared" si="5"/>
        <v>PP_04</v>
      </c>
      <c r="K5" s="109" t="str">
        <f t="shared" si="5"/>
        <v>PP_04</v>
      </c>
      <c r="L5" s="109" t="str">
        <f t="shared" si="5"/>
        <v>PP_04</v>
      </c>
      <c r="M5" s="109" t="str">
        <f t="shared" si="5"/>
        <v>PP_04</v>
      </c>
      <c r="N5" s="109" t="str">
        <f t="shared" si="5"/>
        <v>PP_04</v>
      </c>
      <c r="O5" s="109" t="str">
        <f t="shared" si="5"/>
        <v>PP_04</v>
      </c>
      <c r="P5" s="109" t="str">
        <f t="shared" si="5"/>
        <v>PP_04</v>
      </c>
    </row>
    <row r="6" spans="1:16" x14ac:dyDescent="0.25">
      <c r="A6" s="74"/>
      <c r="B6" s="70"/>
      <c r="D6" s="109" t="str">
        <f t="shared" si="2"/>
        <v>PP_04</v>
      </c>
      <c r="E6" s="109" t="str">
        <f t="shared" ref="E6:P6" si="6">D6</f>
        <v>PP_04</v>
      </c>
      <c r="F6" s="109" t="str">
        <f t="shared" si="6"/>
        <v>PP_04</v>
      </c>
      <c r="G6" s="109" t="str">
        <f t="shared" si="6"/>
        <v>PP_04</v>
      </c>
      <c r="H6" s="109" t="str">
        <f t="shared" si="6"/>
        <v>PP_04</v>
      </c>
      <c r="I6" s="109" t="str">
        <f t="shared" si="6"/>
        <v>PP_04</v>
      </c>
      <c r="J6" s="109" t="str">
        <f t="shared" si="6"/>
        <v>PP_04</v>
      </c>
      <c r="K6" s="109" t="str">
        <f t="shared" si="6"/>
        <v>PP_04</v>
      </c>
      <c r="L6" s="109" t="str">
        <f t="shared" si="6"/>
        <v>PP_04</v>
      </c>
      <c r="M6" s="109" t="str">
        <f t="shared" si="6"/>
        <v>PP_04</v>
      </c>
      <c r="N6" s="109" t="str">
        <f t="shared" si="6"/>
        <v>PP_04</v>
      </c>
      <c r="O6" s="109" t="str">
        <f t="shared" si="6"/>
        <v>PP_04</v>
      </c>
      <c r="P6" s="109" t="str">
        <f t="shared" si="6"/>
        <v>PP_04</v>
      </c>
    </row>
    <row r="7" spans="1:16" x14ac:dyDescent="0.25">
      <c r="D7" s="109" t="str">
        <f t="shared" si="2"/>
        <v>PP_04</v>
      </c>
      <c r="E7" s="109" t="str">
        <f t="shared" ref="E7:P7" si="7">D7</f>
        <v>PP_04</v>
      </c>
      <c r="F7" s="109" t="str">
        <f t="shared" si="7"/>
        <v>PP_04</v>
      </c>
      <c r="G7" s="109" t="str">
        <f t="shared" si="7"/>
        <v>PP_04</v>
      </c>
      <c r="H7" s="109" t="str">
        <f t="shared" si="7"/>
        <v>PP_04</v>
      </c>
      <c r="I7" s="109" t="str">
        <f t="shared" si="7"/>
        <v>PP_04</v>
      </c>
      <c r="J7" s="109" t="str">
        <f t="shared" si="7"/>
        <v>PP_04</v>
      </c>
      <c r="K7" s="109" t="str">
        <f t="shared" si="7"/>
        <v>PP_04</v>
      </c>
      <c r="L7" s="109" t="str">
        <f t="shared" si="7"/>
        <v>PP_04</v>
      </c>
      <c r="M7" s="109" t="str">
        <f t="shared" si="7"/>
        <v>PP_04</v>
      </c>
      <c r="N7" s="109" t="str">
        <f t="shared" si="7"/>
        <v>PP_04</v>
      </c>
      <c r="O7" s="109" t="str">
        <f t="shared" si="7"/>
        <v>PP_04</v>
      </c>
      <c r="P7" s="109" t="str">
        <f t="shared" si="7"/>
        <v>PP_04</v>
      </c>
    </row>
    <row r="8" spans="1:16" x14ac:dyDescent="0.25">
      <c r="D8" s="109" t="str">
        <f t="shared" si="2"/>
        <v>PP_04</v>
      </c>
      <c r="E8" s="109" t="str">
        <f t="shared" ref="E8:P8" si="8">D8</f>
        <v>PP_04</v>
      </c>
      <c r="F8" s="109" t="str">
        <f t="shared" si="8"/>
        <v>PP_04</v>
      </c>
      <c r="G8" s="109" t="str">
        <f t="shared" si="8"/>
        <v>PP_04</v>
      </c>
      <c r="H8" s="109" t="str">
        <f t="shared" si="8"/>
        <v>PP_04</v>
      </c>
      <c r="I8" s="109" t="str">
        <f t="shared" si="8"/>
        <v>PP_04</v>
      </c>
      <c r="J8" s="109" t="str">
        <f t="shared" si="8"/>
        <v>PP_04</v>
      </c>
      <c r="K8" s="109" t="str">
        <f t="shared" si="8"/>
        <v>PP_04</v>
      </c>
      <c r="L8" s="109" t="str">
        <f t="shared" si="8"/>
        <v>PP_04</v>
      </c>
      <c r="M8" s="109" t="str">
        <f t="shared" si="8"/>
        <v>PP_04</v>
      </c>
      <c r="N8" s="109" t="str">
        <f t="shared" si="8"/>
        <v>PP_04</v>
      </c>
      <c r="O8" s="109" t="str">
        <f t="shared" si="8"/>
        <v>PP_04</v>
      </c>
      <c r="P8" s="109" t="str">
        <f t="shared" si="8"/>
        <v>PP_04</v>
      </c>
    </row>
    <row r="9" spans="1:16" x14ac:dyDescent="0.25">
      <c r="D9" s="109" t="str">
        <f t="shared" si="2"/>
        <v>PP_04</v>
      </c>
      <c r="E9" s="109" t="str">
        <f t="shared" ref="E9:P9" si="9">D9</f>
        <v>PP_04</v>
      </c>
      <c r="F9" s="109" t="str">
        <f t="shared" si="9"/>
        <v>PP_04</v>
      </c>
      <c r="G9" s="109" t="str">
        <f t="shared" si="9"/>
        <v>PP_04</v>
      </c>
      <c r="H9" s="109" t="str">
        <f t="shared" si="9"/>
        <v>PP_04</v>
      </c>
      <c r="I9" s="109" t="str">
        <f t="shared" si="9"/>
        <v>PP_04</v>
      </c>
      <c r="J9" s="109" t="str">
        <f t="shared" si="9"/>
        <v>PP_04</v>
      </c>
      <c r="K9" s="109" t="str">
        <f t="shared" si="9"/>
        <v>PP_04</v>
      </c>
      <c r="L9" s="109" t="str">
        <f t="shared" si="9"/>
        <v>PP_04</v>
      </c>
      <c r="M9" s="109" t="str">
        <f t="shared" si="9"/>
        <v>PP_04</v>
      </c>
      <c r="N9" s="109" t="str">
        <f t="shared" si="9"/>
        <v>PP_04</v>
      </c>
      <c r="O9" s="109" t="str">
        <f t="shared" si="9"/>
        <v>PP_04</v>
      </c>
      <c r="P9" s="109" t="str">
        <f t="shared" si="9"/>
        <v>PP_04</v>
      </c>
    </row>
    <row r="10" spans="1:16" x14ac:dyDescent="0.25">
      <c r="D10" s="109" t="str">
        <f t="shared" si="2"/>
        <v>PP_04</v>
      </c>
      <c r="E10" s="109" t="str">
        <f t="shared" ref="E10:P10" si="10">D10</f>
        <v>PP_04</v>
      </c>
      <c r="F10" s="109" t="str">
        <f t="shared" si="10"/>
        <v>PP_04</v>
      </c>
      <c r="G10" s="109" t="str">
        <f t="shared" si="10"/>
        <v>PP_04</v>
      </c>
      <c r="H10" s="109" t="str">
        <f t="shared" si="10"/>
        <v>PP_04</v>
      </c>
      <c r="I10" s="109" t="str">
        <f t="shared" si="10"/>
        <v>PP_04</v>
      </c>
      <c r="J10" s="109" t="str">
        <f t="shared" si="10"/>
        <v>PP_04</v>
      </c>
      <c r="K10" s="109" t="str">
        <f t="shared" si="10"/>
        <v>PP_04</v>
      </c>
      <c r="L10" s="109" t="str">
        <f t="shared" si="10"/>
        <v>PP_04</v>
      </c>
      <c r="M10" s="109" t="str">
        <f t="shared" si="10"/>
        <v>PP_04</v>
      </c>
      <c r="N10" s="109" t="str">
        <f t="shared" si="10"/>
        <v>PP_04</v>
      </c>
      <c r="O10" s="109" t="str">
        <f t="shared" si="10"/>
        <v>PP_04</v>
      </c>
      <c r="P10" s="109" t="str">
        <f t="shared" si="10"/>
        <v>PP_04</v>
      </c>
    </row>
    <row r="11" spans="1:16" x14ac:dyDescent="0.25">
      <c r="D11" s="109" t="str">
        <f t="shared" si="2"/>
        <v>PP_04</v>
      </c>
      <c r="E11" s="109" t="str">
        <f t="shared" ref="E11:P11" si="11">D11</f>
        <v>PP_04</v>
      </c>
      <c r="F11" s="109" t="str">
        <f t="shared" si="11"/>
        <v>PP_04</v>
      </c>
      <c r="G11" s="109" t="str">
        <f t="shared" si="11"/>
        <v>PP_04</v>
      </c>
      <c r="H11" s="109" t="str">
        <f t="shared" si="11"/>
        <v>PP_04</v>
      </c>
      <c r="I11" s="109" t="str">
        <f t="shared" si="11"/>
        <v>PP_04</v>
      </c>
      <c r="J11" s="109" t="str">
        <f t="shared" si="11"/>
        <v>PP_04</v>
      </c>
      <c r="K11" s="109" t="str">
        <f t="shared" si="11"/>
        <v>PP_04</v>
      </c>
      <c r="L11" s="109" t="str">
        <f t="shared" si="11"/>
        <v>PP_04</v>
      </c>
      <c r="M11" s="109" t="str">
        <f t="shared" si="11"/>
        <v>PP_04</v>
      </c>
      <c r="N11" s="109" t="str">
        <f t="shared" si="11"/>
        <v>PP_04</v>
      </c>
      <c r="O11" s="109" t="str">
        <f t="shared" si="11"/>
        <v>PP_04</v>
      </c>
      <c r="P11" s="109" t="str">
        <f t="shared" si="11"/>
        <v>PP_04</v>
      </c>
    </row>
    <row r="12" spans="1:16" x14ac:dyDescent="0.25">
      <c r="D12" s="109" t="str">
        <f t="shared" si="2"/>
        <v>PP_04</v>
      </c>
      <c r="E12" s="109" t="str">
        <f t="shared" ref="E12:P12" si="12">D12</f>
        <v>PP_04</v>
      </c>
      <c r="F12" s="109" t="str">
        <f t="shared" si="12"/>
        <v>PP_04</v>
      </c>
      <c r="G12" s="109" t="str">
        <f t="shared" si="12"/>
        <v>PP_04</v>
      </c>
      <c r="H12" s="109" t="str">
        <f t="shared" si="12"/>
        <v>PP_04</v>
      </c>
      <c r="I12" s="109" t="str">
        <f t="shared" si="12"/>
        <v>PP_04</v>
      </c>
      <c r="J12" s="109" t="str">
        <f t="shared" si="12"/>
        <v>PP_04</v>
      </c>
      <c r="K12" s="109" t="str">
        <f t="shared" si="12"/>
        <v>PP_04</v>
      </c>
      <c r="L12" s="109" t="str">
        <f t="shared" si="12"/>
        <v>PP_04</v>
      </c>
      <c r="M12" s="109" t="str">
        <f t="shared" si="12"/>
        <v>PP_04</v>
      </c>
      <c r="N12" s="109" t="str">
        <f t="shared" si="12"/>
        <v>PP_04</v>
      </c>
      <c r="O12" s="109" t="str">
        <f t="shared" si="12"/>
        <v>PP_04</v>
      </c>
      <c r="P12" s="109" t="str">
        <f t="shared" si="12"/>
        <v>PP_04</v>
      </c>
    </row>
    <row r="13" spans="1:16" x14ac:dyDescent="0.25">
      <c r="D13" s="109" t="str">
        <f t="shared" si="2"/>
        <v>PP_04</v>
      </c>
      <c r="E13" s="109" t="str">
        <f t="shared" ref="E13:P13" si="13">D13</f>
        <v>PP_04</v>
      </c>
      <c r="F13" s="109" t="str">
        <f t="shared" si="13"/>
        <v>PP_04</v>
      </c>
      <c r="G13" s="109" t="str">
        <f t="shared" si="13"/>
        <v>PP_04</v>
      </c>
      <c r="H13" s="109" t="str">
        <f t="shared" si="13"/>
        <v>PP_04</v>
      </c>
      <c r="I13" s="109" t="str">
        <f t="shared" si="13"/>
        <v>PP_04</v>
      </c>
      <c r="J13" s="109" t="str">
        <f t="shared" si="13"/>
        <v>PP_04</v>
      </c>
      <c r="K13" s="109" t="str">
        <f t="shared" si="13"/>
        <v>PP_04</v>
      </c>
      <c r="L13" s="109" t="str">
        <f t="shared" si="13"/>
        <v>PP_04</v>
      </c>
      <c r="M13" s="109" t="str">
        <f t="shared" si="13"/>
        <v>PP_04</v>
      </c>
      <c r="N13" s="109" t="str">
        <f t="shared" si="13"/>
        <v>PP_04</v>
      </c>
      <c r="O13" s="109" t="str">
        <f t="shared" si="13"/>
        <v>PP_04</v>
      </c>
      <c r="P13" s="109" t="str">
        <f t="shared" si="13"/>
        <v>PP_04</v>
      </c>
    </row>
    <row r="14" spans="1:16" x14ac:dyDescent="0.25">
      <c r="D14" s="109" t="str">
        <f t="shared" si="2"/>
        <v>PP_04</v>
      </c>
      <c r="E14" s="109" t="str">
        <f t="shared" ref="E14:P14" si="14">D14</f>
        <v>PP_04</v>
      </c>
      <c r="F14" s="109" t="str">
        <f t="shared" si="14"/>
        <v>PP_04</v>
      </c>
      <c r="G14" s="109" t="str">
        <f t="shared" si="14"/>
        <v>PP_04</v>
      </c>
      <c r="H14" s="109" t="str">
        <f t="shared" si="14"/>
        <v>PP_04</v>
      </c>
      <c r="I14" s="109" t="str">
        <f t="shared" si="14"/>
        <v>PP_04</v>
      </c>
      <c r="J14" s="109" t="str">
        <f t="shared" si="14"/>
        <v>PP_04</v>
      </c>
      <c r="K14" s="109" t="str">
        <f t="shared" si="14"/>
        <v>PP_04</v>
      </c>
      <c r="L14" s="109" t="str">
        <f t="shared" si="14"/>
        <v>PP_04</v>
      </c>
      <c r="M14" s="109" t="str">
        <f t="shared" si="14"/>
        <v>PP_04</v>
      </c>
      <c r="N14" s="109" t="str">
        <f t="shared" si="14"/>
        <v>PP_04</v>
      </c>
      <c r="O14" s="109" t="str">
        <f t="shared" si="14"/>
        <v>PP_04</v>
      </c>
      <c r="P14" s="109" t="str">
        <f t="shared" si="14"/>
        <v>PP_04</v>
      </c>
    </row>
    <row r="15" spans="1:16" x14ac:dyDescent="0.25">
      <c r="D15" s="109" t="str">
        <f t="shared" si="2"/>
        <v>PP_04</v>
      </c>
      <c r="E15" s="109" t="str">
        <f t="shared" ref="E15:P15" si="15">D15</f>
        <v>PP_04</v>
      </c>
      <c r="F15" s="109" t="str">
        <f t="shared" si="15"/>
        <v>PP_04</v>
      </c>
      <c r="G15" s="109" t="str">
        <f t="shared" si="15"/>
        <v>PP_04</v>
      </c>
      <c r="H15" s="109" t="str">
        <f t="shared" si="15"/>
        <v>PP_04</v>
      </c>
      <c r="I15" s="109" t="str">
        <f t="shared" si="15"/>
        <v>PP_04</v>
      </c>
      <c r="J15" s="109" t="str">
        <f t="shared" si="15"/>
        <v>PP_04</v>
      </c>
      <c r="K15" s="109" t="str">
        <f t="shared" si="15"/>
        <v>PP_04</v>
      </c>
      <c r="L15" s="109" t="str">
        <f t="shared" si="15"/>
        <v>PP_04</v>
      </c>
      <c r="M15" s="109" t="str">
        <f t="shared" si="15"/>
        <v>PP_04</v>
      </c>
      <c r="N15" s="109" t="str">
        <f t="shared" si="15"/>
        <v>PP_04</v>
      </c>
      <c r="O15" s="109" t="str">
        <f t="shared" si="15"/>
        <v>PP_04</v>
      </c>
      <c r="P15" s="109" t="str">
        <f t="shared" si="15"/>
        <v>PP_04</v>
      </c>
    </row>
    <row r="16" spans="1:16" x14ac:dyDescent="0.25">
      <c r="D16" s="109" t="str">
        <f t="shared" si="2"/>
        <v>PP_04</v>
      </c>
      <c r="E16" s="109" t="str">
        <f t="shared" ref="E16:P16" si="16">D16</f>
        <v>PP_04</v>
      </c>
      <c r="F16" s="109" t="str">
        <f t="shared" si="16"/>
        <v>PP_04</v>
      </c>
      <c r="G16" s="109" t="str">
        <f t="shared" si="16"/>
        <v>PP_04</v>
      </c>
      <c r="H16" s="109" t="str">
        <f t="shared" si="16"/>
        <v>PP_04</v>
      </c>
      <c r="I16" s="109" t="str">
        <f t="shared" si="16"/>
        <v>PP_04</v>
      </c>
      <c r="J16" s="109" t="str">
        <f t="shared" si="16"/>
        <v>PP_04</v>
      </c>
      <c r="K16" s="109" t="str">
        <f t="shared" si="16"/>
        <v>PP_04</v>
      </c>
      <c r="L16" s="109" t="str">
        <f t="shared" si="16"/>
        <v>PP_04</v>
      </c>
      <c r="M16" s="109" t="str">
        <f t="shared" si="16"/>
        <v>PP_04</v>
      </c>
      <c r="N16" s="109" t="str">
        <f t="shared" si="16"/>
        <v>PP_04</v>
      </c>
      <c r="O16" s="109" t="str">
        <f t="shared" si="16"/>
        <v>PP_04</v>
      </c>
      <c r="P16" s="109" t="str">
        <f t="shared" si="16"/>
        <v>PP_04</v>
      </c>
    </row>
    <row r="17" spans="4:16" x14ac:dyDescent="0.25">
      <c r="D17" s="109" t="str">
        <f t="shared" si="2"/>
        <v>PP_04</v>
      </c>
      <c r="E17" s="109" t="str">
        <f t="shared" ref="E17:P17" si="17">D17</f>
        <v>PP_04</v>
      </c>
      <c r="F17" s="109" t="str">
        <f t="shared" si="17"/>
        <v>PP_04</v>
      </c>
      <c r="G17" s="109" t="str">
        <f t="shared" si="17"/>
        <v>PP_04</v>
      </c>
      <c r="H17" s="109" t="str">
        <f t="shared" si="17"/>
        <v>PP_04</v>
      </c>
      <c r="I17" s="109" t="str">
        <f t="shared" si="17"/>
        <v>PP_04</v>
      </c>
      <c r="J17" s="109" t="str">
        <f t="shared" si="17"/>
        <v>PP_04</v>
      </c>
      <c r="K17" s="109" t="str">
        <f t="shared" si="17"/>
        <v>PP_04</v>
      </c>
      <c r="L17" s="109" t="str">
        <f t="shared" si="17"/>
        <v>PP_04</v>
      </c>
      <c r="M17" s="109" t="str">
        <f t="shared" si="17"/>
        <v>PP_04</v>
      </c>
      <c r="N17" s="109" t="str">
        <f t="shared" si="17"/>
        <v>PP_04</v>
      </c>
      <c r="O17" s="109" t="str">
        <f t="shared" si="17"/>
        <v>PP_04</v>
      </c>
      <c r="P17" s="109" t="str">
        <f t="shared" si="17"/>
        <v>PP_04</v>
      </c>
    </row>
    <row r="18" spans="4:16" x14ac:dyDescent="0.25">
      <c r="D18" s="109" t="str">
        <f t="shared" si="2"/>
        <v>PP_04</v>
      </c>
      <c r="E18" s="109" t="str">
        <f t="shared" ref="E18:P18" si="18">D18</f>
        <v>PP_04</v>
      </c>
      <c r="F18" s="109" t="str">
        <f t="shared" si="18"/>
        <v>PP_04</v>
      </c>
      <c r="G18" s="109" t="str">
        <f t="shared" si="18"/>
        <v>PP_04</v>
      </c>
      <c r="H18" s="109" t="str">
        <f t="shared" si="18"/>
        <v>PP_04</v>
      </c>
      <c r="I18" s="109" t="str">
        <f t="shared" si="18"/>
        <v>PP_04</v>
      </c>
      <c r="J18" s="109" t="str">
        <f t="shared" si="18"/>
        <v>PP_04</v>
      </c>
      <c r="K18" s="109" t="str">
        <f t="shared" si="18"/>
        <v>PP_04</v>
      </c>
      <c r="L18" s="109" t="str">
        <f t="shared" si="18"/>
        <v>PP_04</v>
      </c>
      <c r="M18" s="109" t="str">
        <f t="shared" si="18"/>
        <v>PP_04</v>
      </c>
      <c r="N18" s="109" t="str">
        <f t="shared" si="18"/>
        <v>PP_04</v>
      </c>
      <c r="O18" s="109" t="str">
        <f t="shared" si="18"/>
        <v>PP_04</v>
      </c>
      <c r="P18" s="109" t="str">
        <f t="shared" si="18"/>
        <v>PP_04</v>
      </c>
    </row>
    <row r="19" spans="4:16" x14ac:dyDescent="0.25">
      <c r="D19" s="109" t="str">
        <f t="shared" si="2"/>
        <v>PP_04</v>
      </c>
      <c r="E19" s="109" t="str">
        <f t="shared" ref="E19:P19" si="19">D19</f>
        <v>PP_04</v>
      </c>
      <c r="F19" s="109" t="str">
        <f t="shared" si="19"/>
        <v>PP_04</v>
      </c>
      <c r="G19" s="109" t="str">
        <f t="shared" si="19"/>
        <v>PP_04</v>
      </c>
      <c r="H19" s="109" t="str">
        <f t="shared" si="19"/>
        <v>PP_04</v>
      </c>
      <c r="I19" s="109" t="str">
        <f t="shared" si="19"/>
        <v>PP_04</v>
      </c>
      <c r="J19" s="109" t="str">
        <f t="shared" si="19"/>
        <v>PP_04</v>
      </c>
      <c r="K19" s="109" t="str">
        <f t="shared" si="19"/>
        <v>PP_04</v>
      </c>
      <c r="L19" s="109" t="str">
        <f t="shared" si="19"/>
        <v>PP_04</v>
      </c>
      <c r="M19" s="109" t="str">
        <f t="shared" si="19"/>
        <v>PP_04</v>
      </c>
      <c r="N19" s="109" t="str">
        <f t="shared" si="19"/>
        <v>PP_04</v>
      </c>
      <c r="O19" s="109" t="str">
        <f t="shared" si="19"/>
        <v>PP_04</v>
      </c>
      <c r="P19" s="109" t="str">
        <f t="shared" si="19"/>
        <v>PP_04</v>
      </c>
    </row>
    <row r="20" spans="4:16" x14ac:dyDescent="0.25">
      <c r="D20" s="109" t="str">
        <f t="shared" si="2"/>
        <v>PP_04</v>
      </c>
      <c r="E20" s="109" t="str">
        <f t="shared" ref="E20:P20" si="20">D20</f>
        <v>PP_04</v>
      </c>
      <c r="F20" s="109" t="str">
        <f t="shared" si="20"/>
        <v>PP_04</v>
      </c>
      <c r="G20" s="109" t="str">
        <f t="shared" si="20"/>
        <v>PP_04</v>
      </c>
      <c r="H20" s="109" t="str">
        <f t="shared" si="20"/>
        <v>PP_04</v>
      </c>
      <c r="I20" s="109" t="str">
        <f t="shared" si="20"/>
        <v>PP_04</v>
      </c>
      <c r="J20" s="109" t="str">
        <f t="shared" si="20"/>
        <v>PP_04</v>
      </c>
      <c r="K20" s="109" t="str">
        <f t="shared" si="20"/>
        <v>PP_04</v>
      </c>
      <c r="L20" s="109" t="str">
        <f t="shared" si="20"/>
        <v>PP_04</v>
      </c>
      <c r="M20" s="109" t="str">
        <f t="shared" si="20"/>
        <v>PP_04</v>
      </c>
      <c r="N20" s="109" t="str">
        <f t="shared" si="20"/>
        <v>PP_04</v>
      </c>
      <c r="O20" s="109" t="str">
        <f t="shared" si="20"/>
        <v>PP_04</v>
      </c>
      <c r="P20" s="109" t="str">
        <f t="shared" si="20"/>
        <v>PP_04</v>
      </c>
    </row>
    <row r="21" spans="4:16" x14ac:dyDescent="0.25">
      <c r="D21" s="109" t="str">
        <f t="shared" si="2"/>
        <v>PP_04</v>
      </c>
      <c r="E21" s="109" t="str">
        <f t="shared" ref="E21:P21" si="21">D21</f>
        <v>PP_04</v>
      </c>
      <c r="F21" s="109" t="str">
        <f t="shared" si="21"/>
        <v>PP_04</v>
      </c>
      <c r="G21" s="109" t="str">
        <f t="shared" si="21"/>
        <v>PP_04</v>
      </c>
      <c r="H21" s="109" t="str">
        <f t="shared" si="21"/>
        <v>PP_04</v>
      </c>
      <c r="I21" s="109" t="str">
        <f t="shared" si="21"/>
        <v>PP_04</v>
      </c>
      <c r="J21" s="109" t="str">
        <f t="shared" si="21"/>
        <v>PP_04</v>
      </c>
      <c r="K21" s="109" t="str">
        <f t="shared" si="21"/>
        <v>PP_04</v>
      </c>
      <c r="L21" s="109" t="str">
        <f t="shared" si="21"/>
        <v>PP_04</v>
      </c>
      <c r="M21" s="109" t="str">
        <f t="shared" si="21"/>
        <v>PP_04</v>
      </c>
      <c r="N21" s="109" t="str">
        <f t="shared" si="21"/>
        <v>PP_04</v>
      </c>
      <c r="O21" s="109" t="str">
        <f t="shared" si="21"/>
        <v>PP_04</v>
      </c>
      <c r="P21" s="109" t="str">
        <f t="shared" si="21"/>
        <v>PP_04</v>
      </c>
    </row>
    <row r="22" spans="4:16" x14ac:dyDescent="0.25">
      <c r="D22" s="109" t="str">
        <f t="shared" si="2"/>
        <v>PP_04</v>
      </c>
      <c r="E22" s="109" t="str">
        <f t="shared" ref="E22:P22" si="22">D22</f>
        <v>PP_04</v>
      </c>
      <c r="F22" s="109" t="str">
        <f t="shared" si="22"/>
        <v>PP_04</v>
      </c>
      <c r="G22" s="109" t="str">
        <f t="shared" si="22"/>
        <v>PP_04</v>
      </c>
      <c r="H22" s="109" t="str">
        <f t="shared" si="22"/>
        <v>PP_04</v>
      </c>
      <c r="I22" s="109" t="str">
        <f t="shared" si="22"/>
        <v>PP_04</v>
      </c>
      <c r="J22" s="109" t="str">
        <f t="shared" si="22"/>
        <v>PP_04</v>
      </c>
      <c r="K22" s="109" t="str">
        <f t="shared" si="22"/>
        <v>PP_04</v>
      </c>
      <c r="L22" s="109" t="str">
        <f t="shared" si="22"/>
        <v>PP_04</v>
      </c>
      <c r="M22" s="109" t="str">
        <f t="shared" si="22"/>
        <v>PP_04</v>
      </c>
      <c r="N22" s="109" t="str">
        <f t="shared" si="22"/>
        <v>PP_04</v>
      </c>
      <c r="O22" s="109" t="str">
        <f t="shared" si="22"/>
        <v>PP_04</v>
      </c>
      <c r="P22" s="109" t="str">
        <f t="shared" si="22"/>
        <v>PP_04</v>
      </c>
    </row>
    <row r="23" spans="4:16" x14ac:dyDescent="0.25">
      <c r="D23" s="109" t="str">
        <f t="shared" si="2"/>
        <v>PP_04</v>
      </c>
      <c r="E23" s="109" t="str">
        <f t="shared" ref="E23:P23" si="23">D23</f>
        <v>PP_04</v>
      </c>
      <c r="F23" s="109" t="str">
        <f t="shared" si="23"/>
        <v>PP_04</v>
      </c>
      <c r="G23" s="109" t="str">
        <f t="shared" si="23"/>
        <v>PP_04</v>
      </c>
      <c r="H23" s="109" t="str">
        <f t="shared" si="23"/>
        <v>PP_04</v>
      </c>
      <c r="I23" s="109" t="str">
        <f t="shared" si="23"/>
        <v>PP_04</v>
      </c>
      <c r="J23" s="109" t="str">
        <f t="shared" si="23"/>
        <v>PP_04</v>
      </c>
      <c r="K23" s="109" t="str">
        <f t="shared" si="23"/>
        <v>PP_04</v>
      </c>
      <c r="L23" s="109" t="str">
        <f t="shared" si="23"/>
        <v>PP_04</v>
      </c>
      <c r="M23" s="109" t="str">
        <f t="shared" si="23"/>
        <v>PP_04</v>
      </c>
      <c r="N23" s="109" t="str">
        <f t="shared" si="23"/>
        <v>PP_04</v>
      </c>
      <c r="O23" s="109" t="str">
        <f t="shared" si="23"/>
        <v>PP_04</v>
      </c>
      <c r="P23" s="109" t="str">
        <f t="shared" si="23"/>
        <v>PP_04</v>
      </c>
    </row>
    <row r="24" spans="4:16" x14ac:dyDescent="0.25">
      <c r="D24" s="109" t="str">
        <f t="shared" si="2"/>
        <v>PP_04</v>
      </c>
      <c r="E24" s="109" t="str">
        <f t="shared" ref="E24:P24" si="24">D24</f>
        <v>PP_04</v>
      </c>
      <c r="F24" s="109" t="str">
        <f t="shared" si="24"/>
        <v>PP_04</v>
      </c>
      <c r="G24" s="109" t="str">
        <f t="shared" si="24"/>
        <v>PP_04</v>
      </c>
      <c r="H24" s="109" t="str">
        <f t="shared" si="24"/>
        <v>PP_04</v>
      </c>
      <c r="I24" s="109" t="str">
        <f t="shared" si="24"/>
        <v>PP_04</v>
      </c>
      <c r="J24" s="109" t="str">
        <f t="shared" si="24"/>
        <v>PP_04</v>
      </c>
      <c r="K24" s="109" t="str">
        <f t="shared" si="24"/>
        <v>PP_04</v>
      </c>
      <c r="L24" s="109" t="str">
        <f t="shared" si="24"/>
        <v>PP_04</v>
      </c>
      <c r="M24" s="109" t="str">
        <f t="shared" si="24"/>
        <v>PP_04</v>
      </c>
      <c r="N24" s="109" t="str">
        <f t="shared" si="24"/>
        <v>PP_04</v>
      </c>
      <c r="O24" s="109" t="str">
        <f t="shared" si="24"/>
        <v>PP_04</v>
      </c>
      <c r="P24" s="109" t="str">
        <f t="shared" si="24"/>
        <v>PP_04</v>
      </c>
    </row>
    <row r="25" spans="4:16" x14ac:dyDescent="0.25">
      <c r="D25" s="109" t="str">
        <f t="shared" si="2"/>
        <v>PP_04</v>
      </c>
      <c r="E25" s="109" t="str">
        <f t="shared" ref="E25:P25" si="25">D25</f>
        <v>PP_04</v>
      </c>
      <c r="F25" s="109" t="str">
        <f t="shared" si="25"/>
        <v>PP_04</v>
      </c>
      <c r="G25" s="109" t="str">
        <f t="shared" si="25"/>
        <v>PP_04</v>
      </c>
      <c r="H25" s="109" t="str">
        <f t="shared" si="25"/>
        <v>PP_04</v>
      </c>
      <c r="I25" s="109" t="str">
        <f t="shared" si="25"/>
        <v>PP_04</v>
      </c>
      <c r="J25" s="109" t="str">
        <f t="shared" si="25"/>
        <v>PP_04</v>
      </c>
      <c r="K25" s="109" t="str">
        <f t="shared" si="25"/>
        <v>PP_04</v>
      </c>
      <c r="L25" s="109" t="str">
        <f t="shared" si="25"/>
        <v>PP_04</v>
      </c>
      <c r="M25" s="109" t="str">
        <f t="shared" si="25"/>
        <v>PP_04</v>
      </c>
      <c r="N25" s="109" t="str">
        <f t="shared" si="25"/>
        <v>PP_04</v>
      </c>
      <c r="O25" s="109" t="str">
        <f t="shared" si="25"/>
        <v>PP_04</v>
      </c>
      <c r="P25" s="109" t="str">
        <f t="shared" si="25"/>
        <v>PP_04</v>
      </c>
    </row>
    <row r="26" spans="4:16" x14ac:dyDescent="0.25">
      <c r="D26" s="109" t="str">
        <f t="shared" si="2"/>
        <v>PP_04</v>
      </c>
      <c r="E26" s="109" t="str">
        <f t="shared" ref="E26:P26" si="26">D26</f>
        <v>PP_04</v>
      </c>
      <c r="F26" s="109" t="str">
        <f t="shared" si="26"/>
        <v>PP_04</v>
      </c>
      <c r="G26" s="109" t="str">
        <f t="shared" si="26"/>
        <v>PP_04</v>
      </c>
      <c r="H26" s="109" t="str">
        <f t="shared" si="26"/>
        <v>PP_04</v>
      </c>
      <c r="I26" s="109" t="str">
        <f t="shared" si="26"/>
        <v>PP_04</v>
      </c>
      <c r="J26" s="109" t="str">
        <f t="shared" si="26"/>
        <v>PP_04</v>
      </c>
      <c r="K26" s="109" t="str">
        <f t="shared" si="26"/>
        <v>PP_04</v>
      </c>
      <c r="L26" s="109" t="str">
        <f t="shared" si="26"/>
        <v>PP_04</v>
      </c>
      <c r="M26" s="109" t="str">
        <f t="shared" si="26"/>
        <v>PP_04</v>
      </c>
      <c r="N26" s="109" t="str">
        <f t="shared" si="26"/>
        <v>PP_04</v>
      </c>
      <c r="O26" s="109" t="str">
        <f t="shared" si="26"/>
        <v>PP_04</v>
      </c>
      <c r="P26" s="109" t="str">
        <f t="shared" si="26"/>
        <v>PP_04</v>
      </c>
    </row>
    <row r="27" spans="4:16" x14ac:dyDescent="0.25">
      <c r="D27" s="109" t="str">
        <f t="shared" si="2"/>
        <v>PP_04</v>
      </c>
      <c r="E27" s="109" t="str">
        <f t="shared" ref="E27:P27" si="27">D27</f>
        <v>PP_04</v>
      </c>
      <c r="F27" s="109" t="str">
        <f t="shared" si="27"/>
        <v>PP_04</v>
      </c>
      <c r="G27" s="109" t="str">
        <f t="shared" si="27"/>
        <v>PP_04</v>
      </c>
      <c r="H27" s="109" t="str">
        <f t="shared" si="27"/>
        <v>PP_04</v>
      </c>
      <c r="I27" s="109" t="str">
        <f t="shared" si="27"/>
        <v>PP_04</v>
      </c>
      <c r="J27" s="109" t="str">
        <f t="shared" si="27"/>
        <v>PP_04</v>
      </c>
      <c r="K27" s="109" t="str">
        <f t="shared" si="27"/>
        <v>PP_04</v>
      </c>
      <c r="L27" s="109" t="str">
        <f t="shared" si="27"/>
        <v>PP_04</v>
      </c>
      <c r="M27" s="109" t="str">
        <f t="shared" si="27"/>
        <v>PP_04</v>
      </c>
      <c r="N27" s="109" t="str">
        <f t="shared" si="27"/>
        <v>PP_04</v>
      </c>
      <c r="O27" s="109" t="str">
        <f t="shared" si="27"/>
        <v>PP_04</v>
      </c>
      <c r="P27" s="109" t="str">
        <f t="shared" si="27"/>
        <v>PP_04</v>
      </c>
    </row>
    <row r="28" spans="4:16" x14ac:dyDescent="0.25">
      <c r="D28" s="109" t="str">
        <f t="shared" si="2"/>
        <v>PP_04</v>
      </c>
      <c r="E28" s="109" t="str">
        <f t="shared" ref="E28:P28" si="28">D28</f>
        <v>PP_04</v>
      </c>
      <c r="F28" s="109" t="str">
        <f t="shared" si="28"/>
        <v>PP_04</v>
      </c>
      <c r="G28" s="109" t="str">
        <f t="shared" si="28"/>
        <v>PP_04</v>
      </c>
      <c r="H28" s="109" t="str">
        <f t="shared" si="28"/>
        <v>PP_04</v>
      </c>
      <c r="I28" s="109" t="str">
        <f t="shared" si="28"/>
        <v>PP_04</v>
      </c>
      <c r="J28" s="109" t="str">
        <f t="shared" si="28"/>
        <v>PP_04</v>
      </c>
      <c r="K28" s="109" t="str">
        <f t="shared" si="28"/>
        <v>PP_04</v>
      </c>
      <c r="L28" s="109" t="str">
        <f t="shared" si="28"/>
        <v>PP_04</v>
      </c>
      <c r="M28" s="109" t="str">
        <f t="shared" si="28"/>
        <v>PP_04</v>
      </c>
      <c r="N28" s="109" t="str">
        <f t="shared" si="28"/>
        <v>PP_04</v>
      </c>
      <c r="O28" s="109" t="str">
        <f t="shared" si="28"/>
        <v>PP_04</v>
      </c>
      <c r="P28" s="109" t="str">
        <f t="shared" si="28"/>
        <v>PP_04</v>
      </c>
    </row>
    <row r="29" spans="4:16" x14ac:dyDescent="0.25">
      <c r="D29" s="109" t="str">
        <f t="shared" si="2"/>
        <v>PP_04</v>
      </c>
      <c r="E29" s="109" t="str">
        <f t="shared" ref="E29:P29" si="29">D29</f>
        <v>PP_04</v>
      </c>
      <c r="F29" s="109" t="str">
        <f t="shared" si="29"/>
        <v>PP_04</v>
      </c>
      <c r="G29" s="109" t="str">
        <f t="shared" si="29"/>
        <v>PP_04</v>
      </c>
      <c r="H29" s="109" t="str">
        <f t="shared" si="29"/>
        <v>PP_04</v>
      </c>
      <c r="I29" s="109" t="str">
        <f t="shared" si="29"/>
        <v>PP_04</v>
      </c>
      <c r="J29" s="109" t="str">
        <f t="shared" si="29"/>
        <v>PP_04</v>
      </c>
      <c r="K29" s="109" t="str">
        <f t="shared" si="29"/>
        <v>PP_04</v>
      </c>
      <c r="L29" s="109" t="str">
        <f t="shared" si="29"/>
        <v>PP_04</v>
      </c>
      <c r="M29" s="109" t="str">
        <f t="shared" si="29"/>
        <v>PP_04</v>
      </c>
      <c r="N29" s="109" t="str">
        <f t="shared" si="29"/>
        <v>PP_04</v>
      </c>
      <c r="O29" s="109" t="str">
        <f t="shared" si="29"/>
        <v>PP_04</v>
      </c>
      <c r="P29" s="109" t="str">
        <f t="shared" si="29"/>
        <v>PP_04</v>
      </c>
    </row>
    <row r="30" spans="4:16" x14ac:dyDescent="0.25">
      <c r="D30" s="109" t="str">
        <f t="shared" si="2"/>
        <v>PP_04</v>
      </c>
      <c r="E30" s="109" t="str">
        <f t="shared" ref="E30:P30" si="30">D30</f>
        <v>PP_04</v>
      </c>
      <c r="F30" s="109" t="str">
        <f t="shared" si="30"/>
        <v>PP_04</v>
      </c>
      <c r="G30" s="109" t="str">
        <f t="shared" si="30"/>
        <v>PP_04</v>
      </c>
      <c r="H30" s="109" t="str">
        <f t="shared" si="30"/>
        <v>PP_04</v>
      </c>
      <c r="I30" s="109" t="str">
        <f t="shared" si="30"/>
        <v>PP_04</v>
      </c>
      <c r="J30" s="109" t="str">
        <f t="shared" si="30"/>
        <v>PP_04</v>
      </c>
      <c r="K30" s="109" t="str">
        <f t="shared" si="30"/>
        <v>PP_04</v>
      </c>
      <c r="L30" s="109" t="str">
        <f t="shared" si="30"/>
        <v>PP_04</v>
      </c>
      <c r="M30" s="109" t="str">
        <f t="shared" si="30"/>
        <v>PP_04</v>
      </c>
      <c r="N30" s="109" t="str">
        <f t="shared" si="30"/>
        <v>PP_04</v>
      </c>
      <c r="O30" s="109" t="str">
        <f t="shared" si="30"/>
        <v>PP_04</v>
      </c>
      <c r="P30" s="109" t="str">
        <f t="shared" si="30"/>
        <v>PP_04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10" t="s">
        <v>127</v>
      </c>
      <c r="E1" s="110" t="str">
        <f>D1</f>
        <v>PP_05</v>
      </c>
      <c r="F1" s="110" t="str">
        <f t="shared" ref="F1:P1" si="0">E1</f>
        <v>PP_05</v>
      </c>
      <c r="G1" s="110" t="str">
        <f t="shared" si="0"/>
        <v>PP_05</v>
      </c>
      <c r="H1" s="110" t="str">
        <f t="shared" si="0"/>
        <v>PP_05</v>
      </c>
      <c r="I1" s="110" t="str">
        <f t="shared" si="0"/>
        <v>PP_05</v>
      </c>
      <c r="J1" s="110" t="str">
        <f t="shared" si="0"/>
        <v>PP_05</v>
      </c>
      <c r="K1" s="110" t="str">
        <f t="shared" si="0"/>
        <v>PP_05</v>
      </c>
      <c r="L1" s="110" t="str">
        <f t="shared" si="0"/>
        <v>PP_05</v>
      </c>
      <c r="M1" s="110" t="str">
        <f t="shared" si="0"/>
        <v>PP_05</v>
      </c>
      <c r="N1" s="110" t="str">
        <f t="shared" si="0"/>
        <v>PP_05</v>
      </c>
      <c r="O1" s="110" t="str">
        <f t="shared" si="0"/>
        <v>PP_05</v>
      </c>
      <c r="P1" s="110" t="str">
        <f t="shared" si="0"/>
        <v>PP_05</v>
      </c>
    </row>
    <row r="2" spans="1:16" x14ac:dyDescent="0.25">
      <c r="A2" s="106" t="s">
        <v>177</v>
      </c>
      <c r="B2" s="107" t="s">
        <v>197</v>
      </c>
      <c r="D2" s="110" t="str">
        <f>D1</f>
        <v>PP_05</v>
      </c>
      <c r="E2" s="110" t="str">
        <f t="shared" ref="E2:P2" si="1">D2</f>
        <v>PP_05</v>
      </c>
      <c r="F2" s="110" t="str">
        <f t="shared" si="1"/>
        <v>PP_05</v>
      </c>
      <c r="G2" s="110" t="str">
        <f t="shared" si="1"/>
        <v>PP_05</v>
      </c>
      <c r="H2" s="110" t="str">
        <f t="shared" si="1"/>
        <v>PP_05</v>
      </c>
      <c r="I2" s="110" t="str">
        <f t="shared" si="1"/>
        <v>PP_05</v>
      </c>
      <c r="J2" s="110" t="str">
        <f t="shared" si="1"/>
        <v>PP_05</v>
      </c>
      <c r="K2" s="110" t="str">
        <f t="shared" si="1"/>
        <v>PP_05</v>
      </c>
      <c r="L2" s="110" t="str">
        <f t="shared" si="1"/>
        <v>PP_05</v>
      </c>
      <c r="M2" s="110" t="str">
        <f t="shared" si="1"/>
        <v>PP_05</v>
      </c>
      <c r="N2" s="110" t="str">
        <f t="shared" si="1"/>
        <v>PP_05</v>
      </c>
      <c r="O2" s="110" t="str">
        <f t="shared" si="1"/>
        <v>PP_05</v>
      </c>
      <c r="P2" s="110" t="str">
        <f t="shared" si="1"/>
        <v>PP_05</v>
      </c>
    </row>
    <row r="3" spans="1:16" x14ac:dyDescent="0.25">
      <c r="A3" s="74"/>
      <c r="B3" s="70"/>
      <c r="D3" s="110" t="str">
        <f t="shared" ref="D3:D30" si="2">D2</f>
        <v>PP_05</v>
      </c>
      <c r="E3" s="110" t="str">
        <f t="shared" ref="E3:P3" si="3">D3</f>
        <v>PP_05</v>
      </c>
      <c r="F3" s="110" t="str">
        <f t="shared" si="3"/>
        <v>PP_05</v>
      </c>
      <c r="G3" s="110" t="str">
        <f t="shared" si="3"/>
        <v>PP_05</v>
      </c>
      <c r="H3" s="110" t="str">
        <f t="shared" si="3"/>
        <v>PP_05</v>
      </c>
      <c r="I3" s="110" t="str">
        <f t="shared" si="3"/>
        <v>PP_05</v>
      </c>
      <c r="J3" s="110" t="str">
        <f t="shared" si="3"/>
        <v>PP_05</v>
      </c>
      <c r="K3" s="110" t="str">
        <f t="shared" si="3"/>
        <v>PP_05</v>
      </c>
      <c r="L3" s="110" t="str">
        <f t="shared" si="3"/>
        <v>PP_05</v>
      </c>
      <c r="M3" s="110" t="str">
        <f t="shared" si="3"/>
        <v>PP_05</v>
      </c>
      <c r="N3" s="110" t="str">
        <f t="shared" si="3"/>
        <v>PP_05</v>
      </c>
      <c r="O3" s="110" t="str">
        <f t="shared" si="3"/>
        <v>PP_05</v>
      </c>
      <c r="P3" s="110" t="str">
        <f t="shared" si="3"/>
        <v>PP_05</v>
      </c>
    </row>
    <row r="4" spans="1:16" x14ac:dyDescent="0.25">
      <c r="A4" s="75"/>
      <c r="B4" s="76"/>
      <c r="D4" s="110" t="str">
        <f t="shared" si="2"/>
        <v>PP_05</v>
      </c>
      <c r="E4" s="110" t="str">
        <f t="shared" ref="E4:P4" si="4">D4</f>
        <v>PP_05</v>
      </c>
      <c r="F4" s="110" t="str">
        <f t="shared" si="4"/>
        <v>PP_05</v>
      </c>
      <c r="G4" s="110" t="str">
        <f t="shared" si="4"/>
        <v>PP_05</v>
      </c>
      <c r="H4" s="110" t="str">
        <f t="shared" si="4"/>
        <v>PP_05</v>
      </c>
      <c r="I4" s="110" t="str">
        <f t="shared" si="4"/>
        <v>PP_05</v>
      </c>
      <c r="J4" s="110" t="str">
        <f t="shared" si="4"/>
        <v>PP_05</v>
      </c>
      <c r="K4" s="110" t="str">
        <f t="shared" si="4"/>
        <v>PP_05</v>
      </c>
      <c r="L4" s="110" t="str">
        <f t="shared" si="4"/>
        <v>PP_05</v>
      </c>
      <c r="M4" s="110" t="str">
        <f t="shared" si="4"/>
        <v>PP_05</v>
      </c>
      <c r="N4" s="110" t="str">
        <f t="shared" si="4"/>
        <v>PP_05</v>
      </c>
      <c r="O4" s="110" t="str">
        <f t="shared" si="4"/>
        <v>PP_05</v>
      </c>
      <c r="P4" s="110" t="str">
        <f t="shared" si="4"/>
        <v>PP_05</v>
      </c>
    </row>
    <row r="5" spans="1:16" x14ac:dyDescent="0.25">
      <c r="A5" s="74"/>
      <c r="B5" s="70"/>
      <c r="D5" s="110" t="str">
        <f t="shared" si="2"/>
        <v>PP_05</v>
      </c>
      <c r="E5" s="110" t="str">
        <f t="shared" ref="E5:P5" si="5">D5</f>
        <v>PP_05</v>
      </c>
      <c r="F5" s="110" t="str">
        <f t="shared" si="5"/>
        <v>PP_05</v>
      </c>
      <c r="G5" s="110" t="str">
        <f t="shared" si="5"/>
        <v>PP_05</v>
      </c>
      <c r="H5" s="110" t="str">
        <f t="shared" si="5"/>
        <v>PP_05</v>
      </c>
      <c r="I5" s="110" t="str">
        <f t="shared" si="5"/>
        <v>PP_05</v>
      </c>
      <c r="J5" s="110" t="str">
        <f t="shared" si="5"/>
        <v>PP_05</v>
      </c>
      <c r="K5" s="110" t="str">
        <f t="shared" si="5"/>
        <v>PP_05</v>
      </c>
      <c r="L5" s="110" t="str">
        <f t="shared" si="5"/>
        <v>PP_05</v>
      </c>
      <c r="M5" s="110" t="str">
        <f t="shared" si="5"/>
        <v>PP_05</v>
      </c>
      <c r="N5" s="110" t="str">
        <f t="shared" si="5"/>
        <v>PP_05</v>
      </c>
      <c r="O5" s="110" t="str">
        <f t="shared" si="5"/>
        <v>PP_05</v>
      </c>
      <c r="P5" s="110" t="str">
        <f t="shared" si="5"/>
        <v>PP_05</v>
      </c>
    </row>
    <row r="6" spans="1:16" x14ac:dyDescent="0.25">
      <c r="A6" s="74"/>
      <c r="B6" s="70"/>
      <c r="D6" s="110" t="str">
        <f t="shared" si="2"/>
        <v>PP_05</v>
      </c>
      <c r="E6" s="110" t="str">
        <f t="shared" ref="E6:P6" si="6">D6</f>
        <v>PP_05</v>
      </c>
      <c r="F6" s="110" t="str">
        <f t="shared" si="6"/>
        <v>PP_05</v>
      </c>
      <c r="G6" s="110" t="str">
        <f t="shared" si="6"/>
        <v>PP_05</v>
      </c>
      <c r="H6" s="110" t="str">
        <f t="shared" si="6"/>
        <v>PP_05</v>
      </c>
      <c r="I6" s="110" t="str">
        <f t="shared" si="6"/>
        <v>PP_05</v>
      </c>
      <c r="J6" s="110" t="str">
        <f t="shared" si="6"/>
        <v>PP_05</v>
      </c>
      <c r="K6" s="110" t="str">
        <f t="shared" si="6"/>
        <v>PP_05</v>
      </c>
      <c r="L6" s="110" t="str">
        <f t="shared" si="6"/>
        <v>PP_05</v>
      </c>
      <c r="M6" s="110" t="str">
        <f t="shared" si="6"/>
        <v>PP_05</v>
      </c>
      <c r="N6" s="110" t="str">
        <f t="shared" si="6"/>
        <v>PP_05</v>
      </c>
      <c r="O6" s="110" t="str">
        <f t="shared" si="6"/>
        <v>PP_05</v>
      </c>
      <c r="P6" s="110" t="str">
        <f t="shared" si="6"/>
        <v>PP_05</v>
      </c>
    </row>
    <row r="7" spans="1:16" x14ac:dyDescent="0.25">
      <c r="D7" s="110" t="str">
        <f t="shared" si="2"/>
        <v>PP_05</v>
      </c>
      <c r="E7" s="110" t="str">
        <f t="shared" ref="E7:P7" si="7">D7</f>
        <v>PP_05</v>
      </c>
      <c r="F7" s="110" t="str">
        <f t="shared" si="7"/>
        <v>PP_05</v>
      </c>
      <c r="G7" s="110" t="str">
        <f t="shared" si="7"/>
        <v>PP_05</v>
      </c>
      <c r="H7" s="110" t="str">
        <f t="shared" si="7"/>
        <v>PP_05</v>
      </c>
      <c r="I7" s="110" t="str">
        <f t="shared" si="7"/>
        <v>PP_05</v>
      </c>
      <c r="J7" s="110" t="str">
        <f t="shared" si="7"/>
        <v>PP_05</v>
      </c>
      <c r="K7" s="110" t="str">
        <f t="shared" si="7"/>
        <v>PP_05</v>
      </c>
      <c r="L7" s="110" t="str">
        <f t="shared" si="7"/>
        <v>PP_05</v>
      </c>
      <c r="M7" s="110" t="str">
        <f t="shared" si="7"/>
        <v>PP_05</v>
      </c>
      <c r="N7" s="110" t="str">
        <f t="shared" si="7"/>
        <v>PP_05</v>
      </c>
      <c r="O7" s="110" t="str">
        <f t="shared" si="7"/>
        <v>PP_05</v>
      </c>
      <c r="P7" s="110" t="str">
        <f t="shared" si="7"/>
        <v>PP_05</v>
      </c>
    </row>
    <row r="8" spans="1:16" x14ac:dyDescent="0.25">
      <c r="D8" s="110" t="str">
        <f t="shared" si="2"/>
        <v>PP_05</v>
      </c>
      <c r="E8" s="110" t="str">
        <f t="shared" ref="E8:P8" si="8">D8</f>
        <v>PP_05</v>
      </c>
      <c r="F8" s="110" t="str">
        <f t="shared" si="8"/>
        <v>PP_05</v>
      </c>
      <c r="G8" s="110" t="str">
        <f t="shared" si="8"/>
        <v>PP_05</v>
      </c>
      <c r="H8" s="110" t="str">
        <f t="shared" si="8"/>
        <v>PP_05</v>
      </c>
      <c r="I8" s="110" t="str">
        <f t="shared" si="8"/>
        <v>PP_05</v>
      </c>
      <c r="J8" s="110" t="str">
        <f t="shared" si="8"/>
        <v>PP_05</v>
      </c>
      <c r="K8" s="110" t="str">
        <f t="shared" si="8"/>
        <v>PP_05</v>
      </c>
      <c r="L8" s="110" t="str">
        <f t="shared" si="8"/>
        <v>PP_05</v>
      </c>
      <c r="M8" s="110" t="str">
        <f t="shared" si="8"/>
        <v>PP_05</v>
      </c>
      <c r="N8" s="110" t="str">
        <f t="shared" si="8"/>
        <v>PP_05</v>
      </c>
      <c r="O8" s="110" t="str">
        <f t="shared" si="8"/>
        <v>PP_05</v>
      </c>
      <c r="P8" s="110" t="str">
        <f t="shared" si="8"/>
        <v>PP_05</v>
      </c>
    </row>
    <row r="9" spans="1:16" x14ac:dyDescent="0.25">
      <c r="D9" s="110" t="str">
        <f t="shared" si="2"/>
        <v>PP_05</v>
      </c>
      <c r="E9" s="110" t="str">
        <f t="shared" ref="E9:P9" si="9">D9</f>
        <v>PP_05</v>
      </c>
      <c r="F9" s="110" t="str">
        <f t="shared" si="9"/>
        <v>PP_05</v>
      </c>
      <c r="G9" s="110" t="str">
        <f t="shared" si="9"/>
        <v>PP_05</v>
      </c>
      <c r="H9" s="110" t="str">
        <f t="shared" si="9"/>
        <v>PP_05</v>
      </c>
      <c r="I9" s="110" t="str">
        <f t="shared" si="9"/>
        <v>PP_05</v>
      </c>
      <c r="J9" s="110" t="str">
        <f t="shared" si="9"/>
        <v>PP_05</v>
      </c>
      <c r="K9" s="110" t="str">
        <f t="shared" si="9"/>
        <v>PP_05</v>
      </c>
      <c r="L9" s="110" t="str">
        <f t="shared" si="9"/>
        <v>PP_05</v>
      </c>
      <c r="M9" s="110" t="str">
        <f t="shared" si="9"/>
        <v>PP_05</v>
      </c>
      <c r="N9" s="110" t="str">
        <f t="shared" si="9"/>
        <v>PP_05</v>
      </c>
      <c r="O9" s="110" t="str">
        <f t="shared" si="9"/>
        <v>PP_05</v>
      </c>
      <c r="P9" s="110" t="str">
        <f t="shared" si="9"/>
        <v>PP_05</v>
      </c>
    </row>
    <row r="10" spans="1:16" x14ac:dyDescent="0.25">
      <c r="D10" s="110" t="str">
        <f t="shared" si="2"/>
        <v>PP_05</v>
      </c>
      <c r="E10" s="110" t="str">
        <f t="shared" ref="E10:P10" si="10">D10</f>
        <v>PP_05</v>
      </c>
      <c r="F10" s="110" t="str">
        <f t="shared" si="10"/>
        <v>PP_05</v>
      </c>
      <c r="G10" s="110" t="str">
        <f t="shared" si="10"/>
        <v>PP_05</v>
      </c>
      <c r="H10" s="110" t="str">
        <f t="shared" si="10"/>
        <v>PP_05</v>
      </c>
      <c r="I10" s="110" t="str">
        <f t="shared" si="10"/>
        <v>PP_05</v>
      </c>
      <c r="J10" s="110" t="str">
        <f t="shared" si="10"/>
        <v>PP_05</v>
      </c>
      <c r="K10" s="110" t="str">
        <f t="shared" si="10"/>
        <v>PP_05</v>
      </c>
      <c r="L10" s="110" t="str">
        <f t="shared" si="10"/>
        <v>PP_05</v>
      </c>
      <c r="M10" s="110" t="str">
        <f t="shared" si="10"/>
        <v>PP_05</v>
      </c>
      <c r="N10" s="110" t="str">
        <f t="shared" si="10"/>
        <v>PP_05</v>
      </c>
      <c r="O10" s="110" t="str">
        <f t="shared" si="10"/>
        <v>PP_05</v>
      </c>
      <c r="P10" s="110" t="str">
        <f t="shared" si="10"/>
        <v>PP_05</v>
      </c>
    </row>
    <row r="11" spans="1:16" x14ac:dyDescent="0.25">
      <c r="D11" s="110" t="str">
        <f t="shared" si="2"/>
        <v>PP_05</v>
      </c>
      <c r="E11" s="110" t="str">
        <f t="shared" ref="E11:P11" si="11">D11</f>
        <v>PP_05</v>
      </c>
      <c r="F11" s="110" t="str">
        <f t="shared" si="11"/>
        <v>PP_05</v>
      </c>
      <c r="G11" s="110" t="str">
        <f t="shared" si="11"/>
        <v>PP_05</v>
      </c>
      <c r="H11" s="110" t="str">
        <f t="shared" si="11"/>
        <v>PP_05</v>
      </c>
      <c r="I11" s="110" t="str">
        <f t="shared" si="11"/>
        <v>PP_05</v>
      </c>
      <c r="J11" s="110" t="str">
        <f t="shared" si="11"/>
        <v>PP_05</v>
      </c>
      <c r="K11" s="110" t="str">
        <f t="shared" si="11"/>
        <v>PP_05</v>
      </c>
      <c r="L11" s="110" t="str">
        <f t="shared" si="11"/>
        <v>PP_05</v>
      </c>
      <c r="M11" s="110" t="str">
        <f t="shared" si="11"/>
        <v>PP_05</v>
      </c>
      <c r="N11" s="110" t="str">
        <f t="shared" si="11"/>
        <v>PP_05</v>
      </c>
      <c r="O11" s="110" t="str">
        <f t="shared" si="11"/>
        <v>PP_05</v>
      </c>
      <c r="P11" s="110" t="str">
        <f t="shared" si="11"/>
        <v>PP_05</v>
      </c>
    </row>
    <row r="12" spans="1:16" x14ac:dyDescent="0.25">
      <c r="D12" s="110" t="str">
        <f t="shared" si="2"/>
        <v>PP_05</v>
      </c>
      <c r="E12" s="110" t="str">
        <f t="shared" ref="E12:P12" si="12">D12</f>
        <v>PP_05</v>
      </c>
      <c r="F12" s="110" t="str">
        <f t="shared" si="12"/>
        <v>PP_05</v>
      </c>
      <c r="G12" s="110" t="str">
        <f t="shared" si="12"/>
        <v>PP_05</v>
      </c>
      <c r="H12" s="110" t="str">
        <f t="shared" si="12"/>
        <v>PP_05</v>
      </c>
      <c r="I12" s="110" t="str">
        <f t="shared" si="12"/>
        <v>PP_05</v>
      </c>
      <c r="J12" s="110" t="str">
        <f t="shared" si="12"/>
        <v>PP_05</v>
      </c>
      <c r="K12" s="110" t="str">
        <f t="shared" si="12"/>
        <v>PP_05</v>
      </c>
      <c r="L12" s="110" t="str">
        <f t="shared" si="12"/>
        <v>PP_05</v>
      </c>
      <c r="M12" s="110" t="str">
        <f t="shared" si="12"/>
        <v>PP_05</v>
      </c>
      <c r="N12" s="110" t="str">
        <f t="shared" si="12"/>
        <v>PP_05</v>
      </c>
      <c r="O12" s="110" t="str">
        <f t="shared" si="12"/>
        <v>PP_05</v>
      </c>
      <c r="P12" s="110" t="str">
        <f t="shared" si="12"/>
        <v>PP_05</v>
      </c>
    </row>
    <row r="13" spans="1:16" x14ac:dyDescent="0.25">
      <c r="D13" s="110" t="str">
        <f t="shared" si="2"/>
        <v>PP_05</v>
      </c>
      <c r="E13" s="110" t="str">
        <f t="shared" ref="E13:P13" si="13">D13</f>
        <v>PP_05</v>
      </c>
      <c r="F13" s="110" t="str">
        <f t="shared" si="13"/>
        <v>PP_05</v>
      </c>
      <c r="G13" s="110" t="str">
        <f t="shared" si="13"/>
        <v>PP_05</v>
      </c>
      <c r="H13" s="110" t="str">
        <f t="shared" si="13"/>
        <v>PP_05</v>
      </c>
      <c r="I13" s="110" t="str">
        <f t="shared" si="13"/>
        <v>PP_05</v>
      </c>
      <c r="J13" s="110" t="str">
        <f t="shared" si="13"/>
        <v>PP_05</v>
      </c>
      <c r="K13" s="110" t="str">
        <f t="shared" si="13"/>
        <v>PP_05</v>
      </c>
      <c r="L13" s="110" t="str">
        <f t="shared" si="13"/>
        <v>PP_05</v>
      </c>
      <c r="M13" s="110" t="str">
        <f t="shared" si="13"/>
        <v>PP_05</v>
      </c>
      <c r="N13" s="110" t="str">
        <f t="shared" si="13"/>
        <v>PP_05</v>
      </c>
      <c r="O13" s="110" t="str">
        <f t="shared" si="13"/>
        <v>PP_05</v>
      </c>
      <c r="P13" s="110" t="str">
        <f t="shared" si="13"/>
        <v>PP_05</v>
      </c>
    </row>
    <row r="14" spans="1:16" x14ac:dyDescent="0.25">
      <c r="D14" s="110" t="str">
        <f t="shared" si="2"/>
        <v>PP_05</v>
      </c>
      <c r="E14" s="110" t="str">
        <f t="shared" ref="E14:P14" si="14">D14</f>
        <v>PP_05</v>
      </c>
      <c r="F14" s="110" t="str">
        <f t="shared" si="14"/>
        <v>PP_05</v>
      </c>
      <c r="G14" s="110" t="str">
        <f t="shared" si="14"/>
        <v>PP_05</v>
      </c>
      <c r="H14" s="110" t="str">
        <f t="shared" si="14"/>
        <v>PP_05</v>
      </c>
      <c r="I14" s="110" t="str">
        <f t="shared" si="14"/>
        <v>PP_05</v>
      </c>
      <c r="J14" s="110" t="str">
        <f t="shared" si="14"/>
        <v>PP_05</v>
      </c>
      <c r="K14" s="110" t="str">
        <f t="shared" si="14"/>
        <v>PP_05</v>
      </c>
      <c r="L14" s="110" t="str">
        <f t="shared" si="14"/>
        <v>PP_05</v>
      </c>
      <c r="M14" s="110" t="str">
        <f t="shared" si="14"/>
        <v>PP_05</v>
      </c>
      <c r="N14" s="110" t="str">
        <f t="shared" si="14"/>
        <v>PP_05</v>
      </c>
      <c r="O14" s="110" t="str">
        <f t="shared" si="14"/>
        <v>PP_05</v>
      </c>
      <c r="P14" s="110" t="str">
        <f t="shared" si="14"/>
        <v>PP_05</v>
      </c>
    </row>
    <row r="15" spans="1:16" x14ac:dyDescent="0.25">
      <c r="D15" s="110" t="str">
        <f t="shared" si="2"/>
        <v>PP_05</v>
      </c>
      <c r="E15" s="110" t="str">
        <f t="shared" ref="E15:P15" si="15">D15</f>
        <v>PP_05</v>
      </c>
      <c r="F15" s="110" t="str">
        <f t="shared" si="15"/>
        <v>PP_05</v>
      </c>
      <c r="G15" s="110" t="str">
        <f t="shared" si="15"/>
        <v>PP_05</v>
      </c>
      <c r="H15" s="110" t="str">
        <f t="shared" si="15"/>
        <v>PP_05</v>
      </c>
      <c r="I15" s="110" t="str">
        <f t="shared" si="15"/>
        <v>PP_05</v>
      </c>
      <c r="J15" s="110" t="str">
        <f t="shared" si="15"/>
        <v>PP_05</v>
      </c>
      <c r="K15" s="110" t="str">
        <f t="shared" si="15"/>
        <v>PP_05</v>
      </c>
      <c r="L15" s="110" t="str">
        <f t="shared" si="15"/>
        <v>PP_05</v>
      </c>
      <c r="M15" s="110" t="str">
        <f t="shared" si="15"/>
        <v>PP_05</v>
      </c>
      <c r="N15" s="110" t="str">
        <f t="shared" si="15"/>
        <v>PP_05</v>
      </c>
      <c r="O15" s="110" t="str">
        <f t="shared" si="15"/>
        <v>PP_05</v>
      </c>
      <c r="P15" s="110" t="str">
        <f t="shared" si="15"/>
        <v>PP_05</v>
      </c>
    </row>
    <row r="16" spans="1:16" x14ac:dyDescent="0.25">
      <c r="D16" s="110" t="str">
        <f t="shared" si="2"/>
        <v>PP_05</v>
      </c>
      <c r="E16" s="110" t="str">
        <f t="shared" ref="E16:P16" si="16">D16</f>
        <v>PP_05</v>
      </c>
      <c r="F16" s="110" t="str">
        <f t="shared" si="16"/>
        <v>PP_05</v>
      </c>
      <c r="G16" s="110" t="str">
        <f t="shared" si="16"/>
        <v>PP_05</v>
      </c>
      <c r="H16" s="110" t="str">
        <f t="shared" si="16"/>
        <v>PP_05</v>
      </c>
      <c r="I16" s="110" t="str">
        <f t="shared" si="16"/>
        <v>PP_05</v>
      </c>
      <c r="J16" s="110" t="str">
        <f t="shared" si="16"/>
        <v>PP_05</v>
      </c>
      <c r="K16" s="110" t="str">
        <f t="shared" si="16"/>
        <v>PP_05</v>
      </c>
      <c r="L16" s="110" t="str">
        <f t="shared" si="16"/>
        <v>PP_05</v>
      </c>
      <c r="M16" s="110" t="str">
        <f t="shared" si="16"/>
        <v>PP_05</v>
      </c>
      <c r="N16" s="110" t="str">
        <f t="shared" si="16"/>
        <v>PP_05</v>
      </c>
      <c r="O16" s="110" t="str">
        <f t="shared" si="16"/>
        <v>PP_05</v>
      </c>
      <c r="P16" s="110" t="str">
        <f t="shared" si="16"/>
        <v>PP_05</v>
      </c>
    </row>
    <row r="17" spans="4:16" x14ac:dyDescent="0.25">
      <c r="D17" s="110" t="str">
        <f t="shared" si="2"/>
        <v>PP_05</v>
      </c>
      <c r="E17" s="110" t="str">
        <f t="shared" ref="E17:P17" si="17">D17</f>
        <v>PP_05</v>
      </c>
      <c r="F17" s="110" t="str">
        <f t="shared" si="17"/>
        <v>PP_05</v>
      </c>
      <c r="G17" s="110" t="str">
        <f t="shared" si="17"/>
        <v>PP_05</v>
      </c>
      <c r="H17" s="110" t="str">
        <f t="shared" si="17"/>
        <v>PP_05</v>
      </c>
      <c r="I17" s="110" t="str">
        <f t="shared" si="17"/>
        <v>PP_05</v>
      </c>
      <c r="J17" s="110" t="str">
        <f t="shared" si="17"/>
        <v>PP_05</v>
      </c>
      <c r="K17" s="110" t="str">
        <f t="shared" si="17"/>
        <v>PP_05</v>
      </c>
      <c r="L17" s="110" t="str">
        <f t="shared" si="17"/>
        <v>PP_05</v>
      </c>
      <c r="M17" s="110" t="str">
        <f t="shared" si="17"/>
        <v>PP_05</v>
      </c>
      <c r="N17" s="110" t="str">
        <f t="shared" si="17"/>
        <v>PP_05</v>
      </c>
      <c r="O17" s="110" t="str">
        <f t="shared" si="17"/>
        <v>PP_05</v>
      </c>
      <c r="P17" s="110" t="str">
        <f t="shared" si="17"/>
        <v>PP_05</v>
      </c>
    </row>
    <row r="18" spans="4:16" x14ac:dyDescent="0.25">
      <c r="D18" s="110" t="str">
        <f t="shared" si="2"/>
        <v>PP_05</v>
      </c>
      <c r="E18" s="110" t="str">
        <f t="shared" ref="E18:P18" si="18">D18</f>
        <v>PP_05</v>
      </c>
      <c r="F18" s="110" t="str">
        <f t="shared" si="18"/>
        <v>PP_05</v>
      </c>
      <c r="G18" s="110" t="str">
        <f t="shared" si="18"/>
        <v>PP_05</v>
      </c>
      <c r="H18" s="110" t="str">
        <f t="shared" si="18"/>
        <v>PP_05</v>
      </c>
      <c r="I18" s="110" t="str">
        <f t="shared" si="18"/>
        <v>PP_05</v>
      </c>
      <c r="J18" s="110" t="str">
        <f t="shared" si="18"/>
        <v>PP_05</v>
      </c>
      <c r="K18" s="110" t="str">
        <f t="shared" si="18"/>
        <v>PP_05</v>
      </c>
      <c r="L18" s="110" t="str">
        <f t="shared" si="18"/>
        <v>PP_05</v>
      </c>
      <c r="M18" s="110" t="str">
        <f t="shared" si="18"/>
        <v>PP_05</v>
      </c>
      <c r="N18" s="110" t="str">
        <f t="shared" si="18"/>
        <v>PP_05</v>
      </c>
      <c r="O18" s="110" t="str">
        <f t="shared" si="18"/>
        <v>PP_05</v>
      </c>
      <c r="P18" s="110" t="str">
        <f t="shared" si="18"/>
        <v>PP_05</v>
      </c>
    </row>
    <row r="19" spans="4:16" x14ac:dyDescent="0.25">
      <c r="D19" s="110" t="str">
        <f t="shared" si="2"/>
        <v>PP_05</v>
      </c>
      <c r="E19" s="110" t="str">
        <f t="shared" ref="E19:P19" si="19">D19</f>
        <v>PP_05</v>
      </c>
      <c r="F19" s="110" t="str">
        <f t="shared" si="19"/>
        <v>PP_05</v>
      </c>
      <c r="G19" s="110" t="str">
        <f t="shared" si="19"/>
        <v>PP_05</v>
      </c>
      <c r="H19" s="110" t="str">
        <f t="shared" si="19"/>
        <v>PP_05</v>
      </c>
      <c r="I19" s="110" t="str">
        <f t="shared" si="19"/>
        <v>PP_05</v>
      </c>
      <c r="J19" s="110" t="str">
        <f t="shared" si="19"/>
        <v>PP_05</v>
      </c>
      <c r="K19" s="110" t="str">
        <f t="shared" si="19"/>
        <v>PP_05</v>
      </c>
      <c r="L19" s="110" t="str">
        <f t="shared" si="19"/>
        <v>PP_05</v>
      </c>
      <c r="M19" s="110" t="str">
        <f t="shared" si="19"/>
        <v>PP_05</v>
      </c>
      <c r="N19" s="110" t="str">
        <f t="shared" si="19"/>
        <v>PP_05</v>
      </c>
      <c r="O19" s="110" t="str">
        <f t="shared" si="19"/>
        <v>PP_05</v>
      </c>
      <c r="P19" s="110" t="str">
        <f t="shared" si="19"/>
        <v>PP_05</v>
      </c>
    </row>
    <row r="20" spans="4:16" x14ac:dyDescent="0.25">
      <c r="D20" s="110" t="str">
        <f t="shared" si="2"/>
        <v>PP_05</v>
      </c>
      <c r="E20" s="110" t="str">
        <f t="shared" ref="E20:P20" si="20">D20</f>
        <v>PP_05</v>
      </c>
      <c r="F20" s="110" t="str">
        <f t="shared" si="20"/>
        <v>PP_05</v>
      </c>
      <c r="G20" s="110" t="str">
        <f t="shared" si="20"/>
        <v>PP_05</v>
      </c>
      <c r="H20" s="110" t="str">
        <f t="shared" si="20"/>
        <v>PP_05</v>
      </c>
      <c r="I20" s="110" t="str">
        <f t="shared" si="20"/>
        <v>PP_05</v>
      </c>
      <c r="J20" s="110" t="str">
        <f t="shared" si="20"/>
        <v>PP_05</v>
      </c>
      <c r="K20" s="110" t="str">
        <f t="shared" si="20"/>
        <v>PP_05</v>
      </c>
      <c r="L20" s="110" t="str">
        <f t="shared" si="20"/>
        <v>PP_05</v>
      </c>
      <c r="M20" s="110" t="str">
        <f t="shared" si="20"/>
        <v>PP_05</v>
      </c>
      <c r="N20" s="110" t="str">
        <f t="shared" si="20"/>
        <v>PP_05</v>
      </c>
      <c r="O20" s="110" t="str">
        <f t="shared" si="20"/>
        <v>PP_05</v>
      </c>
      <c r="P20" s="110" t="str">
        <f t="shared" si="20"/>
        <v>PP_05</v>
      </c>
    </row>
    <row r="21" spans="4:16" x14ac:dyDescent="0.25">
      <c r="D21" s="110" t="str">
        <f t="shared" si="2"/>
        <v>PP_05</v>
      </c>
      <c r="E21" s="110" t="str">
        <f t="shared" ref="E21:P21" si="21">D21</f>
        <v>PP_05</v>
      </c>
      <c r="F21" s="110" t="str">
        <f t="shared" si="21"/>
        <v>PP_05</v>
      </c>
      <c r="G21" s="110" t="str">
        <f t="shared" si="21"/>
        <v>PP_05</v>
      </c>
      <c r="H21" s="110" t="str">
        <f t="shared" si="21"/>
        <v>PP_05</v>
      </c>
      <c r="I21" s="110" t="str">
        <f t="shared" si="21"/>
        <v>PP_05</v>
      </c>
      <c r="J21" s="110" t="str">
        <f t="shared" si="21"/>
        <v>PP_05</v>
      </c>
      <c r="K21" s="110" t="str">
        <f t="shared" si="21"/>
        <v>PP_05</v>
      </c>
      <c r="L21" s="110" t="str">
        <f t="shared" si="21"/>
        <v>PP_05</v>
      </c>
      <c r="M21" s="110" t="str">
        <f t="shared" si="21"/>
        <v>PP_05</v>
      </c>
      <c r="N21" s="110" t="str">
        <f t="shared" si="21"/>
        <v>PP_05</v>
      </c>
      <c r="O21" s="110" t="str">
        <f t="shared" si="21"/>
        <v>PP_05</v>
      </c>
      <c r="P21" s="110" t="str">
        <f t="shared" si="21"/>
        <v>PP_05</v>
      </c>
    </row>
    <row r="22" spans="4:16" x14ac:dyDescent="0.25">
      <c r="D22" s="110" t="str">
        <f t="shared" si="2"/>
        <v>PP_05</v>
      </c>
      <c r="E22" s="110" t="str">
        <f t="shared" ref="E22:P22" si="22">D22</f>
        <v>PP_05</v>
      </c>
      <c r="F22" s="110" t="str">
        <f t="shared" si="22"/>
        <v>PP_05</v>
      </c>
      <c r="G22" s="110" t="str">
        <f t="shared" si="22"/>
        <v>PP_05</v>
      </c>
      <c r="H22" s="110" t="str">
        <f t="shared" si="22"/>
        <v>PP_05</v>
      </c>
      <c r="I22" s="110" t="str">
        <f t="shared" si="22"/>
        <v>PP_05</v>
      </c>
      <c r="J22" s="110" t="str">
        <f t="shared" si="22"/>
        <v>PP_05</v>
      </c>
      <c r="K22" s="110" t="str">
        <f t="shared" si="22"/>
        <v>PP_05</v>
      </c>
      <c r="L22" s="110" t="str">
        <f t="shared" si="22"/>
        <v>PP_05</v>
      </c>
      <c r="M22" s="110" t="str">
        <f t="shared" si="22"/>
        <v>PP_05</v>
      </c>
      <c r="N22" s="110" t="str">
        <f t="shared" si="22"/>
        <v>PP_05</v>
      </c>
      <c r="O22" s="110" t="str">
        <f t="shared" si="22"/>
        <v>PP_05</v>
      </c>
      <c r="P22" s="110" t="str">
        <f t="shared" si="22"/>
        <v>PP_05</v>
      </c>
    </row>
    <row r="23" spans="4:16" x14ac:dyDescent="0.25">
      <c r="D23" s="110" t="str">
        <f t="shared" si="2"/>
        <v>PP_05</v>
      </c>
      <c r="E23" s="110" t="str">
        <f t="shared" ref="E23:P23" si="23">D23</f>
        <v>PP_05</v>
      </c>
      <c r="F23" s="110" t="str">
        <f t="shared" si="23"/>
        <v>PP_05</v>
      </c>
      <c r="G23" s="110" t="str">
        <f t="shared" si="23"/>
        <v>PP_05</v>
      </c>
      <c r="H23" s="110" t="str">
        <f t="shared" si="23"/>
        <v>PP_05</v>
      </c>
      <c r="I23" s="110" t="str">
        <f t="shared" si="23"/>
        <v>PP_05</v>
      </c>
      <c r="J23" s="110" t="str">
        <f t="shared" si="23"/>
        <v>PP_05</v>
      </c>
      <c r="K23" s="110" t="str">
        <f t="shared" si="23"/>
        <v>PP_05</v>
      </c>
      <c r="L23" s="110" t="str">
        <f t="shared" si="23"/>
        <v>PP_05</v>
      </c>
      <c r="M23" s="110" t="str">
        <f t="shared" si="23"/>
        <v>PP_05</v>
      </c>
      <c r="N23" s="110" t="str">
        <f t="shared" si="23"/>
        <v>PP_05</v>
      </c>
      <c r="O23" s="110" t="str">
        <f t="shared" si="23"/>
        <v>PP_05</v>
      </c>
      <c r="P23" s="110" t="str">
        <f t="shared" si="23"/>
        <v>PP_05</v>
      </c>
    </row>
    <row r="24" spans="4:16" x14ac:dyDescent="0.25">
      <c r="D24" s="110" t="str">
        <f t="shared" si="2"/>
        <v>PP_05</v>
      </c>
      <c r="E24" s="110" t="str">
        <f t="shared" ref="E24:P24" si="24">D24</f>
        <v>PP_05</v>
      </c>
      <c r="F24" s="110" t="str">
        <f t="shared" si="24"/>
        <v>PP_05</v>
      </c>
      <c r="G24" s="110" t="str">
        <f t="shared" si="24"/>
        <v>PP_05</v>
      </c>
      <c r="H24" s="110" t="str">
        <f t="shared" si="24"/>
        <v>PP_05</v>
      </c>
      <c r="I24" s="110" t="str">
        <f t="shared" si="24"/>
        <v>PP_05</v>
      </c>
      <c r="J24" s="110" t="str">
        <f t="shared" si="24"/>
        <v>PP_05</v>
      </c>
      <c r="K24" s="110" t="str">
        <f t="shared" si="24"/>
        <v>PP_05</v>
      </c>
      <c r="L24" s="110" t="str">
        <f t="shared" si="24"/>
        <v>PP_05</v>
      </c>
      <c r="M24" s="110" t="str">
        <f t="shared" si="24"/>
        <v>PP_05</v>
      </c>
      <c r="N24" s="110" t="str">
        <f t="shared" si="24"/>
        <v>PP_05</v>
      </c>
      <c r="O24" s="110" t="str">
        <f t="shared" si="24"/>
        <v>PP_05</v>
      </c>
      <c r="P24" s="110" t="str">
        <f t="shared" si="24"/>
        <v>PP_05</v>
      </c>
    </row>
    <row r="25" spans="4:16" x14ac:dyDescent="0.25">
      <c r="D25" s="110" t="str">
        <f t="shared" si="2"/>
        <v>PP_05</v>
      </c>
      <c r="E25" s="110" t="str">
        <f t="shared" ref="E25:P25" si="25">D25</f>
        <v>PP_05</v>
      </c>
      <c r="F25" s="110" t="str">
        <f t="shared" si="25"/>
        <v>PP_05</v>
      </c>
      <c r="G25" s="110" t="str">
        <f t="shared" si="25"/>
        <v>PP_05</v>
      </c>
      <c r="H25" s="110" t="str">
        <f t="shared" si="25"/>
        <v>PP_05</v>
      </c>
      <c r="I25" s="110" t="str">
        <f t="shared" si="25"/>
        <v>PP_05</v>
      </c>
      <c r="J25" s="110" t="str">
        <f t="shared" si="25"/>
        <v>PP_05</v>
      </c>
      <c r="K25" s="110" t="str">
        <f t="shared" si="25"/>
        <v>PP_05</v>
      </c>
      <c r="L25" s="110" t="str">
        <f t="shared" si="25"/>
        <v>PP_05</v>
      </c>
      <c r="M25" s="110" t="str">
        <f t="shared" si="25"/>
        <v>PP_05</v>
      </c>
      <c r="N25" s="110" t="str">
        <f t="shared" si="25"/>
        <v>PP_05</v>
      </c>
      <c r="O25" s="110" t="str">
        <f t="shared" si="25"/>
        <v>PP_05</v>
      </c>
      <c r="P25" s="110" t="str">
        <f t="shared" si="25"/>
        <v>PP_05</v>
      </c>
    </row>
    <row r="26" spans="4:16" x14ac:dyDescent="0.25">
      <c r="D26" s="110" t="str">
        <f t="shared" si="2"/>
        <v>PP_05</v>
      </c>
      <c r="E26" s="110" t="str">
        <f t="shared" ref="E26:P26" si="26">D26</f>
        <v>PP_05</v>
      </c>
      <c r="F26" s="110" t="str">
        <f t="shared" si="26"/>
        <v>PP_05</v>
      </c>
      <c r="G26" s="110" t="str">
        <f t="shared" si="26"/>
        <v>PP_05</v>
      </c>
      <c r="H26" s="110" t="str">
        <f t="shared" si="26"/>
        <v>PP_05</v>
      </c>
      <c r="I26" s="110" t="str">
        <f t="shared" si="26"/>
        <v>PP_05</v>
      </c>
      <c r="J26" s="110" t="str">
        <f t="shared" si="26"/>
        <v>PP_05</v>
      </c>
      <c r="K26" s="110" t="str">
        <f t="shared" si="26"/>
        <v>PP_05</v>
      </c>
      <c r="L26" s="110" t="str">
        <f t="shared" si="26"/>
        <v>PP_05</v>
      </c>
      <c r="M26" s="110" t="str">
        <f t="shared" si="26"/>
        <v>PP_05</v>
      </c>
      <c r="N26" s="110" t="str">
        <f t="shared" si="26"/>
        <v>PP_05</v>
      </c>
      <c r="O26" s="110" t="str">
        <f t="shared" si="26"/>
        <v>PP_05</v>
      </c>
      <c r="P26" s="110" t="str">
        <f t="shared" si="26"/>
        <v>PP_05</v>
      </c>
    </row>
    <row r="27" spans="4:16" x14ac:dyDescent="0.25">
      <c r="D27" s="110" t="str">
        <f t="shared" si="2"/>
        <v>PP_05</v>
      </c>
      <c r="E27" s="110" t="str">
        <f t="shared" ref="E27:P27" si="27">D27</f>
        <v>PP_05</v>
      </c>
      <c r="F27" s="110" t="str">
        <f t="shared" si="27"/>
        <v>PP_05</v>
      </c>
      <c r="G27" s="110" t="str">
        <f t="shared" si="27"/>
        <v>PP_05</v>
      </c>
      <c r="H27" s="110" t="str">
        <f t="shared" si="27"/>
        <v>PP_05</v>
      </c>
      <c r="I27" s="110" t="str">
        <f t="shared" si="27"/>
        <v>PP_05</v>
      </c>
      <c r="J27" s="110" t="str">
        <f t="shared" si="27"/>
        <v>PP_05</v>
      </c>
      <c r="K27" s="110" t="str">
        <f t="shared" si="27"/>
        <v>PP_05</v>
      </c>
      <c r="L27" s="110" t="str">
        <f t="shared" si="27"/>
        <v>PP_05</v>
      </c>
      <c r="M27" s="110" t="str">
        <f t="shared" si="27"/>
        <v>PP_05</v>
      </c>
      <c r="N27" s="110" t="str">
        <f t="shared" si="27"/>
        <v>PP_05</v>
      </c>
      <c r="O27" s="110" t="str">
        <f t="shared" si="27"/>
        <v>PP_05</v>
      </c>
      <c r="P27" s="110" t="str">
        <f t="shared" si="27"/>
        <v>PP_05</v>
      </c>
    </row>
    <row r="28" spans="4:16" x14ac:dyDescent="0.25">
      <c r="D28" s="110" t="str">
        <f t="shared" si="2"/>
        <v>PP_05</v>
      </c>
      <c r="E28" s="110" t="str">
        <f t="shared" ref="E28:P28" si="28">D28</f>
        <v>PP_05</v>
      </c>
      <c r="F28" s="110" t="str">
        <f t="shared" si="28"/>
        <v>PP_05</v>
      </c>
      <c r="G28" s="110" t="str">
        <f t="shared" si="28"/>
        <v>PP_05</v>
      </c>
      <c r="H28" s="110" t="str">
        <f t="shared" si="28"/>
        <v>PP_05</v>
      </c>
      <c r="I28" s="110" t="str">
        <f t="shared" si="28"/>
        <v>PP_05</v>
      </c>
      <c r="J28" s="110" t="str">
        <f t="shared" si="28"/>
        <v>PP_05</v>
      </c>
      <c r="K28" s="110" t="str">
        <f t="shared" si="28"/>
        <v>PP_05</v>
      </c>
      <c r="L28" s="110" t="str">
        <f t="shared" si="28"/>
        <v>PP_05</v>
      </c>
      <c r="M28" s="110" t="str">
        <f t="shared" si="28"/>
        <v>PP_05</v>
      </c>
      <c r="N28" s="110" t="str">
        <f t="shared" si="28"/>
        <v>PP_05</v>
      </c>
      <c r="O28" s="110" t="str">
        <f t="shared" si="28"/>
        <v>PP_05</v>
      </c>
      <c r="P28" s="110" t="str">
        <f t="shared" si="28"/>
        <v>PP_05</v>
      </c>
    </row>
    <row r="29" spans="4:16" x14ac:dyDescent="0.25">
      <c r="D29" s="110" t="str">
        <f t="shared" si="2"/>
        <v>PP_05</v>
      </c>
      <c r="E29" s="110" t="str">
        <f t="shared" ref="E29:P29" si="29">D29</f>
        <v>PP_05</v>
      </c>
      <c r="F29" s="110" t="str">
        <f t="shared" si="29"/>
        <v>PP_05</v>
      </c>
      <c r="G29" s="110" t="str">
        <f t="shared" si="29"/>
        <v>PP_05</v>
      </c>
      <c r="H29" s="110" t="str">
        <f t="shared" si="29"/>
        <v>PP_05</v>
      </c>
      <c r="I29" s="110" t="str">
        <f t="shared" si="29"/>
        <v>PP_05</v>
      </c>
      <c r="J29" s="110" t="str">
        <f t="shared" si="29"/>
        <v>PP_05</v>
      </c>
      <c r="K29" s="110" t="str">
        <f t="shared" si="29"/>
        <v>PP_05</v>
      </c>
      <c r="L29" s="110" t="str">
        <f t="shared" si="29"/>
        <v>PP_05</v>
      </c>
      <c r="M29" s="110" t="str">
        <f t="shared" si="29"/>
        <v>PP_05</v>
      </c>
      <c r="N29" s="110" t="str">
        <f t="shared" si="29"/>
        <v>PP_05</v>
      </c>
      <c r="O29" s="110" t="str">
        <f t="shared" si="29"/>
        <v>PP_05</v>
      </c>
      <c r="P29" s="110" t="str">
        <f t="shared" si="29"/>
        <v>PP_05</v>
      </c>
    </row>
    <row r="30" spans="4:16" x14ac:dyDescent="0.25">
      <c r="D30" s="110" t="str">
        <f t="shared" si="2"/>
        <v>PP_05</v>
      </c>
      <c r="E30" s="110" t="str">
        <f t="shared" ref="E30:P30" si="30">D30</f>
        <v>PP_05</v>
      </c>
      <c r="F30" s="110" t="str">
        <f t="shared" si="30"/>
        <v>PP_05</v>
      </c>
      <c r="G30" s="110" t="str">
        <f t="shared" si="30"/>
        <v>PP_05</v>
      </c>
      <c r="H30" s="110" t="str">
        <f t="shared" si="30"/>
        <v>PP_05</v>
      </c>
      <c r="I30" s="110" t="str">
        <f t="shared" si="30"/>
        <v>PP_05</v>
      </c>
      <c r="J30" s="110" t="str">
        <f t="shared" si="30"/>
        <v>PP_05</v>
      </c>
      <c r="K30" s="110" t="str">
        <f t="shared" si="30"/>
        <v>PP_05</v>
      </c>
      <c r="L30" s="110" t="str">
        <f t="shared" si="30"/>
        <v>PP_05</v>
      </c>
      <c r="M30" s="110" t="str">
        <f t="shared" si="30"/>
        <v>PP_05</v>
      </c>
      <c r="N30" s="110" t="str">
        <f t="shared" si="30"/>
        <v>PP_05</v>
      </c>
      <c r="O30" s="110" t="str">
        <f t="shared" si="30"/>
        <v>PP_05</v>
      </c>
      <c r="P30" s="110" t="str">
        <f t="shared" si="30"/>
        <v>PP_05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11" t="s">
        <v>129</v>
      </c>
      <c r="E1" s="111" t="str">
        <f>D1</f>
        <v>PP_06</v>
      </c>
      <c r="F1" s="111" t="str">
        <f t="shared" ref="F1:P1" si="0">E1</f>
        <v>PP_06</v>
      </c>
      <c r="G1" s="111" t="str">
        <f t="shared" si="0"/>
        <v>PP_06</v>
      </c>
      <c r="H1" s="111" t="str">
        <f t="shared" si="0"/>
        <v>PP_06</v>
      </c>
      <c r="I1" s="111" t="str">
        <f t="shared" si="0"/>
        <v>PP_06</v>
      </c>
      <c r="J1" s="111" t="str">
        <f t="shared" si="0"/>
        <v>PP_06</v>
      </c>
      <c r="K1" s="111" t="str">
        <f t="shared" si="0"/>
        <v>PP_06</v>
      </c>
      <c r="L1" s="111" t="str">
        <f t="shared" si="0"/>
        <v>PP_06</v>
      </c>
      <c r="M1" s="111" t="str">
        <f t="shared" si="0"/>
        <v>PP_06</v>
      </c>
      <c r="N1" s="111" t="str">
        <f t="shared" si="0"/>
        <v>PP_06</v>
      </c>
      <c r="O1" s="111" t="str">
        <f t="shared" si="0"/>
        <v>PP_06</v>
      </c>
      <c r="P1" s="111" t="str">
        <f t="shared" si="0"/>
        <v>PP_06</v>
      </c>
    </row>
    <row r="2" spans="1:16" x14ac:dyDescent="0.25">
      <c r="A2" s="106" t="s">
        <v>177</v>
      </c>
      <c r="B2" s="107" t="s">
        <v>198</v>
      </c>
      <c r="D2" s="111" t="str">
        <f>D1</f>
        <v>PP_06</v>
      </c>
      <c r="E2" s="111" t="str">
        <f t="shared" ref="E2:P2" si="1">D2</f>
        <v>PP_06</v>
      </c>
      <c r="F2" s="111" t="str">
        <f t="shared" si="1"/>
        <v>PP_06</v>
      </c>
      <c r="G2" s="111" t="str">
        <f t="shared" si="1"/>
        <v>PP_06</v>
      </c>
      <c r="H2" s="111" t="str">
        <f t="shared" si="1"/>
        <v>PP_06</v>
      </c>
      <c r="I2" s="111" t="str">
        <f t="shared" si="1"/>
        <v>PP_06</v>
      </c>
      <c r="J2" s="111" t="str">
        <f t="shared" si="1"/>
        <v>PP_06</v>
      </c>
      <c r="K2" s="111" t="str">
        <f t="shared" si="1"/>
        <v>PP_06</v>
      </c>
      <c r="L2" s="111" t="str">
        <f t="shared" si="1"/>
        <v>PP_06</v>
      </c>
      <c r="M2" s="111" t="str">
        <f t="shared" si="1"/>
        <v>PP_06</v>
      </c>
      <c r="N2" s="111" t="str">
        <f t="shared" si="1"/>
        <v>PP_06</v>
      </c>
      <c r="O2" s="111" t="str">
        <f t="shared" si="1"/>
        <v>PP_06</v>
      </c>
      <c r="P2" s="111" t="str">
        <f t="shared" si="1"/>
        <v>PP_06</v>
      </c>
    </row>
    <row r="3" spans="1:16" x14ac:dyDescent="0.25">
      <c r="A3" s="74"/>
      <c r="B3" s="70"/>
      <c r="D3" s="111" t="str">
        <f t="shared" ref="D3:D30" si="2">D2</f>
        <v>PP_06</v>
      </c>
      <c r="E3" s="111" t="str">
        <f t="shared" ref="E3:P3" si="3">D3</f>
        <v>PP_06</v>
      </c>
      <c r="F3" s="111" t="str">
        <f t="shared" si="3"/>
        <v>PP_06</v>
      </c>
      <c r="G3" s="111" t="str">
        <f t="shared" si="3"/>
        <v>PP_06</v>
      </c>
      <c r="H3" s="111" t="str">
        <f t="shared" si="3"/>
        <v>PP_06</v>
      </c>
      <c r="I3" s="111" t="str">
        <f t="shared" si="3"/>
        <v>PP_06</v>
      </c>
      <c r="J3" s="111" t="str">
        <f t="shared" si="3"/>
        <v>PP_06</v>
      </c>
      <c r="K3" s="111" t="str">
        <f t="shared" si="3"/>
        <v>PP_06</v>
      </c>
      <c r="L3" s="111" t="str">
        <f t="shared" si="3"/>
        <v>PP_06</v>
      </c>
      <c r="M3" s="111" t="str">
        <f t="shared" si="3"/>
        <v>PP_06</v>
      </c>
      <c r="N3" s="111" t="str">
        <f t="shared" si="3"/>
        <v>PP_06</v>
      </c>
      <c r="O3" s="111" t="str">
        <f t="shared" si="3"/>
        <v>PP_06</v>
      </c>
      <c r="P3" s="111" t="str">
        <f t="shared" si="3"/>
        <v>PP_06</v>
      </c>
    </row>
    <row r="4" spans="1:16" x14ac:dyDescent="0.25">
      <c r="A4" s="75"/>
      <c r="B4" s="76"/>
      <c r="D4" s="111" t="str">
        <f t="shared" si="2"/>
        <v>PP_06</v>
      </c>
      <c r="E4" s="111" t="str">
        <f t="shared" ref="E4:P4" si="4">D4</f>
        <v>PP_06</v>
      </c>
      <c r="F4" s="111" t="str">
        <f t="shared" si="4"/>
        <v>PP_06</v>
      </c>
      <c r="G4" s="111" t="str">
        <f t="shared" si="4"/>
        <v>PP_06</v>
      </c>
      <c r="H4" s="111" t="str">
        <f t="shared" si="4"/>
        <v>PP_06</v>
      </c>
      <c r="I4" s="111" t="str">
        <f t="shared" si="4"/>
        <v>PP_06</v>
      </c>
      <c r="J4" s="111" t="str">
        <f t="shared" si="4"/>
        <v>PP_06</v>
      </c>
      <c r="K4" s="111" t="str">
        <f t="shared" si="4"/>
        <v>PP_06</v>
      </c>
      <c r="L4" s="111" t="str">
        <f t="shared" si="4"/>
        <v>PP_06</v>
      </c>
      <c r="M4" s="111" t="str">
        <f t="shared" si="4"/>
        <v>PP_06</v>
      </c>
      <c r="N4" s="111" t="str">
        <f t="shared" si="4"/>
        <v>PP_06</v>
      </c>
      <c r="O4" s="111" t="str">
        <f t="shared" si="4"/>
        <v>PP_06</v>
      </c>
      <c r="P4" s="111" t="str">
        <f t="shared" si="4"/>
        <v>PP_06</v>
      </c>
    </row>
    <row r="5" spans="1:16" x14ac:dyDescent="0.25">
      <c r="A5" s="74"/>
      <c r="B5" s="70"/>
      <c r="D5" s="111" t="str">
        <f t="shared" si="2"/>
        <v>PP_06</v>
      </c>
      <c r="E5" s="111" t="str">
        <f t="shared" ref="E5:P5" si="5">D5</f>
        <v>PP_06</v>
      </c>
      <c r="F5" s="111" t="str">
        <f t="shared" si="5"/>
        <v>PP_06</v>
      </c>
      <c r="G5" s="111" t="str">
        <f t="shared" si="5"/>
        <v>PP_06</v>
      </c>
      <c r="H5" s="111" t="str">
        <f t="shared" si="5"/>
        <v>PP_06</v>
      </c>
      <c r="I5" s="111" t="str">
        <f t="shared" si="5"/>
        <v>PP_06</v>
      </c>
      <c r="J5" s="111" t="str">
        <f t="shared" si="5"/>
        <v>PP_06</v>
      </c>
      <c r="K5" s="111" t="str">
        <f t="shared" si="5"/>
        <v>PP_06</v>
      </c>
      <c r="L5" s="111" t="str">
        <f t="shared" si="5"/>
        <v>PP_06</v>
      </c>
      <c r="M5" s="111" t="str">
        <f t="shared" si="5"/>
        <v>PP_06</v>
      </c>
      <c r="N5" s="111" t="str">
        <f t="shared" si="5"/>
        <v>PP_06</v>
      </c>
      <c r="O5" s="111" t="str">
        <f t="shared" si="5"/>
        <v>PP_06</v>
      </c>
      <c r="P5" s="111" t="str">
        <f t="shared" si="5"/>
        <v>PP_06</v>
      </c>
    </row>
    <row r="6" spans="1:16" x14ac:dyDescent="0.25">
      <c r="A6" s="74"/>
      <c r="B6" s="70"/>
      <c r="D6" s="111" t="str">
        <f t="shared" si="2"/>
        <v>PP_06</v>
      </c>
      <c r="E6" s="111" t="str">
        <f t="shared" ref="E6:P6" si="6">D6</f>
        <v>PP_06</v>
      </c>
      <c r="F6" s="111" t="str">
        <f t="shared" si="6"/>
        <v>PP_06</v>
      </c>
      <c r="G6" s="111" t="str">
        <f t="shared" si="6"/>
        <v>PP_06</v>
      </c>
      <c r="H6" s="111" t="str">
        <f t="shared" si="6"/>
        <v>PP_06</v>
      </c>
      <c r="I6" s="111" t="str">
        <f t="shared" si="6"/>
        <v>PP_06</v>
      </c>
      <c r="J6" s="111" t="str">
        <f t="shared" si="6"/>
        <v>PP_06</v>
      </c>
      <c r="K6" s="111" t="str">
        <f t="shared" si="6"/>
        <v>PP_06</v>
      </c>
      <c r="L6" s="111" t="str">
        <f t="shared" si="6"/>
        <v>PP_06</v>
      </c>
      <c r="M6" s="111" t="str">
        <f t="shared" si="6"/>
        <v>PP_06</v>
      </c>
      <c r="N6" s="111" t="str">
        <f t="shared" si="6"/>
        <v>PP_06</v>
      </c>
      <c r="O6" s="111" t="str">
        <f t="shared" si="6"/>
        <v>PP_06</v>
      </c>
      <c r="P6" s="111" t="str">
        <f t="shared" si="6"/>
        <v>PP_06</v>
      </c>
    </row>
    <row r="7" spans="1:16" x14ac:dyDescent="0.25">
      <c r="D7" s="111" t="str">
        <f t="shared" si="2"/>
        <v>PP_06</v>
      </c>
      <c r="E7" s="111" t="str">
        <f t="shared" ref="E7:P7" si="7">D7</f>
        <v>PP_06</v>
      </c>
      <c r="F7" s="111" t="str">
        <f t="shared" si="7"/>
        <v>PP_06</v>
      </c>
      <c r="G7" s="111" t="str">
        <f t="shared" si="7"/>
        <v>PP_06</v>
      </c>
      <c r="H7" s="111" t="str">
        <f t="shared" si="7"/>
        <v>PP_06</v>
      </c>
      <c r="I7" s="111" t="str">
        <f t="shared" si="7"/>
        <v>PP_06</v>
      </c>
      <c r="J7" s="111" t="str">
        <f t="shared" si="7"/>
        <v>PP_06</v>
      </c>
      <c r="K7" s="111" t="str">
        <f t="shared" si="7"/>
        <v>PP_06</v>
      </c>
      <c r="L7" s="111" t="str">
        <f t="shared" si="7"/>
        <v>PP_06</v>
      </c>
      <c r="M7" s="111" t="str">
        <f t="shared" si="7"/>
        <v>PP_06</v>
      </c>
      <c r="N7" s="111" t="str">
        <f t="shared" si="7"/>
        <v>PP_06</v>
      </c>
      <c r="O7" s="111" t="str">
        <f t="shared" si="7"/>
        <v>PP_06</v>
      </c>
      <c r="P7" s="111" t="str">
        <f t="shared" si="7"/>
        <v>PP_06</v>
      </c>
    </row>
    <row r="8" spans="1:16" x14ac:dyDescent="0.25">
      <c r="D8" s="111" t="str">
        <f t="shared" si="2"/>
        <v>PP_06</v>
      </c>
      <c r="E8" s="111" t="str">
        <f t="shared" ref="E8:P8" si="8">D8</f>
        <v>PP_06</v>
      </c>
      <c r="F8" s="111" t="str">
        <f t="shared" si="8"/>
        <v>PP_06</v>
      </c>
      <c r="G8" s="111" t="str">
        <f t="shared" si="8"/>
        <v>PP_06</v>
      </c>
      <c r="H8" s="111" t="str">
        <f t="shared" si="8"/>
        <v>PP_06</v>
      </c>
      <c r="I8" s="111" t="str">
        <f t="shared" si="8"/>
        <v>PP_06</v>
      </c>
      <c r="J8" s="111" t="str">
        <f t="shared" si="8"/>
        <v>PP_06</v>
      </c>
      <c r="K8" s="111" t="str">
        <f t="shared" si="8"/>
        <v>PP_06</v>
      </c>
      <c r="L8" s="111" t="str">
        <f t="shared" si="8"/>
        <v>PP_06</v>
      </c>
      <c r="M8" s="111" t="str">
        <f t="shared" si="8"/>
        <v>PP_06</v>
      </c>
      <c r="N8" s="111" t="str">
        <f t="shared" si="8"/>
        <v>PP_06</v>
      </c>
      <c r="O8" s="111" t="str">
        <f t="shared" si="8"/>
        <v>PP_06</v>
      </c>
      <c r="P8" s="111" t="str">
        <f t="shared" si="8"/>
        <v>PP_06</v>
      </c>
    </row>
    <row r="9" spans="1:16" x14ac:dyDescent="0.25">
      <c r="D9" s="111" t="str">
        <f t="shared" si="2"/>
        <v>PP_06</v>
      </c>
      <c r="E9" s="111" t="str">
        <f t="shared" ref="E9:P9" si="9">D9</f>
        <v>PP_06</v>
      </c>
      <c r="F9" s="111" t="str">
        <f t="shared" si="9"/>
        <v>PP_06</v>
      </c>
      <c r="G9" s="111" t="str">
        <f t="shared" si="9"/>
        <v>PP_06</v>
      </c>
      <c r="H9" s="111" t="str">
        <f t="shared" si="9"/>
        <v>PP_06</v>
      </c>
      <c r="I9" s="111" t="str">
        <f t="shared" si="9"/>
        <v>PP_06</v>
      </c>
      <c r="J9" s="111" t="str">
        <f t="shared" si="9"/>
        <v>PP_06</v>
      </c>
      <c r="K9" s="111" t="str">
        <f t="shared" si="9"/>
        <v>PP_06</v>
      </c>
      <c r="L9" s="111" t="str">
        <f t="shared" si="9"/>
        <v>PP_06</v>
      </c>
      <c r="M9" s="111" t="str">
        <f t="shared" si="9"/>
        <v>PP_06</v>
      </c>
      <c r="N9" s="111" t="str">
        <f t="shared" si="9"/>
        <v>PP_06</v>
      </c>
      <c r="O9" s="111" t="str">
        <f t="shared" si="9"/>
        <v>PP_06</v>
      </c>
      <c r="P9" s="111" t="str">
        <f t="shared" si="9"/>
        <v>PP_06</v>
      </c>
    </row>
    <row r="10" spans="1:16" x14ac:dyDescent="0.25">
      <c r="D10" s="111" t="str">
        <f t="shared" si="2"/>
        <v>PP_06</v>
      </c>
      <c r="E10" s="111" t="str">
        <f t="shared" ref="E10:P10" si="10">D10</f>
        <v>PP_06</v>
      </c>
      <c r="F10" s="111" t="str">
        <f t="shared" si="10"/>
        <v>PP_06</v>
      </c>
      <c r="G10" s="111" t="str">
        <f t="shared" si="10"/>
        <v>PP_06</v>
      </c>
      <c r="H10" s="111" t="str">
        <f t="shared" si="10"/>
        <v>PP_06</v>
      </c>
      <c r="I10" s="111" t="str">
        <f t="shared" si="10"/>
        <v>PP_06</v>
      </c>
      <c r="J10" s="111" t="str">
        <f t="shared" si="10"/>
        <v>PP_06</v>
      </c>
      <c r="K10" s="111" t="str">
        <f t="shared" si="10"/>
        <v>PP_06</v>
      </c>
      <c r="L10" s="111" t="str">
        <f t="shared" si="10"/>
        <v>PP_06</v>
      </c>
      <c r="M10" s="111" t="str">
        <f t="shared" si="10"/>
        <v>PP_06</v>
      </c>
      <c r="N10" s="111" t="str">
        <f t="shared" si="10"/>
        <v>PP_06</v>
      </c>
      <c r="O10" s="111" t="str">
        <f t="shared" si="10"/>
        <v>PP_06</v>
      </c>
      <c r="P10" s="111" t="str">
        <f t="shared" si="10"/>
        <v>PP_06</v>
      </c>
    </row>
    <row r="11" spans="1:16" x14ac:dyDescent="0.25">
      <c r="D11" s="111" t="str">
        <f t="shared" si="2"/>
        <v>PP_06</v>
      </c>
      <c r="E11" s="111" t="str">
        <f t="shared" ref="E11:P11" si="11">D11</f>
        <v>PP_06</v>
      </c>
      <c r="F11" s="111" t="str">
        <f t="shared" si="11"/>
        <v>PP_06</v>
      </c>
      <c r="G11" s="111" t="str">
        <f t="shared" si="11"/>
        <v>PP_06</v>
      </c>
      <c r="H11" s="111" t="str">
        <f t="shared" si="11"/>
        <v>PP_06</v>
      </c>
      <c r="I11" s="111" t="str">
        <f t="shared" si="11"/>
        <v>PP_06</v>
      </c>
      <c r="J11" s="111" t="str">
        <f t="shared" si="11"/>
        <v>PP_06</v>
      </c>
      <c r="K11" s="111" t="str">
        <f t="shared" si="11"/>
        <v>PP_06</v>
      </c>
      <c r="L11" s="111" t="str">
        <f t="shared" si="11"/>
        <v>PP_06</v>
      </c>
      <c r="M11" s="111" t="str">
        <f t="shared" si="11"/>
        <v>PP_06</v>
      </c>
      <c r="N11" s="111" t="str">
        <f t="shared" si="11"/>
        <v>PP_06</v>
      </c>
      <c r="O11" s="111" t="str">
        <f t="shared" si="11"/>
        <v>PP_06</v>
      </c>
      <c r="P11" s="111" t="str">
        <f t="shared" si="11"/>
        <v>PP_06</v>
      </c>
    </row>
    <row r="12" spans="1:16" x14ac:dyDescent="0.25">
      <c r="D12" s="111" t="str">
        <f t="shared" si="2"/>
        <v>PP_06</v>
      </c>
      <c r="E12" s="111" t="str">
        <f t="shared" ref="E12:P12" si="12">D12</f>
        <v>PP_06</v>
      </c>
      <c r="F12" s="111" t="str">
        <f t="shared" si="12"/>
        <v>PP_06</v>
      </c>
      <c r="G12" s="111" t="str">
        <f t="shared" si="12"/>
        <v>PP_06</v>
      </c>
      <c r="H12" s="111" t="str">
        <f t="shared" si="12"/>
        <v>PP_06</v>
      </c>
      <c r="I12" s="111" t="str">
        <f t="shared" si="12"/>
        <v>PP_06</v>
      </c>
      <c r="J12" s="111" t="str">
        <f t="shared" si="12"/>
        <v>PP_06</v>
      </c>
      <c r="K12" s="111" t="str">
        <f t="shared" si="12"/>
        <v>PP_06</v>
      </c>
      <c r="L12" s="111" t="str">
        <f t="shared" si="12"/>
        <v>PP_06</v>
      </c>
      <c r="M12" s="111" t="str">
        <f t="shared" si="12"/>
        <v>PP_06</v>
      </c>
      <c r="N12" s="111" t="str">
        <f t="shared" si="12"/>
        <v>PP_06</v>
      </c>
      <c r="O12" s="111" t="str">
        <f t="shared" si="12"/>
        <v>PP_06</v>
      </c>
      <c r="P12" s="111" t="str">
        <f t="shared" si="12"/>
        <v>PP_06</v>
      </c>
    </row>
    <row r="13" spans="1:16" x14ac:dyDescent="0.25">
      <c r="D13" s="111" t="str">
        <f t="shared" si="2"/>
        <v>PP_06</v>
      </c>
      <c r="E13" s="111" t="str">
        <f t="shared" ref="E13:P13" si="13">D13</f>
        <v>PP_06</v>
      </c>
      <c r="F13" s="111" t="str">
        <f t="shared" si="13"/>
        <v>PP_06</v>
      </c>
      <c r="G13" s="111" t="str">
        <f t="shared" si="13"/>
        <v>PP_06</v>
      </c>
      <c r="H13" s="111" t="str">
        <f t="shared" si="13"/>
        <v>PP_06</v>
      </c>
      <c r="I13" s="111" t="str">
        <f t="shared" si="13"/>
        <v>PP_06</v>
      </c>
      <c r="J13" s="111" t="str">
        <f t="shared" si="13"/>
        <v>PP_06</v>
      </c>
      <c r="K13" s="111" t="str">
        <f t="shared" si="13"/>
        <v>PP_06</v>
      </c>
      <c r="L13" s="111" t="str">
        <f t="shared" si="13"/>
        <v>PP_06</v>
      </c>
      <c r="M13" s="111" t="str">
        <f t="shared" si="13"/>
        <v>PP_06</v>
      </c>
      <c r="N13" s="111" t="str">
        <f t="shared" si="13"/>
        <v>PP_06</v>
      </c>
      <c r="O13" s="111" t="str">
        <f t="shared" si="13"/>
        <v>PP_06</v>
      </c>
      <c r="P13" s="111" t="str">
        <f t="shared" si="13"/>
        <v>PP_06</v>
      </c>
    </row>
    <row r="14" spans="1:16" x14ac:dyDescent="0.25">
      <c r="D14" s="111" t="str">
        <f t="shared" si="2"/>
        <v>PP_06</v>
      </c>
      <c r="E14" s="111" t="str">
        <f t="shared" ref="E14:P14" si="14">D14</f>
        <v>PP_06</v>
      </c>
      <c r="F14" s="111" t="str">
        <f t="shared" si="14"/>
        <v>PP_06</v>
      </c>
      <c r="G14" s="111" t="str">
        <f t="shared" si="14"/>
        <v>PP_06</v>
      </c>
      <c r="H14" s="111" t="str">
        <f t="shared" si="14"/>
        <v>PP_06</v>
      </c>
      <c r="I14" s="111" t="str">
        <f t="shared" si="14"/>
        <v>PP_06</v>
      </c>
      <c r="J14" s="111" t="str">
        <f t="shared" si="14"/>
        <v>PP_06</v>
      </c>
      <c r="K14" s="111" t="str">
        <f t="shared" si="14"/>
        <v>PP_06</v>
      </c>
      <c r="L14" s="111" t="str">
        <f t="shared" si="14"/>
        <v>PP_06</v>
      </c>
      <c r="M14" s="111" t="str">
        <f t="shared" si="14"/>
        <v>PP_06</v>
      </c>
      <c r="N14" s="111" t="str">
        <f t="shared" si="14"/>
        <v>PP_06</v>
      </c>
      <c r="O14" s="111" t="str">
        <f t="shared" si="14"/>
        <v>PP_06</v>
      </c>
      <c r="P14" s="111" t="str">
        <f t="shared" si="14"/>
        <v>PP_06</v>
      </c>
    </row>
    <row r="15" spans="1:16" x14ac:dyDescent="0.25">
      <c r="D15" s="111" t="str">
        <f t="shared" si="2"/>
        <v>PP_06</v>
      </c>
      <c r="E15" s="111" t="str">
        <f t="shared" ref="E15:P15" si="15">D15</f>
        <v>PP_06</v>
      </c>
      <c r="F15" s="111" t="str">
        <f t="shared" si="15"/>
        <v>PP_06</v>
      </c>
      <c r="G15" s="111" t="str">
        <f t="shared" si="15"/>
        <v>PP_06</v>
      </c>
      <c r="H15" s="111" t="str">
        <f t="shared" si="15"/>
        <v>PP_06</v>
      </c>
      <c r="I15" s="111" t="str">
        <f t="shared" si="15"/>
        <v>PP_06</v>
      </c>
      <c r="J15" s="111" t="str">
        <f t="shared" si="15"/>
        <v>PP_06</v>
      </c>
      <c r="K15" s="111" t="str">
        <f t="shared" si="15"/>
        <v>PP_06</v>
      </c>
      <c r="L15" s="111" t="str">
        <f t="shared" si="15"/>
        <v>PP_06</v>
      </c>
      <c r="M15" s="111" t="str">
        <f t="shared" si="15"/>
        <v>PP_06</v>
      </c>
      <c r="N15" s="111" t="str">
        <f t="shared" si="15"/>
        <v>PP_06</v>
      </c>
      <c r="O15" s="111" t="str">
        <f t="shared" si="15"/>
        <v>PP_06</v>
      </c>
      <c r="P15" s="111" t="str">
        <f t="shared" si="15"/>
        <v>PP_06</v>
      </c>
    </row>
    <row r="16" spans="1:16" x14ac:dyDescent="0.25">
      <c r="D16" s="111" t="str">
        <f t="shared" si="2"/>
        <v>PP_06</v>
      </c>
      <c r="E16" s="111" t="str">
        <f t="shared" ref="E16:P16" si="16">D16</f>
        <v>PP_06</v>
      </c>
      <c r="F16" s="111" t="str">
        <f t="shared" si="16"/>
        <v>PP_06</v>
      </c>
      <c r="G16" s="111" t="str">
        <f t="shared" si="16"/>
        <v>PP_06</v>
      </c>
      <c r="H16" s="111" t="str">
        <f t="shared" si="16"/>
        <v>PP_06</v>
      </c>
      <c r="I16" s="111" t="str">
        <f t="shared" si="16"/>
        <v>PP_06</v>
      </c>
      <c r="J16" s="111" t="str">
        <f t="shared" si="16"/>
        <v>PP_06</v>
      </c>
      <c r="K16" s="111" t="str">
        <f t="shared" si="16"/>
        <v>PP_06</v>
      </c>
      <c r="L16" s="111" t="str">
        <f t="shared" si="16"/>
        <v>PP_06</v>
      </c>
      <c r="M16" s="111" t="str">
        <f t="shared" si="16"/>
        <v>PP_06</v>
      </c>
      <c r="N16" s="111" t="str">
        <f t="shared" si="16"/>
        <v>PP_06</v>
      </c>
      <c r="O16" s="111" t="str">
        <f t="shared" si="16"/>
        <v>PP_06</v>
      </c>
      <c r="P16" s="111" t="str">
        <f t="shared" si="16"/>
        <v>PP_06</v>
      </c>
    </row>
    <row r="17" spans="4:16" x14ac:dyDescent="0.25">
      <c r="D17" s="111" t="str">
        <f t="shared" si="2"/>
        <v>PP_06</v>
      </c>
      <c r="E17" s="111" t="str">
        <f t="shared" ref="E17:P17" si="17">D17</f>
        <v>PP_06</v>
      </c>
      <c r="F17" s="111" t="str">
        <f t="shared" si="17"/>
        <v>PP_06</v>
      </c>
      <c r="G17" s="111" t="str">
        <f t="shared" si="17"/>
        <v>PP_06</v>
      </c>
      <c r="H17" s="111" t="str">
        <f t="shared" si="17"/>
        <v>PP_06</v>
      </c>
      <c r="I17" s="111" t="str">
        <f t="shared" si="17"/>
        <v>PP_06</v>
      </c>
      <c r="J17" s="111" t="str">
        <f t="shared" si="17"/>
        <v>PP_06</v>
      </c>
      <c r="K17" s="111" t="str">
        <f t="shared" si="17"/>
        <v>PP_06</v>
      </c>
      <c r="L17" s="111" t="str">
        <f t="shared" si="17"/>
        <v>PP_06</v>
      </c>
      <c r="M17" s="111" t="str">
        <f t="shared" si="17"/>
        <v>PP_06</v>
      </c>
      <c r="N17" s="111" t="str">
        <f t="shared" si="17"/>
        <v>PP_06</v>
      </c>
      <c r="O17" s="111" t="str">
        <f t="shared" si="17"/>
        <v>PP_06</v>
      </c>
      <c r="P17" s="111" t="str">
        <f t="shared" si="17"/>
        <v>PP_06</v>
      </c>
    </row>
    <row r="18" spans="4:16" x14ac:dyDescent="0.25">
      <c r="D18" s="111" t="str">
        <f t="shared" si="2"/>
        <v>PP_06</v>
      </c>
      <c r="E18" s="111" t="str">
        <f t="shared" ref="E18:P18" si="18">D18</f>
        <v>PP_06</v>
      </c>
      <c r="F18" s="111" t="str">
        <f t="shared" si="18"/>
        <v>PP_06</v>
      </c>
      <c r="G18" s="111" t="str">
        <f t="shared" si="18"/>
        <v>PP_06</v>
      </c>
      <c r="H18" s="111" t="str">
        <f t="shared" si="18"/>
        <v>PP_06</v>
      </c>
      <c r="I18" s="111" t="str">
        <f t="shared" si="18"/>
        <v>PP_06</v>
      </c>
      <c r="J18" s="111" t="str">
        <f t="shared" si="18"/>
        <v>PP_06</v>
      </c>
      <c r="K18" s="111" t="str">
        <f t="shared" si="18"/>
        <v>PP_06</v>
      </c>
      <c r="L18" s="111" t="str">
        <f t="shared" si="18"/>
        <v>PP_06</v>
      </c>
      <c r="M18" s="111" t="str">
        <f t="shared" si="18"/>
        <v>PP_06</v>
      </c>
      <c r="N18" s="111" t="str">
        <f t="shared" si="18"/>
        <v>PP_06</v>
      </c>
      <c r="O18" s="111" t="str">
        <f t="shared" si="18"/>
        <v>PP_06</v>
      </c>
      <c r="P18" s="111" t="str">
        <f t="shared" si="18"/>
        <v>PP_06</v>
      </c>
    </row>
    <row r="19" spans="4:16" x14ac:dyDescent="0.25">
      <c r="D19" s="111" t="str">
        <f t="shared" si="2"/>
        <v>PP_06</v>
      </c>
      <c r="E19" s="111" t="str">
        <f t="shared" ref="E19:P19" si="19">D19</f>
        <v>PP_06</v>
      </c>
      <c r="F19" s="111" t="str">
        <f t="shared" si="19"/>
        <v>PP_06</v>
      </c>
      <c r="G19" s="111" t="str">
        <f t="shared" si="19"/>
        <v>PP_06</v>
      </c>
      <c r="H19" s="111" t="str">
        <f t="shared" si="19"/>
        <v>PP_06</v>
      </c>
      <c r="I19" s="111" t="str">
        <f t="shared" si="19"/>
        <v>PP_06</v>
      </c>
      <c r="J19" s="111" t="str">
        <f t="shared" si="19"/>
        <v>PP_06</v>
      </c>
      <c r="K19" s="111" t="str">
        <f t="shared" si="19"/>
        <v>PP_06</v>
      </c>
      <c r="L19" s="111" t="str">
        <f t="shared" si="19"/>
        <v>PP_06</v>
      </c>
      <c r="M19" s="111" t="str">
        <f t="shared" si="19"/>
        <v>PP_06</v>
      </c>
      <c r="N19" s="111" t="str">
        <f t="shared" si="19"/>
        <v>PP_06</v>
      </c>
      <c r="O19" s="111" t="str">
        <f t="shared" si="19"/>
        <v>PP_06</v>
      </c>
      <c r="P19" s="111" t="str">
        <f t="shared" si="19"/>
        <v>PP_06</v>
      </c>
    </row>
    <row r="20" spans="4:16" x14ac:dyDescent="0.25">
      <c r="D20" s="111" t="str">
        <f t="shared" si="2"/>
        <v>PP_06</v>
      </c>
      <c r="E20" s="111" t="str">
        <f t="shared" ref="E20:P20" si="20">D20</f>
        <v>PP_06</v>
      </c>
      <c r="F20" s="111" t="str">
        <f t="shared" si="20"/>
        <v>PP_06</v>
      </c>
      <c r="G20" s="111" t="str">
        <f t="shared" si="20"/>
        <v>PP_06</v>
      </c>
      <c r="H20" s="111" t="str">
        <f t="shared" si="20"/>
        <v>PP_06</v>
      </c>
      <c r="I20" s="111" t="str">
        <f t="shared" si="20"/>
        <v>PP_06</v>
      </c>
      <c r="J20" s="111" t="str">
        <f t="shared" si="20"/>
        <v>PP_06</v>
      </c>
      <c r="K20" s="111" t="str">
        <f t="shared" si="20"/>
        <v>PP_06</v>
      </c>
      <c r="L20" s="111" t="str">
        <f t="shared" si="20"/>
        <v>PP_06</v>
      </c>
      <c r="M20" s="111" t="str">
        <f t="shared" si="20"/>
        <v>PP_06</v>
      </c>
      <c r="N20" s="111" t="str">
        <f t="shared" si="20"/>
        <v>PP_06</v>
      </c>
      <c r="O20" s="111" t="str">
        <f t="shared" si="20"/>
        <v>PP_06</v>
      </c>
      <c r="P20" s="111" t="str">
        <f t="shared" si="20"/>
        <v>PP_06</v>
      </c>
    </row>
    <row r="21" spans="4:16" x14ac:dyDescent="0.25">
      <c r="D21" s="111" t="str">
        <f t="shared" si="2"/>
        <v>PP_06</v>
      </c>
      <c r="E21" s="111" t="str">
        <f t="shared" ref="E21:P21" si="21">D21</f>
        <v>PP_06</v>
      </c>
      <c r="F21" s="111" t="str">
        <f t="shared" si="21"/>
        <v>PP_06</v>
      </c>
      <c r="G21" s="111" t="str">
        <f t="shared" si="21"/>
        <v>PP_06</v>
      </c>
      <c r="H21" s="111" t="str">
        <f t="shared" si="21"/>
        <v>PP_06</v>
      </c>
      <c r="I21" s="111" t="str">
        <f t="shared" si="21"/>
        <v>PP_06</v>
      </c>
      <c r="J21" s="111" t="str">
        <f t="shared" si="21"/>
        <v>PP_06</v>
      </c>
      <c r="K21" s="111" t="str">
        <f t="shared" si="21"/>
        <v>PP_06</v>
      </c>
      <c r="L21" s="111" t="str">
        <f t="shared" si="21"/>
        <v>PP_06</v>
      </c>
      <c r="M21" s="111" t="str">
        <f t="shared" si="21"/>
        <v>PP_06</v>
      </c>
      <c r="N21" s="111" t="str">
        <f t="shared" si="21"/>
        <v>PP_06</v>
      </c>
      <c r="O21" s="111" t="str">
        <f t="shared" si="21"/>
        <v>PP_06</v>
      </c>
      <c r="P21" s="111" t="str">
        <f t="shared" si="21"/>
        <v>PP_06</v>
      </c>
    </row>
    <row r="22" spans="4:16" x14ac:dyDescent="0.25">
      <c r="D22" s="111" t="str">
        <f t="shared" si="2"/>
        <v>PP_06</v>
      </c>
      <c r="E22" s="111" t="str">
        <f t="shared" ref="E22:P22" si="22">D22</f>
        <v>PP_06</v>
      </c>
      <c r="F22" s="111" t="str">
        <f t="shared" si="22"/>
        <v>PP_06</v>
      </c>
      <c r="G22" s="111" t="str">
        <f t="shared" si="22"/>
        <v>PP_06</v>
      </c>
      <c r="H22" s="111" t="str">
        <f t="shared" si="22"/>
        <v>PP_06</v>
      </c>
      <c r="I22" s="111" t="str">
        <f t="shared" si="22"/>
        <v>PP_06</v>
      </c>
      <c r="J22" s="111" t="str">
        <f t="shared" si="22"/>
        <v>PP_06</v>
      </c>
      <c r="K22" s="111" t="str">
        <f t="shared" si="22"/>
        <v>PP_06</v>
      </c>
      <c r="L22" s="111" t="str">
        <f t="shared" si="22"/>
        <v>PP_06</v>
      </c>
      <c r="M22" s="111" t="str">
        <f t="shared" si="22"/>
        <v>PP_06</v>
      </c>
      <c r="N22" s="111" t="str">
        <f t="shared" si="22"/>
        <v>PP_06</v>
      </c>
      <c r="O22" s="111" t="str">
        <f t="shared" si="22"/>
        <v>PP_06</v>
      </c>
      <c r="P22" s="111" t="str">
        <f t="shared" si="22"/>
        <v>PP_06</v>
      </c>
    </row>
    <row r="23" spans="4:16" x14ac:dyDescent="0.25">
      <c r="D23" s="111" t="str">
        <f t="shared" si="2"/>
        <v>PP_06</v>
      </c>
      <c r="E23" s="111" t="str">
        <f t="shared" ref="E23:P23" si="23">D23</f>
        <v>PP_06</v>
      </c>
      <c r="F23" s="111" t="str">
        <f t="shared" si="23"/>
        <v>PP_06</v>
      </c>
      <c r="G23" s="111" t="str">
        <f t="shared" si="23"/>
        <v>PP_06</v>
      </c>
      <c r="H23" s="111" t="str">
        <f t="shared" si="23"/>
        <v>PP_06</v>
      </c>
      <c r="I23" s="111" t="str">
        <f t="shared" si="23"/>
        <v>PP_06</v>
      </c>
      <c r="J23" s="111" t="str">
        <f t="shared" si="23"/>
        <v>PP_06</v>
      </c>
      <c r="K23" s="111" t="str">
        <f t="shared" si="23"/>
        <v>PP_06</v>
      </c>
      <c r="L23" s="111" t="str">
        <f t="shared" si="23"/>
        <v>PP_06</v>
      </c>
      <c r="M23" s="111" t="str">
        <f t="shared" si="23"/>
        <v>PP_06</v>
      </c>
      <c r="N23" s="111" t="str">
        <f t="shared" si="23"/>
        <v>PP_06</v>
      </c>
      <c r="O23" s="111" t="str">
        <f t="shared" si="23"/>
        <v>PP_06</v>
      </c>
      <c r="P23" s="111" t="str">
        <f t="shared" si="23"/>
        <v>PP_06</v>
      </c>
    </row>
    <row r="24" spans="4:16" x14ac:dyDescent="0.25">
      <c r="D24" s="111" t="str">
        <f t="shared" si="2"/>
        <v>PP_06</v>
      </c>
      <c r="E24" s="111" t="str">
        <f t="shared" ref="E24:P24" si="24">D24</f>
        <v>PP_06</v>
      </c>
      <c r="F24" s="111" t="str">
        <f t="shared" si="24"/>
        <v>PP_06</v>
      </c>
      <c r="G24" s="111" t="str">
        <f t="shared" si="24"/>
        <v>PP_06</v>
      </c>
      <c r="H24" s="111" t="str">
        <f t="shared" si="24"/>
        <v>PP_06</v>
      </c>
      <c r="I24" s="111" t="str">
        <f t="shared" si="24"/>
        <v>PP_06</v>
      </c>
      <c r="J24" s="111" t="str">
        <f t="shared" si="24"/>
        <v>PP_06</v>
      </c>
      <c r="K24" s="111" t="str">
        <f t="shared" si="24"/>
        <v>PP_06</v>
      </c>
      <c r="L24" s="111" t="str">
        <f t="shared" si="24"/>
        <v>PP_06</v>
      </c>
      <c r="M24" s="111" t="str">
        <f t="shared" si="24"/>
        <v>PP_06</v>
      </c>
      <c r="N24" s="111" t="str">
        <f t="shared" si="24"/>
        <v>PP_06</v>
      </c>
      <c r="O24" s="111" t="str">
        <f t="shared" si="24"/>
        <v>PP_06</v>
      </c>
      <c r="P24" s="111" t="str">
        <f t="shared" si="24"/>
        <v>PP_06</v>
      </c>
    </row>
    <row r="25" spans="4:16" x14ac:dyDescent="0.25">
      <c r="D25" s="111" t="str">
        <f t="shared" si="2"/>
        <v>PP_06</v>
      </c>
      <c r="E25" s="111" t="str">
        <f t="shared" ref="E25:P25" si="25">D25</f>
        <v>PP_06</v>
      </c>
      <c r="F25" s="111" t="str">
        <f t="shared" si="25"/>
        <v>PP_06</v>
      </c>
      <c r="G25" s="111" t="str">
        <f t="shared" si="25"/>
        <v>PP_06</v>
      </c>
      <c r="H25" s="111" t="str">
        <f t="shared" si="25"/>
        <v>PP_06</v>
      </c>
      <c r="I25" s="111" t="str">
        <f t="shared" si="25"/>
        <v>PP_06</v>
      </c>
      <c r="J25" s="111" t="str">
        <f t="shared" si="25"/>
        <v>PP_06</v>
      </c>
      <c r="K25" s="111" t="str">
        <f t="shared" si="25"/>
        <v>PP_06</v>
      </c>
      <c r="L25" s="111" t="str">
        <f t="shared" si="25"/>
        <v>PP_06</v>
      </c>
      <c r="M25" s="111" t="str">
        <f t="shared" si="25"/>
        <v>PP_06</v>
      </c>
      <c r="N25" s="111" t="str">
        <f t="shared" si="25"/>
        <v>PP_06</v>
      </c>
      <c r="O25" s="111" t="str">
        <f t="shared" si="25"/>
        <v>PP_06</v>
      </c>
      <c r="P25" s="111" t="str">
        <f t="shared" si="25"/>
        <v>PP_06</v>
      </c>
    </row>
    <row r="26" spans="4:16" x14ac:dyDescent="0.25">
      <c r="D26" s="111" t="str">
        <f t="shared" si="2"/>
        <v>PP_06</v>
      </c>
      <c r="E26" s="111" t="str">
        <f t="shared" ref="E26:P26" si="26">D26</f>
        <v>PP_06</v>
      </c>
      <c r="F26" s="111" t="str">
        <f t="shared" si="26"/>
        <v>PP_06</v>
      </c>
      <c r="G26" s="111" t="str">
        <f t="shared" si="26"/>
        <v>PP_06</v>
      </c>
      <c r="H26" s="111" t="str">
        <f t="shared" si="26"/>
        <v>PP_06</v>
      </c>
      <c r="I26" s="111" t="str">
        <f t="shared" si="26"/>
        <v>PP_06</v>
      </c>
      <c r="J26" s="111" t="str">
        <f t="shared" si="26"/>
        <v>PP_06</v>
      </c>
      <c r="K26" s="111" t="str">
        <f t="shared" si="26"/>
        <v>PP_06</v>
      </c>
      <c r="L26" s="111" t="str">
        <f t="shared" si="26"/>
        <v>PP_06</v>
      </c>
      <c r="M26" s="111" t="str">
        <f t="shared" si="26"/>
        <v>PP_06</v>
      </c>
      <c r="N26" s="111" t="str">
        <f t="shared" si="26"/>
        <v>PP_06</v>
      </c>
      <c r="O26" s="111" t="str">
        <f t="shared" si="26"/>
        <v>PP_06</v>
      </c>
      <c r="P26" s="111" t="str">
        <f t="shared" si="26"/>
        <v>PP_06</v>
      </c>
    </row>
    <row r="27" spans="4:16" x14ac:dyDescent="0.25">
      <c r="D27" s="111" t="str">
        <f t="shared" si="2"/>
        <v>PP_06</v>
      </c>
      <c r="E27" s="111" t="str">
        <f t="shared" ref="E27:P27" si="27">D27</f>
        <v>PP_06</v>
      </c>
      <c r="F27" s="111" t="str">
        <f t="shared" si="27"/>
        <v>PP_06</v>
      </c>
      <c r="G27" s="111" t="str">
        <f t="shared" si="27"/>
        <v>PP_06</v>
      </c>
      <c r="H27" s="111" t="str">
        <f t="shared" si="27"/>
        <v>PP_06</v>
      </c>
      <c r="I27" s="111" t="str">
        <f t="shared" si="27"/>
        <v>PP_06</v>
      </c>
      <c r="J27" s="111" t="str">
        <f t="shared" si="27"/>
        <v>PP_06</v>
      </c>
      <c r="K27" s="111" t="str">
        <f t="shared" si="27"/>
        <v>PP_06</v>
      </c>
      <c r="L27" s="111" t="str">
        <f t="shared" si="27"/>
        <v>PP_06</v>
      </c>
      <c r="M27" s="111" t="str">
        <f t="shared" si="27"/>
        <v>PP_06</v>
      </c>
      <c r="N27" s="111" t="str">
        <f t="shared" si="27"/>
        <v>PP_06</v>
      </c>
      <c r="O27" s="111" t="str">
        <f t="shared" si="27"/>
        <v>PP_06</v>
      </c>
      <c r="P27" s="111" t="str">
        <f t="shared" si="27"/>
        <v>PP_06</v>
      </c>
    </row>
    <row r="28" spans="4:16" x14ac:dyDescent="0.25">
      <c r="D28" s="111" t="str">
        <f t="shared" si="2"/>
        <v>PP_06</v>
      </c>
      <c r="E28" s="111" t="str">
        <f t="shared" ref="E28:P28" si="28">D28</f>
        <v>PP_06</v>
      </c>
      <c r="F28" s="111" t="str">
        <f t="shared" si="28"/>
        <v>PP_06</v>
      </c>
      <c r="G28" s="111" t="str">
        <f t="shared" si="28"/>
        <v>PP_06</v>
      </c>
      <c r="H28" s="111" t="str">
        <f t="shared" si="28"/>
        <v>PP_06</v>
      </c>
      <c r="I28" s="111" t="str">
        <f t="shared" si="28"/>
        <v>PP_06</v>
      </c>
      <c r="J28" s="111" t="str">
        <f t="shared" si="28"/>
        <v>PP_06</v>
      </c>
      <c r="K28" s="111" t="str">
        <f t="shared" si="28"/>
        <v>PP_06</v>
      </c>
      <c r="L28" s="111" t="str">
        <f t="shared" si="28"/>
        <v>PP_06</v>
      </c>
      <c r="M28" s="111" t="str">
        <f t="shared" si="28"/>
        <v>PP_06</v>
      </c>
      <c r="N28" s="111" t="str">
        <f t="shared" si="28"/>
        <v>PP_06</v>
      </c>
      <c r="O28" s="111" t="str">
        <f t="shared" si="28"/>
        <v>PP_06</v>
      </c>
      <c r="P28" s="111" t="str">
        <f t="shared" si="28"/>
        <v>PP_06</v>
      </c>
    </row>
    <row r="29" spans="4:16" x14ac:dyDescent="0.25">
      <c r="D29" s="111" t="str">
        <f t="shared" si="2"/>
        <v>PP_06</v>
      </c>
      <c r="E29" s="111" t="str">
        <f t="shared" ref="E29:P29" si="29">D29</f>
        <v>PP_06</v>
      </c>
      <c r="F29" s="111" t="str">
        <f t="shared" si="29"/>
        <v>PP_06</v>
      </c>
      <c r="G29" s="111" t="str">
        <f t="shared" si="29"/>
        <v>PP_06</v>
      </c>
      <c r="H29" s="111" t="str">
        <f t="shared" si="29"/>
        <v>PP_06</v>
      </c>
      <c r="I29" s="111" t="str">
        <f t="shared" si="29"/>
        <v>PP_06</v>
      </c>
      <c r="J29" s="111" t="str">
        <f t="shared" si="29"/>
        <v>PP_06</v>
      </c>
      <c r="K29" s="111" t="str">
        <f t="shared" si="29"/>
        <v>PP_06</v>
      </c>
      <c r="L29" s="111" t="str">
        <f t="shared" si="29"/>
        <v>PP_06</v>
      </c>
      <c r="M29" s="111" t="str">
        <f t="shared" si="29"/>
        <v>PP_06</v>
      </c>
      <c r="N29" s="111" t="str">
        <f t="shared" si="29"/>
        <v>PP_06</v>
      </c>
      <c r="O29" s="111" t="str">
        <f t="shared" si="29"/>
        <v>PP_06</v>
      </c>
      <c r="P29" s="111" t="str">
        <f t="shared" si="29"/>
        <v>PP_06</v>
      </c>
    </row>
    <row r="30" spans="4:16" x14ac:dyDescent="0.25">
      <c r="D30" s="111" t="str">
        <f t="shared" si="2"/>
        <v>PP_06</v>
      </c>
      <c r="E30" s="111" t="str">
        <f t="shared" ref="E30:P30" si="30">D30</f>
        <v>PP_06</v>
      </c>
      <c r="F30" s="111" t="str">
        <f t="shared" si="30"/>
        <v>PP_06</v>
      </c>
      <c r="G30" s="111" t="str">
        <f t="shared" si="30"/>
        <v>PP_06</v>
      </c>
      <c r="H30" s="111" t="str">
        <f t="shared" si="30"/>
        <v>PP_06</v>
      </c>
      <c r="I30" s="111" t="str">
        <f t="shared" si="30"/>
        <v>PP_06</v>
      </c>
      <c r="J30" s="111" t="str">
        <f t="shared" si="30"/>
        <v>PP_06</v>
      </c>
      <c r="K30" s="111" t="str">
        <f t="shared" si="30"/>
        <v>PP_06</v>
      </c>
      <c r="L30" s="111" t="str">
        <f t="shared" si="30"/>
        <v>PP_06</v>
      </c>
      <c r="M30" s="111" t="str">
        <f t="shared" si="30"/>
        <v>PP_06</v>
      </c>
      <c r="N30" s="111" t="str">
        <f t="shared" si="30"/>
        <v>PP_06</v>
      </c>
      <c r="O30" s="111" t="str">
        <f t="shared" si="30"/>
        <v>PP_06</v>
      </c>
      <c r="P30" s="111" t="str">
        <f t="shared" si="30"/>
        <v>PP_06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08" t="s">
        <v>131</v>
      </c>
      <c r="E1" s="108" t="str">
        <f>D1</f>
        <v>PP_07</v>
      </c>
      <c r="F1" s="108" t="str">
        <f t="shared" ref="F1:P1" si="0">E1</f>
        <v>PP_07</v>
      </c>
      <c r="G1" s="108" t="str">
        <f t="shared" si="0"/>
        <v>PP_07</v>
      </c>
      <c r="H1" s="108" t="str">
        <f t="shared" si="0"/>
        <v>PP_07</v>
      </c>
      <c r="I1" s="108" t="str">
        <f t="shared" si="0"/>
        <v>PP_07</v>
      </c>
      <c r="J1" s="108" t="str">
        <f t="shared" si="0"/>
        <v>PP_07</v>
      </c>
      <c r="K1" s="108" t="str">
        <f t="shared" si="0"/>
        <v>PP_07</v>
      </c>
      <c r="L1" s="108" t="str">
        <f t="shared" si="0"/>
        <v>PP_07</v>
      </c>
      <c r="M1" s="108" t="str">
        <f t="shared" si="0"/>
        <v>PP_07</v>
      </c>
      <c r="N1" s="108" t="str">
        <f t="shared" si="0"/>
        <v>PP_07</v>
      </c>
      <c r="O1" s="108" t="str">
        <f t="shared" si="0"/>
        <v>PP_07</v>
      </c>
      <c r="P1" s="108" t="str">
        <f t="shared" si="0"/>
        <v>PP_07</v>
      </c>
    </row>
    <row r="2" spans="1:16" x14ac:dyDescent="0.25">
      <c r="A2" s="106" t="s">
        <v>177</v>
      </c>
      <c r="B2" s="107" t="s">
        <v>196</v>
      </c>
      <c r="D2" s="108" t="str">
        <f>D1</f>
        <v>PP_07</v>
      </c>
      <c r="E2" s="108" t="str">
        <f t="shared" ref="E2:P2" si="1">D2</f>
        <v>PP_07</v>
      </c>
      <c r="F2" s="108" t="str">
        <f t="shared" si="1"/>
        <v>PP_07</v>
      </c>
      <c r="G2" s="108" t="str">
        <f t="shared" si="1"/>
        <v>PP_07</v>
      </c>
      <c r="H2" s="108" t="str">
        <f t="shared" si="1"/>
        <v>PP_07</v>
      </c>
      <c r="I2" s="108" t="str">
        <f t="shared" si="1"/>
        <v>PP_07</v>
      </c>
      <c r="J2" s="108" t="str">
        <f t="shared" si="1"/>
        <v>PP_07</v>
      </c>
      <c r="K2" s="108" t="str">
        <f t="shared" si="1"/>
        <v>PP_07</v>
      </c>
      <c r="L2" s="108" t="str">
        <f t="shared" si="1"/>
        <v>PP_07</v>
      </c>
      <c r="M2" s="108" t="str">
        <f t="shared" si="1"/>
        <v>PP_07</v>
      </c>
      <c r="N2" s="108" t="str">
        <f t="shared" si="1"/>
        <v>PP_07</v>
      </c>
      <c r="O2" s="108" t="str">
        <f t="shared" si="1"/>
        <v>PP_07</v>
      </c>
      <c r="P2" s="108" t="str">
        <f t="shared" si="1"/>
        <v>PP_07</v>
      </c>
    </row>
    <row r="3" spans="1:16" x14ac:dyDescent="0.25">
      <c r="A3" s="74"/>
      <c r="B3" s="70"/>
      <c r="D3" s="108" t="str">
        <f t="shared" ref="D3:D30" si="2">D2</f>
        <v>PP_07</v>
      </c>
      <c r="E3" s="108" t="str">
        <f t="shared" ref="E3:P3" si="3">D3</f>
        <v>PP_07</v>
      </c>
      <c r="F3" s="108" t="str">
        <f t="shared" si="3"/>
        <v>PP_07</v>
      </c>
      <c r="G3" s="108" t="str">
        <f t="shared" si="3"/>
        <v>PP_07</v>
      </c>
      <c r="H3" s="108" t="str">
        <f t="shared" si="3"/>
        <v>PP_07</v>
      </c>
      <c r="I3" s="108" t="str">
        <f t="shared" si="3"/>
        <v>PP_07</v>
      </c>
      <c r="J3" s="108" t="str">
        <f t="shared" si="3"/>
        <v>PP_07</v>
      </c>
      <c r="K3" s="108" t="str">
        <f t="shared" si="3"/>
        <v>PP_07</v>
      </c>
      <c r="L3" s="108" t="str">
        <f t="shared" si="3"/>
        <v>PP_07</v>
      </c>
      <c r="M3" s="108" t="str">
        <f t="shared" si="3"/>
        <v>PP_07</v>
      </c>
      <c r="N3" s="108" t="str">
        <f t="shared" si="3"/>
        <v>PP_07</v>
      </c>
      <c r="O3" s="108" t="str">
        <f t="shared" si="3"/>
        <v>PP_07</v>
      </c>
      <c r="P3" s="108" t="str">
        <f t="shared" si="3"/>
        <v>PP_07</v>
      </c>
    </row>
    <row r="4" spans="1:16" x14ac:dyDescent="0.25">
      <c r="A4" s="75"/>
      <c r="B4" s="76"/>
      <c r="D4" s="108" t="str">
        <f t="shared" si="2"/>
        <v>PP_07</v>
      </c>
      <c r="E4" s="108" t="str">
        <f t="shared" ref="E4:P4" si="4">D4</f>
        <v>PP_07</v>
      </c>
      <c r="F4" s="108" t="str">
        <f t="shared" si="4"/>
        <v>PP_07</v>
      </c>
      <c r="G4" s="108" t="str">
        <f t="shared" si="4"/>
        <v>PP_07</v>
      </c>
      <c r="H4" s="108" t="str">
        <f t="shared" si="4"/>
        <v>PP_07</v>
      </c>
      <c r="I4" s="108" t="str">
        <f t="shared" si="4"/>
        <v>PP_07</v>
      </c>
      <c r="J4" s="108" t="str">
        <f t="shared" si="4"/>
        <v>PP_07</v>
      </c>
      <c r="K4" s="108" t="str">
        <f t="shared" si="4"/>
        <v>PP_07</v>
      </c>
      <c r="L4" s="108" t="str">
        <f t="shared" si="4"/>
        <v>PP_07</v>
      </c>
      <c r="M4" s="108" t="str">
        <f t="shared" si="4"/>
        <v>PP_07</v>
      </c>
      <c r="N4" s="108" t="str">
        <f t="shared" si="4"/>
        <v>PP_07</v>
      </c>
      <c r="O4" s="108" t="str">
        <f t="shared" si="4"/>
        <v>PP_07</v>
      </c>
      <c r="P4" s="108" t="str">
        <f t="shared" si="4"/>
        <v>PP_07</v>
      </c>
    </row>
    <row r="5" spans="1:16" x14ac:dyDescent="0.25">
      <c r="A5" s="74"/>
      <c r="B5" s="70"/>
      <c r="D5" s="108" t="str">
        <f t="shared" si="2"/>
        <v>PP_07</v>
      </c>
      <c r="E5" s="108" t="str">
        <f t="shared" ref="E5:P5" si="5">D5</f>
        <v>PP_07</v>
      </c>
      <c r="F5" s="108" t="str">
        <f t="shared" si="5"/>
        <v>PP_07</v>
      </c>
      <c r="G5" s="108" t="str">
        <f t="shared" si="5"/>
        <v>PP_07</v>
      </c>
      <c r="H5" s="108" t="str">
        <f t="shared" si="5"/>
        <v>PP_07</v>
      </c>
      <c r="I5" s="108" t="str">
        <f t="shared" si="5"/>
        <v>PP_07</v>
      </c>
      <c r="J5" s="108" t="str">
        <f t="shared" si="5"/>
        <v>PP_07</v>
      </c>
      <c r="K5" s="108" t="str">
        <f t="shared" si="5"/>
        <v>PP_07</v>
      </c>
      <c r="L5" s="108" t="str">
        <f t="shared" si="5"/>
        <v>PP_07</v>
      </c>
      <c r="M5" s="108" t="str">
        <f t="shared" si="5"/>
        <v>PP_07</v>
      </c>
      <c r="N5" s="108" t="str">
        <f t="shared" si="5"/>
        <v>PP_07</v>
      </c>
      <c r="O5" s="108" t="str">
        <f t="shared" si="5"/>
        <v>PP_07</v>
      </c>
      <c r="P5" s="108" t="str">
        <f t="shared" si="5"/>
        <v>PP_07</v>
      </c>
    </row>
    <row r="6" spans="1:16" x14ac:dyDescent="0.25">
      <c r="A6" s="74"/>
      <c r="B6" s="70"/>
      <c r="D6" s="108" t="str">
        <f t="shared" si="2"/>
        <v>PP_07</v>
      </c>
      <c r="E6" s="108" t="str">
        <f t="shared" ref="E6:P6" si="6">D6</f>
        <v>PP_07</v>
      </c>
      <c r="F6" s="108" t="str">
        <f t="shared" si="6"/>
        <v>PP_07</v>
      </c>
      <c r="G6" s="108" t="str">
        <f t="shared" si="6"/>
        <v>PP_07</v>
      </c>
      <c r="H6" s="108" t="str">
        <f t="shared" si="6"/>
        <v>PP_07</v>
      </c>
      <c r="I6" s="108" t="str">
        <f t="shared" si="6"/>
        <v>PP_07</v>
      </c>
      <c r="J6" s="108" t="str">
        <f t="shared" si="6"/>
        <v>PP_07</v>
      </c>
      <c r="K6" s="108" t="str">
        <f t="shared" si="6"/>
        <v>PP_07</v>
      </c>
      <c r="L6" s="108" t="str">
        <f t="shared" si="6"/>
        <v>PP_07</v>
      </c>
      <c r="M6" s="108" t="str">
        <f t="shared" si="6"/>
        <v>PP_07</v>
      </c>
      <c r="N6" s="108" t="str">
        <f t="shared" si="6"/>
        <v>PP_07</v>
      </c>
      <c r="O6" s="108" t="str">
        <f t="shared" si="6"/>
        <v>PP_07</v>
      </c>
      <c r="P6" s="108" t="str">
        <f t="shared" si="6"/>
        <v>PP_07</v>
      </c>
    </row>
    <row r="7" spans="1:16" x14ac:dyDescent="0.25">
      <c r="D7" s="108" t="str">
        <f t="shared" si="2"/>
        <v>PP_07</v>
      </c>
      <c r="E7" s="108" t="str">
        <f t="shared" ref="E7:P7" si="7">D7</f>
        <v>PP_07</v>
      </c>
      <c r="F7" s="108" t="str">
        <f t="shared" si="7"/>
        <v>PP_07</v>
      </c>
      <c r="G7" s="108" t="str">
        <f t="shared" si="7"/>
        <v>PP_07</v>
      </c>
      <c r="H7" s="108" t="str">
        <f t="shared" si="7"/>
        <v>PP_07</v>
      </c>
      <c r="I7" s="108" t="str">
        <f t="shared" si="7"/>
        <v>PP_07</v>
      </c>
      <c r="J7" s="108" t="str">
        <f t="shared" si="7"/>
        <v>PP_07</v>
      </c>
      <c r="K7" s="108" t="str">
        <f t="shared" si="7"/>
        <v>PP_07</v>
      </c>
      <c r="L7" s="108" t="str">
        <f t="shared" si="7"/>
        <v>PP_07</v>
      </c>
      <c r="M7" s="108" t="str">
        <f t="shared" si="7"/>
        <v>PP_07</v>
      </c>
      <c r="N7" s="108" t="str">
        <f t="shared" si="7"/>
        <v>PP_07</v>
      </c>
      <c r="O7" s="108" t="str">
        <f t="shared" si="7"/>
        <v>PP_07</v>
      </c>
      <c r="P7" s="108" t="str">
        <f t="shared" si="7"/>
        <v>PP_07</v>
      </c>
    </row>
    <row r="8" spans="1:16" x14ac:dyDescent="0.25">
      <c r="D8" s="108" t="str">
        <f t="shared" si="2"/>
        <v>PP_07</v>
      </c>
      <c r="E8" s="108" t="str">
        <f t="shared" ref="E8:P8" si="8">D8</f>
        <v>PP_07</v>
      </c>
      <c r="F8" s="108" t="str">
        <f t="shared" si="8"/>
        <v>PP_07</v>
      </c>
      <c r="G8" s="108" t="str">
        <f t="shared" si="8"/>
        <v>PP_07</v>
      </c>
      <c r="H8" s="108" t="str">
        <f t="shared" si="8"/>
        <v>PP_07</v>
      </c>
      <c r="I8" s="108" t="str">
        <f t="shared" si="8"/>
        <v>PP_07</v>
      </c>
      <c r="J8" s="108" t="str">
        <f t="shared" si="8"/>
        <v>PP_07</v>
      </c>
      <c r="K8" s="108" t="str">
        <f t="shared" si="8"/>
        <v>PP_07</v>
      </c>
      <c r="L8" s="108" t="str">
        <f t="shared" si="8"/>
        <v>PP_07</v>
      </c>
      <c r="M8" s="108" t="str">
        <f t="shared" si="8"/>
        <v>PP_07</v>
      </c>
      <c r="N8" s="108" t="str">
        <f t="shared" si="8"/>
        <v>PP_07</v>
      </c>
      <c r="O8" s="108" t="str">
        <f t="shared" si="8"/>
        <v>PP_07</v>
      </c>
      <c r="P8" s="108" t="str">
        <f t="shared" si="8"/>
        <v>PP_07</v>
      </c>
    </row>
    <row r="9" spans="1:16" x14ac:dyDescent="0.25">
      <c r="D9" s="108" t="str">
        <f t="shared" si="2"/>
        <v>PP_07</v>
      </c>
      <c r="E9" s="108" t="str">
        <f t="shared" ref="E9:P9" si="9">D9</f>
        <v>PP_07</v>
      </c>
      <c r="F9" s="108" t="str">
        <f t="shared" si="9"/>
        <v>PP_07</v>
      </c>
      <c r="G9" s="108" t="str">
        <f t="shared" si="9"/>
        <v>PP_07</v>
      </c>
      <c r="H9" s="108" t="str">
        <f t="shared" si="9"/>
        <v>PP_07</v>
      </c>
      <c r="I9" s="108" t="str">
        <f t="shared" si="9"/>
        <v>PP_07</v>
      </c>
      <c r="J9" s="108" t="str">
        <f t="shared" si="9"/>
        <v>PP_07</v>
      </c>
      <c r="K9" s="108" t="str">
        <f t="shared" si="9"/>
        <v>PP_07</v>
      </c>
      <c r="L9" s="108" t="str">
        <f t="shared" si="9"/>
        <v>PP_07</v>
      </c>
      <c r="M9" s="108" t="str">
        <f t="shared" si="9"/>
        <v>PP_07</v>
      </c>
      <c r="N9" s="108" t="str">
        <f t="shared" si="9"/>
        <v>PP_07</v>
      </c>
      <c r="O9" s="108" t="str">
        <f t="shared" si="9"/>
        <v>PP_07</v>
      </c>
      <c r="P9" s="108" t="str">
        <f t="shared" si="9"/>
        <v>PP_07</v>
      </c>
    </row>
    <row r="10" spans="1:16" x14ac:dyDescent="0.25">
      <c r="D10" s="108" t="str">
        <f t="shared" si="2"/>
        <v>PP_07</v>
      </c>
      <c r="E10" s="108" t="str">
        <f t="shared" ref="E10:P10" si="10">D10</f>
        <v>PP_07</v>
      </c>
      <c r="F10" s="108" t="str">
        <f t="shared" si="10"/>
        <v>PP_07</v>
      </c>
      <c r="G10" s="108" t="str">
        <f t="shared" si="10"/>
        <v>PP_07</v>
      </c>
      <c r="H10" s="108" t="str">
        <f t="shared" si="10"/>
        <v>PP_07</v>
      </c>
      <c r="I10" s="108" t="str">
        <f t="shared" si="10"/>
        <v>PP_07</v>
      </c>
      <c r="J10" s="108" t="str">
        <f t="shared" si="10"/>
        <v>PP_07</v>
      </c>
      <c r="K10" s="108" t="str">
        <f t="shared" si="10"/>
        <v>PP_07</v>
      </c>
      <c r="L10" s="108" t="str">
        <f t="shared" si="10"/>
        <v>PP_07</v>
      </c>
      <c r="M10" s="108" t="str">
        <f t="shared" si="10"/>
        <v>PP_07</v>
      </c>
      <c r="N10" s="108" t="str">
        <f t="shared" si="10"/>
        <v>PP_07</v>
      </c>
      <c r="O10" s="108" t="str">
        <f t="shared" si="10"/>
        <v>PP_07</v>
      </c>
      <c r="P10" s="108" t="str">
        <f t="shared" si="10"/>
        <v>PP_07</v>
      </c>
    </row>
    <row r="11" spans="1:16" x14ac:dyDescent="0.25">
      <c r="D11" s="108" t="str">
        <f t="shared" si="2"/>
        <v>PP_07</v>
      </c>
      <c r="E11" s="108" t="str">
        <f t="shared" ref="E11:P11" si="11">D11</f>
        <v>PP_07</v>
      </c>
      <c r="F11" s="108" t="str">
        <f t="shared" si="11"/>
        <v>PP_07</v>
      </c>
      <c r="G11" s="108" t="str">
        <f t="shared" si="11"/>
        <v>PP_07</v>
      </c>
      <c r="H11" s="108" t="str">
        <f t="shared" si="11"/>
        <v>PP_07</v>
      </c>
      <c r="I11" s="108" t="str">
        <f t="shared" si="11"/>
        <v>PP_07</v>
      </c>
      <c r="J11" s="108" t="str">
        <f t="shared" si="11"/>
        <v>PP_07</v>
      </c>
      <c r="K11" s="108" t="str">
        <f t="shared" si="11"/>
        <v>PP_07</v>
      </c>
      <c r="L11" s="108" t="str">
        <f t="shared" si="11"/>
        <v>PP_07</v>
      </c>
      <c r="M11" s="108" t="str">
        <f t="shared" si="11"/>
        <v>PP_07</v>
      </c>
      <c r="N11" s="108" t="str">
        <f t="shared" si="11"/>
        <v>PP_07</v>
      </c>
      <c r="O11" s="108" t="str">
        <f t="shared" si="11"/>
        <v>PP_07</v>
      </c>
      <c r="P11" s="108" t="str">
        <f t="shared" si="11"/>
        <v>PP_07</v>
      </c>
    </row>
    <row r="12" spans="1:16" x14ac:dyDescent="0.25">
      <c r="D12" s="108" t="str">
        <f t="shared" si="2"/>
        <v>PP_07</v>
      </c>
      <c r="E12" s="108" t="str">
        <f t="shared" ref="E12:P12" si="12">D12</f>
        <v>PP_07</v>
      </c>
      <c r="F12" s="108" t="str">
        <f t="shared" si="12"/>
        <v>PP_07</v>
      </c>
      <c r="G12" s="108" t="str">
        <f t="shared" si="12"/>
        <v>PP_07</v>
      </c>
      <c r="H12" s="108" t="str">
        <f t="shared" si="12"/>
        <v>PP_07</v>
      </c>
      <c r="I12" s="108" t="str">
        <f t="shared" si="12"/>
        <v>PP_07</v>
      </c>
      <c r="J12" s="108" t="str">
        <f t="shared" si="12"/>
        <v>PP_07</v>
      </c>
      <c r="K12" s="108" t="str">
        <f t="shared" si="12"/>
        <v>PP_07</v>
      </c>
      <c r="L12" s="108" t="str">
        <f t="shared" si="12"/>
        <v>PP_07</v>
      </c>
      <c r="M12" s="108" t="str">
        <f t="shared" si="12"/>
        <v>PP_07</v>
      </c>
      <c r="N12" s="108" t="str">
        <f t="shared" si="12"/>
        <v>PP_07</v>
      </c>
      <c r="O12" s="108" t="str">
        <f t="shared" si="12"/>
        <v>PP_07</v>
      </c>
      <c r="P12" s="108" t="str">
        <f t="shared" si="12"/>
        <v>PP_07</v>
      </c>
    </row>
    <row r="13" spans="1:16" x14ac:dyDescent="0.25">
      <c r="D13" s="108" t="str">
        <f t="shared" si="2"/>
        <v>PP_07</v>
      </c>
      <c r="E13" s="108" t="str">
        <f t="shared" ref="E13:P13" si="13">D13</f>
        <v>PP_07</v>
      </c>
      <c r="F13" s="108" t="str">
        <f t="shared" si="13"/>
        <v>PP_07</v>
      </c>
      <c r="G13" s="108" t="str">
        <f t="shared" si="13"/>
        <v>PP_07</v>
      </c>
      <c r="H13" s="108" t="str">
        <f t="shared" si="13"/>
        <v>PP_07</v>
      </c>
      <c r="I13" s="108" t="str">
        <f t="shared" si="13"/>
        <v>PP_07</v>
      </c>
      <c r="J13" s="108" t="str">
        <f t="shared" si="13"/>
        <v>PP_07</v>
      </c>
      <c r="K13" s="108" t="str">
        <f t="shared" si="13"/>
        <v>PP_07</v>
      </c>
      <c r="L13" s="108" t="str">
        <f t="shared" si="13"/>
        <v>PP_07</v>
      </c>
      <c r="M13" s="108" t="str">
        <f t="shared" si="13"/>
        <v>PP_07</v>
      </c>
      <c r="N13" s="108" t="str">
        <f t="shared" si="13"/>
        <v>PP_07</v>
      </c>
      <c r="O13" s="108" t="str">
        <f t="shared" si="13"/>
        <v>PP_07</v>
      </c>
      <c r="P13" s="108" t="str">
        <f t="shared" si="13"/>
        <v>PP_07</v>
      </c>
    </row>
    <row r="14" spans="1:16" x14ac:dyDescent="0.25">
      <c r="D14" s="108" t="str">
        <f t="shared" si="2"/>
        <v>PP_07</v>
      </c>
      <c r="E14" s="108" t="str">
        <f t="shared" ref="E14:P14" si="14">D14</f>
        <v>PP_07</v>
      </c>
      <c r="F14" s="108" t="str">
        <f t="shared" si="14"/>
        <v>PP_07</v>
      </c>
      <c r="G14" s="108" t="str">
        <f t="shared" si="14"/>
        <v>PP_07</v>
      </c>
      <c r="H14" s="108" t="str">
        <f t="shared" si="14"/>
        <v>PP_07</v>
      </c>
      <c r="I14" s="108" t="str">
        <f t="shared" si="14"/>
        <v>PP_07</v>
      </c>
      <c r="J14" s="108" t="str">
        <f t="shared" si="14"/>
        <v>PP_07</v>
      </c>
      <c r="K14" s="108" t="str">
        <f t="shared" si="14"/>
        <v>PP_07</v>
      </c>
      <c r="L14" s="108" t="str">
        <f t="shared" si="14"/>
        <v>PP_07</v>
      </c>
      <c r="M14" s="108" t="str">
        <f t="shared" si="14"/>
        <v>PP_07</v>
      </c>
      <c r="N14" s="108" t="str">
        <f t="shared" si="14"/>
        <v>PP_07</v>
      </c>
      <c r="O14" s="108" t="str">
        <f t="shared" si="14"/>
        <v>PP_07</v>
      </c>
      <c r="P14" s="108" t="str">
        <f t="shared" si="14"/>
        <v>PP_07</v>
      </c>
    </row>
    <row r="15" spans="1:16" x14ac:dyDescent="0.25">
      <c r="D15" s="108" t="str">
        <f t="shared" si="2"/>
        <v>PP_07</v>
      </c>
      <c r="E15" s="108" t="str">
        <f t="shared" ref="E15:P15" si="15">D15</f>
        <v>PP_07</v>
      </c>
      <c r="F15" s="108" t="str">
        <f t="shared" si="15"/>
        <v>PP_07</v>
      </c>
      <c r="G15" s="108" t="str">
        <f t="shared" si="15"/>
        <v>PP_07</v>
      </c>
      <c r="H15" s="108" t="str">
        <f t="shared" si="15"/>
        <v>PP_07</v>
      </c>
      <c r="I15" s="108" t="str">
        <f t="shared" si="15"/>
        <v>PP_07</v>
      </c>
      <c r="J15" s="108" t="str">
        <f t="shared" si="15"/>
        <v>PP_07</v>
      </c>
      <c r="K15" s="108" t="str">
        <f t="shared" si="15"/>
        <v>PP_07</v>
      </c>
      <c r="L15" s="108" t="str">
        <f t="shared" si="15"/>
        <v>PP_07</v>
      </c>
      <c r="M15" s="108" t="str">
        <f t="shared" si="15"/>
        <v>PP_07</v>
      </c>
      <c r="N15" s="108" t="str">
        <f t="shared" si="15"/>
        <v>PP_07</v>
      </c>
      <c r="O15" s="108" t="str">
        <f t="shared" si="15"/>
        <v>PP_07</v>
      </c>
      <c r="P15" s="108" t="str">
        <f t="shared" si="15"/>
        <v>PP_07</v>
      </c>
    </row>
    <row r="16" spans="1:16" x14ac:dyDescent="0.25">
      <c r="D16" s="108" t="str">
        <f t="shared" si="2"/>
        <v>PP_07</v>
      </c>
      <c r="E16" s="108" t="str">
        <f t="shared" ref="E16:P16" si="16">D16</f>
        <v>PP_07</v>
      </c>
      <c r="F16" s="108" t="str">
        <f t="shared" si="16"/>
        <v>PP_07</v>
      </c>
      <c r="G16" s="108" t="str">
        <f t="shared" si="16"/>
        <v>PP_07</v>
      </c>
      <c r="H16" s="108" t="str">
        <f t="shared" si="16"/>
        <v>PP_07</v>
      </c>
      <c r="I16" s="108" t="str">
        <f t="shared" si="16"/>
        <v>PP_07</v>
      </c>
      <c r="J16" s="108" t="str">
        <f t="shared" si="16"/>
        <v>PP_07</v>
      </c>
      <c r="K16" s="108" t="str">
        <f t="shared" si="16"/>
        <v>PP_07</v>
      </c>
      <c r="L16" s="108" t="str">
        <f t="shared" si="16"/>
        <v>PP_07</v>
      </c>
      <c r="M16" s="108" t="str">
        <f t="shared" si="16"/>
        <v>PP_07</v>
      </c>
      <c r="N16" s="108" t="str">
        <f t="shared" si="16"/>
        <v>PP_07</v>
      </c>
      <c r="O16" s="108" t="str">
        <f t="shared" si="16"/>
        <v>PP_07</v>
      </c>
      <c r="P16" s="108" t="str">
        <f t="shared" si="16"/>
        <v>PP_07</v>
      </c>
    </row>
    <row r="17" spans="4:16" x14ac:dyDescent="0.25">
      <c r="D17" s="108" t="str">
        <f t="shared" si="2"/>
        <v>PP_07</v>
      </c>
      <c r="E17" s="108" t="str">
        <f t="shared" ref="E17:P17" si="17">D17</f>
        <v>PP_07</v>
      </c>
      <c r="F17" s="108" t="str">
        <f t="shared" si="17"/>
        <v>PP_07</v>
      </c>
      <c r="G17" s="108" t="str">
        <f t="shared" si="17"/>
        <v>PP_07</v>
      </c>
      <c r="H17" s="108" t="str">
        <f t="shared" si="17"/>
        <v>PP_07</v>
      </c>
      <c r="I17" s="108" t="str">
        <f t="shared" si="17"/>
        <v>PP_07</v>
      </c>
      <c r="J17" s="108" t="str">
        <f t="shared" si="17"/>
        <v>PP_07</v>
      </c>
      <c r="K17" s="108" t="str">
        <f t="shared" si="17"/>
        <v>PP_07</v>
      </c>
      <c r="L17" s="108" t="str">
        <f t="shared" si="17"/>
        <v>PP_07</v>
      </c>
      <c r="M17" s="108" t="str">
        <f t="shared" si="17"/>
        <v>PP_07</v>
      </c>
      <c r="N17" s="108" t="str">
        <f t="shared" si="17"/>
        <v>PP_07</v>
      </c>
      <c r="O17" s="108" t="str">
        <f t="shared" si="17"/>
        <v>PP_07</v>
      </c>
      <c r="P17" s="108" t="str">
        <f t="shared" si="17"/>
        <v>PP_07</v>
      </c>
    </row>
    <row r="18" spans="4:16" x14ac:dyDescent="0.25">
      <c r="D18" s="108" t="str">
        <f t="shared" si="2"/>
        <v>PP_07</v>
      </c>
      <c r="E18" s="108" t="str">
        <f t="shared" ref="E18:P18" si="18">D18</f>
        <v>PP_07</v>
      </c>
      <c r="F18" s="108" t="str">
        <f t="shared" si="18"/>
        <v>PP_07</v>
      </c>
      <c r="G18" s="108" t="str">
        <f t="shared" si="18"/>
        <v>PP_07</v>
      </c>
      <c r="H18" s="108" t="str">
        <f t="shared" si="18"/>
        <v>PP_07</v>
      </c>
      <c r="I18" s="108" t="str">
        <f t="shared" si="18"/>
        <v>PP_07</v>
      </c>
      <c r="J18" s="108" t="str">
        <f t="shared" si="18"/>
        <v>PP_07</v>
      </c>
      <c r="K18" s="108" t="str">
        <f t="shared" si="18"/>
        <v>PP_07</v>
      </c>
      <c r="L18" s="108" t="str">
        <f t="shared" si="18"/>
        <v>PP_07</v>
      </c>
      <c r="M18" s="108" t="str">
        <f t="shared" si="18"/>
        <v>PP_07</v>
      </c>
      <c r="N18" s="108" t="str">
        <f t="shared" si="18"/>
        <v>PP_07</v>
      </c>
      <c r="O18" s="108" t="str">
        <f t="shared" si="18"/>
        <v>PP_07</v>
      </c>
      <c r="P18" s="108" t="str">
        <f t="shared" si="18"/>
        <v>PP_07</v>
      </c>
    </row>
    <row r="19" spans="4:16" x14ac:dyDescent="0.25">
      <c r="D19" s="108" t="str">
        <f t="shared" si="2"/>
        <v>PP_07</v>
      </c>
      <c r="E19" s="108" t="str">
        <f t="shared" ref="E19:P19" si="19">D19</f>
        <v>PP_07</v>
      </c>
      <c r="F19" s="108" t="str">
        <f t="shared" si="19"/>
        <v>PP_07</v>
      </c>
      <c r="G19" s="108" t="str">
        <f t="shared" si="19"/>
        <v>PP_07</v>
      </c>
      <c r="H19" s="108" t="str">
        <f t="shared" si="19"/>
        <v>PP_07</v>
      </c>
      <c r="I19" s="108" t="str">
        <f t="shared" si="19"/>
        <v>PP_07</v>
      </c>
      <c r="J19" s="108" t="str">
        <f t="shared" si="19"/>
        <v>PP_07</v>
      </c>
      <c r="K19" s="108" t="str">
        <f t="shared" si="19"/>
        <v>PP_07</v>
      </c>
      <c r="L19" s="108" t="str">
        <f t="shared" si="19"/>
        <v>PP_07</v>
      </c>
      <c r="M19" s="108" t="str">
        <f t="shared" si="19"/>
        <v>PP_07</v>
      </c>
      <c r="N19" s="108" t="str">
        <f t="shared" si="19"/>
        <v>PP_07</v>
      </c>
      <c r="O19" s="108" t="str">
        <f t="shared" si="19"/>
        <v>PP_07</v>
      </c>
      <c r="P19" s="108" t="str">
        <f t="shared" si="19"/>
        <v>PP_07</v>
      </c>
    </row>
    <row r="20" spans="4:16" x14ac:dyDescent="0.25">
      <c r="D20" s="108" t="str">
        <f t="shared" si="2"/>
        <v>PP_07</v>
      </c>
      <c r="E20" s="108" t="str">
        <f t="shared" ref="E20:P20" si="20">D20</f>
        <v>PP_07</v>
      </c>
      <c r="F20" s="108" t="str">
        <f t="shared" si="20"/>
        <v>PP_07</v>
      </c>
      <c r="G20" s="108" t="str">
        <f t="shared" si="20"/>
        <v>PP_07</v>
      </c>
      <c r="H20" s="108" t="str">
        <f t="shared" si="20"/>
        <v>PP_07</v>
      </c>
      <c r="I20" s="108" t="str">
        <f t="shared" si="20"/>
        <v>PP_07</v>
      </c>
      <c r="J20" s="108" t="str">
        <f t="shared" si="20"/>
        <v>PP_07</v>
      </c>
      <c r="K20" s="108" t="str">
        <f t="shared" si="20"/>
        <v>PP_07</v>
      </c>
      <c r="L20" s="108" t="str">
        <f t="shared" si="20"/>
        <v>PP_07</v>
      </c>
      <c r="M20" s="108" t="str">
        <f t="shared" si="20"/>
        <v>PP_07</v>
      </c>
      <c r="N20" s="108" t="str">
        <f t="shared" si="20"/>
        <v>PP_07</v>
      </c>
      <c r="O20" s="108" t="str">
        <f t="shared" si="20"/>
        <v>PP_07</v>
      </c>
      <c r="P20" s="108" t="str">
        <f t="shared" si="20"/>
        <v>PP_07</v>
      </c>
    </row>
    <row r="21" spans="4:16" x14ac:dyDescent="0.25">
      <c r="D21" s="108" t="str">
        <f t="shared" si="2"/>
        <v>PP_07</v>
      </c>
      <c r="E21" s="108" t="str">
        <f t="shared" ref="E21:P21" si="21">D21</f>
        <v>PP_07</v>
      </c>
      <c r="F21" s="108" t="str">
        <f t="shared" si="21"/>
        <v>PP_07</v>
      </c>
      <c r="G21" s="108" t="str">
        <f t="shared" si="21"/>
        <v>PP_07</v>
      </c>
      <c r="H21" s="108" t="str">
        <f t="shared" si="21"/>
        <v>PP_07</v>
      </c>
      <c r="I21" s="108" t="str">
        <f t="shared" si="21"/>
        <v>PP_07</v>
      </c>
      <c r="J21" s="108" t="str">
        <f t="shared" si="21"/>
        <v>PP_07</v>
      </c>
      <c r="K21" s="108" t="str">
        <f t="shared" si="21"/>
        <v>PP_07</v>
      </c>
      <c r="L21" s="108" t="str">
        <f t="shared" si="21"/>
        <v>PP_07</v>
      </c>
      <c r="M21" s="108" t="str">
        <f t="shared" si="21"/>
        <v>PP_07</v>
      </c>
      <c r="N21" s="108" t="str">
        <f t="shared" si="21"/>
        <v>PP_07</v>
      </c>
      <c r="O21" s="108" t="str">
        <f t="shared" si="21"/>
        <v>PP_07</v>
      </c>
      <c r="P21" s="108" t="str">
        <f t="shared" si="21"/>
        <v>PP_07</v>
      </c>
    </row>
    <row r="22" spans="4:16" x14ac:dyDescent="0.25">
      <c r="D22" s="108" t="str">
        <f t="shared" si="2"/>
        <v>PP_07</v>
      </c>
      <c r="E22" s="108" t="str">
        <f t="shared" ref="E22:P22" si="22">D22</f>
        <v>PP_07</v>
      </c>
      <c r="F22" s="108" t="str">
        <f t="shared" si="22"/>
        <v>PP_07</v>
      </c>
      <c r="G22" s="108" t="str">
        <f t="shared" si="22"/>
        <v>PP_07</v>
      </c>
      <c r="H22" s="108" t="str">
        <f t="shared" si="22"/>
        <v>PP_07</v>
      </c>
      <c r="I22" s="108" t="str">
        <f t="shared" si="22"/>
        <v>PP_07</v>
      </c>
      <c r="J22" s="108" t="str">
        <f t="shared" si="22"/>
        <v>PP_07</v>
      </c>
      <c r="K22" s="108" t="str">
        <f t="shared" si="22"/>
        <v>PP_07</v>
      </c>
      <c r="L22" s="108" t="str">
        <f t="shared" si="22"/>
        <v>PP_07</v>
      </c>
      <c r="M22" s="108" t="str">
        <f t="shared" si="22"/>
        <v>PP_07</v>
      </c>
      <c r="N22" s="108" t="str">
        <f t="shared" si="22"/>
        <v>PP_07</v>
      </c>
      <c r="O22" s="108" t="str">
        <f t="shared" si="22"/>
        <v>PP_07</v>
      </c>
      <c r="P22" s="108" t="str">
        <f t="shared" si="22"/>
        <v>PP_07</v>
      </c>
    </row>
    <row r="23" spans="4:16" x14ac:dyDescent="0.25">
      <c r="D23" s="108" t="str">
        <f t="shared" si="2"/>
        <v>PP_07</v>
      </c>
      <c r="E23" s="108" t="str">
        <f t="shared" ref="E23:P23" si="23">D23</f>
        <v>PP_07</v>
      </c>
      <c r="F23" s="108" t="str">
        <f t="shared" si="23"/>
        <v>PP_07</v>
      </c>
      <c r="G23" s="108" t="str">
        <f t="shared" si="23"/>
        <v>PP_07</v>
      </c>
      <c r="H23" s="108" t="str">
        <f t="shared" si="23"/>
        <v>PP_07</v>
      </c>
      <c r="I23" s="108" t="str">
        <f t="shared" si="23"/>
        <v>PP_07</v>
      </c>
      <c r="J23" s="108" t="str">
        <f t="shared" si="23"/>
        <v>PP_07</v>
      </c>
      <c r="K23" s="108" t="str">
        <f t="shared" si="23"/>
        <v>PP_07</v>
      </c>
      <c r="L23" s="108" t="str">
        <f t="shared" si="23"/>
        <v>PP_07</v>
      </c>
      <c r="M23" s="108" t="str">
        <f t="shared" si="23"/>
        <v>PP_07</v>
      </c>
      <c r="N23" s="108" t="str">
        <f t="shared" si="23"/>
        <v>PP_07</v>
      </c>
      <c r="O23" s="108" t="str">
        <f t="shared" si="23"/>
        <v>PP_07</v>
      </c>
      <c r="P23" s="108" t="str">
        <f t="shared" si="23"/>
        <v>PP_07</v>
      </c>
    </row>
    <row r="24" spans="4:16" x14ac:dyDescent="0.25">
      <c r="D24" s="108" t="str">
        <f t="shared" si="2"/>
        <v>PP_07</v>
      </c>
      <c r="E24" s="108" t="str">
        <f t="shared" ref="E24:P24" si="24">D24</f>
        <v>PP_07</v>
      </c>
      <c r="F24" s="108" t="str">
        <f t="shared" si="24"/>
        <v>PP_07</v>
      </c>
      <c r="G24" s="108" t="str">
        <f t="shared" si="24"/>
        <v>PP_07</v>
      </c>
      <c r="H24" s="108" t="str">
        <f t="shared" si="24"/>
        <v>PP_07</v>
      </c>
      <c r="I24" s="108" t="str">
        <f t="shared" si="24"/>
        <v>PP_07</v>
      </c>
      <c r="J24" s="108" t="str">
        <f t="shared" si="24"/>
        <v>PP_07</v>
      </c>
      <c r="K24" s="108" t="str">
        <f t="shared" si="24"/>
        <v>PP_07</v>
      </c>
      <c r="L24" s="108" t="str">
        <f t="shared" si="24"/>
        <v>PP_07</v>
      </c>
      <c r="M24" s="108" t="str">
        <f t="shared" si="24"/>
        <v>PP_07</v>
      </c>
      <c r="N24" s="108" t="str">
        <f t="shared" si="24"/>
        <v>PP_07</v>
      </c>
      <c r="O24" s="108" t="str">
        <f t="shared" si="24"/>
        <v>PP_07</v>
      </c>
      <c r="P24" s="108" t="str">
        <f t="shared" si="24"/>
        <v>PP_07</v>
      </c>
    </row>
    <row r="25" spans="4:16" x14ac:dyDescent="0.25">
      <c r="D25" s="108" t="str">
        <f t="shared" si="2"/>
        <v>PP_07</v>
      </c>
      <c r="E25" s="108" t="str">
        <f t="shared" ref="E25:P25" si="25">D25</f>
        <v>PP_07</v>
      </c>
      <c r="F25" s="108" t="str">
        <f t="shared" si="25"/>
        <v>PP_07</v>
      </c>
      <c r="G25" s="108" t="str">
        <f t="shared" si="25"/>
        <v>PP_07</v>
      </c>
      <c r="H25" s="108" t="str">
        <f t="shared" si="25"/>
        <v>PP_07</v>
      </c>
      <c r="I25" s="108" t="str">
        <f t="shared" si="25"/>
        <v>PP_07</v>
      </c>
      <c r="J25" s="108" t="str">
        <f t="shared" si="25"/>
        <v>PP_07</v>
      </c>
      <c r="K25" s="108" t="str">
        <f t="shared" si="25"/>
        <v>PP_07</v>
      </c>
      <c r="L25" s="108" t="str">
        <f t="shared" si="25"/>
        <v>PP_07</v>
      </c>
      <c r="M25" s="108" t="str">
        <f t="shared" si="25"/>
        <v>PP_07</v>
      </c>
      <c r="N25" s="108" t="str">
        <f t="shared" si="25"/>
        <v>PP_07</v>
      </c>
      <c r="O25" s="108" t="str">
        <f t="shared" si="25"/>
        <v>PP_07</v>
      </c>
      <c r="P25" s="108" t="str">
        <f t="shared" si="25"/>
        <v>PP_07</v>
      </c>
    </row>
    <row r="26" spans="4:16" x14ac:dyDescent="0.25">
      <c r="D26" s="108" t="str">
        <f t="shared" si="2"/>
        <v>PP_07</v>
      </c>
      <c r="E26" s="108" t="str">
        <f t="shared" ref="E26:P26" si="26">D26</f>
        <v>PP_07</v>
      </c>
      <c r="F26" s="108" t="str">
        <f t="shared" si="26"/>
        <v>PP_07</v>
      </c>
      <c r="G26" s="108" t="str">
        <f t="shared" si="26"/>
        <v>PP_07</v>
      </c>
      <c r="H26" s="108" t="str">
        <f t="shared" si="26"/>
        <v>PP_07</v>
      </c>
      <c r="I26" s="108" t="str">
        <f t="shared" si="26"/>
        <v>PP_07</v>
      </c>
      <c r="J26" s="108" t="str">
        <f t="shared" si="26"/>
        <v>PP_07</v>
      </c>
      <c r="K26" s="108" t="str">
        <f t="shared" si="26"/>
        <v>PP_07</v>
      </c>
      <c r="L26" s="108" t="str">
        <f t="shared" si="26"/>
        <v>PP_07</v>
      </c>
      <c r="M26" s="108" t="str">
        <f t="shared" si="26"/>
        <v>PP_07</v>
      </c>
      <c r="N26" s="108" t="str">
        <f t="shared" si="26"/>
        <v>PP_07</v>
      </c>
      <c r="O26" s="108" t="str">
        <f t="shared" si="26"/>
        <v>PP_07</v>
      </c>
      <c r="P26" s="108" t="str">
        <f t="shared" si="26"/>
        <v>PP_07</v>
      </c>
    </row>
    <row r="27" spans="4:16" x14ac:dyDescent="0.25">
      <c r="D27" s="108" t="str">
        <f t="shared" si="2"/>
        <v>PP_07</v>
      </c>
      <c r="E27" s="108" t="str">
        <f t="shared" ref="E27:P27" si="27">D27</f>
        <v>PP_07</v>
      </c>
      <c r="F27" s="108" t="str">
        <f t="shared" si="27"/>
        <v>PP_07</v>
      </c>
      <c r="G27" s="108" t="str">
        <f t="shared" si="27"/>
        <v>PP_07</v>
      </c>
      <c r="H27" s="108" t="str">
        <f t="shared" si="27"/>
        <v>PP_07</v>
      </c>
      <c r="I27" s="108" t="str">
        <f t="shared" si="27"/>
        <v>PP_07</v>
      </c>
      <c r="J27" s="108" t="str">
        <f t="shared" si="27"/>
        <v>PP_07</v>
      </c>
      <c r="K27" s="108" t="str">
        <f t="shared" si="27"/>
        <v>PP_07</v>
      </c>
      <c r="L27" s="108" t="str">
        <f t="shared" si="27"/>
        <v>PP_07</v>
      </c>
      <c r="M27" s="108" t="str">
        <f t="shared" si="27"/>
        <v>PP_07</v>
      </c>
      <c r="N27" s="108" t="str">
        <f t="shared" si="27"/>
        <v>PP_07</v>
      </c>
      <c r="O27" s="108" t="str">
        <f t="shared" si="27"/>
        <v>PP_07</v>
      </c>
      <c r="P27" s="108" t="str">
        <f t="shared" si="27"/>
        <v>PP_07</v>
      </c>
    </row>
    <row r="28" spans="4:16" x14ac:dyDescent="0.25">
      <c r="D28" s="108" t="str">
        <f t="shared" si="2"/>
        <v>PP_07</v>
      </c>
      <c r="E28" s="108" t="str">
        <f t="shared" ref="E28:P28" si="28">D28</f>
        <v>PP_07</v>
      </c>
      <c r="F28" s="108" t="str">
        <f t="shared" si="28"/>
        <v>PP_07</v>
      </c>
      <c r="G28" s="108" t="str">
        <f t="shared" si="28"/>
        <v>PP_07</v>
      </c>
      <c r="H28" s="108" t="str">
        <f t="shared" si="28"/>
        <v>PP_07</v>
      </c>
      <c r="I28" s="108" t="str">
        <f t="shared" si="28"/>
        <v>PP_07</v>
      </c>
      <c r="J28" s="108" t="str">
        <f t="shared" si="28"/>
        <v>PP_07</v>
      </c>
      <c r="K28" s="108" t="str">
        <f t="shared" si="28"/>
        <v>PP_07</v>
      </c>
      <c r="L28" s="108" t="str">
        <f t="shared" si="28"/>
        <v>PP_07</v>
      </c>
      <c r="M28" s="108" t="str">
        <f t="shared" si="28"/>
        <v>PP_07</v>
      </c>
      <c r="N28" s="108" t="str">
        <f t="shared" si="28"/>
        <v>PP_07</v>
      </c>
      <c r="O28" s="108" t="str">
        <f t="shared" si="28"/>
        <v>PP_07</v>
      </c>
      <c r="P28" s="108" t="str">
        <f t="shared" si="28"/>
        <v>PP_07</v>
      </c>
    </row>
    <row r="29" spans="4:16" x14ac:dyDescent="0.25">
      <c r="D29" s="108" t="str">
        <f t="shared" si="2"/>
        <v>PP_07</v>
      </c>
      <c r="E29" s="108" t="str">
        <f t="shared" ref="E29:P29" si="29">D29</f>
        <v>PP_07</v>
      </c>
      <c r="F29" s="108" t="str">
        <f t="shared" si="29"/>
        <v>PP_07</v>
      </c>
      <c r="G29" s="108" t="str">
        <f t="shared" si="29"/>
        <v>PP_07</v>
      </c>
      <c r="H29" s="108" t="str">
        <f t="shared" si="29"/>
        <v>PP_07</v>
      </c>
      <c r="I29" s="108" t="str">
        <f t="shared" si="29"/>
        <v>PP_07</v>
      </c>
      <c r="J29" s="108" t="str">
        <f t="shared" si="29"/>
        <v>PP_07</v>
      </c>
      <c r="K29" s="108" t="str">
        <f t="shared" si="29"/>
        <v>PP_07</v>
      </c>
      <c r="L29" s="108" t="str">
        <f t="shared" si="29"/>
        <v>PP_07</v>
      </c>
      <c r="M29" s="108" t="str">
        <f t="shared" si="29"/>
        <v>PP_07</v>
      </c>
      <c r="N29" s="108" t="str">
        <f t="shared" si="29"/>
        <v>PP_07</v>
      </c>
      <c r="O29" s="108" t="str">
        <f t="shared" si="29"/>
        <v>PP_07</v>
      </c>
      <c r="P29" s="108" t="str">
        <f t="shared" si="29"/>
        <v>PP_07</v>
      </c>
    </row>
    <row r="30" spans="4:16" x14ac:dyDescent="0.25">
      <c r="D30" s="108" t="str">
        <f t="shared" si="2"/>
        <v>PP_07</v>
      </c>
      <c r="E30" s="108" t="str">
        <f t="shared" ref="E30:P30" si="30">D30</f>
        <v>PP_07</v>
      </c>
      <c r="F30" s="108" t="str">
        <f t="shared" si="30"/>
        <v>PP_07</v>
      </c>
      <c r="G30" s="108" t="str">
        <f t="shared" si="30"/>
        <v>PP_07</v>
      </c>
      <c r="H30" s="108" t="str">
        <f t="shared" si="30"/>
        <v>PP_07</v>
      </c>
      <c r="I30" s="108" t="str">
        <f t="shared" si="30"/>
        <v>PP_07</v>
      </c>
      <c r="J30" s="108" t="str">
        <f t="shared" si="30"/>
        <v>PP_07</v>
      </c>
      <c r="K30" s="108" t="str">
        <f t="shared" si="30"/>
        <v>PP_07</v>
      </c>
      <c r="L30" s="108" t="str">
        <f t="shared" si="30"/>
        <v>PP_07</v>
      </c>
      <c r="M30" s="108" t="str">
        <f t="shared" si="30"/>
        <v>PP_07</v>
      </c>
      <c r="N30" s="108" t="str">
        <f t="shared" si="30"/>
        <v>PP_07</v>
      </c>
      <c r="O30" s="108" t="str">
        <f t="shared" si="30"/>
        <v>PP_07</v>
      </c>
      <c r="P30" s="108" t="str">
        <f t="shared" si="30"/>
        <v>PP_07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135</v>
      </c>
      <c r="E1" t="str">
        <f>D1</f>
        <v>PP_08</v>
      </c>
      <c r="F1" t="str">
        <f t="shared" ref="F1:P1" si="0">E1</f>
        <v>PP_08</v>
      </c>
      <c r="G1" t="str">
        <f t="shared" si="0"/>
        <v>PP_08</v>
      </c>
      <c r="H1" t="str">
        <f t="shared" si="0"/>
        <v>PP_08</v>
      </c>
      <c r="I1" t="str">
        <f t="shared" si="0"/>
        <v>PP_08</v>
      </c>
      <c r="J1" t="str">
        <f t="shared" si="0"/>
        <v>PP_08</v>
      </c>
      <c r="K1" t="str">
        <f t="shared" si="0"/>
        <v>PP_08</v>
      </c>
      <c r="L1" t="str">
        <f t="shared" si="0"/>
        <v>PP_08</v>
      </c>
      <c r="M1" t="str">
        <f t="shared" si="0"/>
        <v>PP_08</v>
      </c>
      <c r="N1" t="str">
        <f t="shared" si="0"/>
        <v>PP_08</v>
      </c>
      <c r="O1" t="str">
        <f t="shared" si="0"/>
        <v>PP_08</v>
      </c>
      <c r="P1" t="str">
        <f t="shared" si="0"/>
        <v>PP_08</v>
      </c>
    </row>
    <row r="2" spans="1:16" x14ac:dyDescent="0.25">
      <c r="A2" s="106" t="s">
        <v>177</v>
      </c>
      <c r="B2" s="107" t="s">
        <v>196</v>
      </c>
      <c r="D2" t="str">
        <f>D1</f>
        <v>PP_08</v>
      </c>
      <c r="E2" t="str">
        <f t="shared" ref="E2:P2" si="1">D2</f>
        <v>PP_08</v>
      </c>
      <c r="F2" t="str">
        <f t="shared" si="1"/>
        <v>PP_08</v>
      </c>
      <c r="G2" t="str">
        <f t="shared" si="1"/>
        <v>PP_08</v>
      </c>
      <c r="H2" t="str">
        <f t="shared" si="1"/>
        <v>PP_08</v>
      </c>
      <c r="I2" t="str">
        <f t="shared" si="1"/>
        <v>PP_08</v>
      </c>
      <c r="J2" t="str">
        <f t="shared" si="1"/>
        <v>PP_08</v>
      </c>
      <c r="K2" t="str">
        <f t="shared" si="1"/>
        <v>PP_08</v>
      </c>
      <c r="L2" t="str">
        <f t="shared" si="1"/>
        <v>PP_08</v>
      </c>
      <c r="M2" t="str">
        <f t="shared" si="1"/>
        <v>PP_08</v>
      </c>
      <c r="N2" t="str">
        <f t="shared" si="1"/>
        <v>PP_08</v>
      </c>
      <c r="O2" t="str">
        <f t="shared" si="1"/>
        <v>PP_08</v>
      </c>
      <c r="P2" t="str">
        <f t="shared" si="1"/>
        <v>PP_08</v>
      </c>
    </row>
    <row r="3" spans="1:16" x14ac:dyDescent="0.25">
      <c r="A3" s="74"/>
      <c r="B3" s="70"/>
      <c r="D3" t="str">
        <f t="shared" ref="D3:D30" si="2">D2</f>
        <v>PP_08</v>
      </c>
      <c r="E3" t="str">
        <f t="shared" ref="E3:P3" si="3">D3</f>
        <v>PP_08</v>
      </c>
      <c r="F3" t="str">
        <f t="shared" si="3"/>
        <v>PP_08</v>
      </c>
      <c r="G3" t="str">
        <f t="shared" si="3"/>
        <v>PP_08</v>
      </c>
      <c r="H3" t="str">
        <f t="shared" si="3"/>
        <v>PP_08</v>
      </c>
      <c r="I3" t="str">
        <f t="shared" si="3"/>
        <v>PP_08</v>
      </c>
      <c r="J3" t="str">
        <f t="shared" si="3"/>
        <v>PP_08</v>
      </c>
      <c r="K3" t="str">
        <f t="shared" si="3"/>
        <v>PP_08</v>
      </c>
      <c r="L3" t="str">
        <f t="shared" si="3"/>
        <v>PP_08</v>
      </c>
      <c r="M3" t="str">
        <f t="shared" si="3"/>
        <v>PP_08</v>
      </c>
      <c r="N3" t="str">
        <f t="shared" si="3"/>
        <v>PP_08</v>
      </c>
      <c r="O3" t="str">
        <f t="shared" si="3"/>
        <v>PP_08</v>
      </c>
      <c r="P3" t="str">
        <f t="shared" si="3"/>
        <v>PP_08</v>
      </c>
    </row>
    <row r="4" spans="1:16" x14ac:dyDescent="0.25">
      <c r="A4" s="75"/>
      <c r="B4" s="76"/>
      <c r="D4" t="str">
        <f t="shared" si="2"/>
        <v>PP_08</v>
      </c>
      <c r="E4" t="str">
        <f t="shared" ref="E4:P4" si="4">D4</f>
        <v>PP_08</v>
      </c>
      <c r="F4" t="str">
        <f t="shared" si="4"/>
        <v>PP_08</v>
      </c>
      <c r="G4" t="str">
        <f t="shared" si="4"/>
        <v>PP_08</v>
      </c>
      <c r="H4" t="str">
        <f t="shared" si="4"/>
        <v>PP_08</v>
      </c>
      <c r="I4" t="str">
        <f t="shared" si="4"/>
        <v>PP_08</v>
      </c>
      <c r="J4" t="str">
        <f t="shared" si="4"/>
        <v>PP_08</v>
      </c>
      <c r="K4" t="str">
        <f t="shared" si="4"/>
        <v>PP_08</v>
      </c>
      <c r="L4" t="str">
        <f t="shared" si="4"/>
        <v>PP_08</v>
      </c>
      <c r="M4" t="str">
        <f t="shared" si="4"/>
        <v>PP_08</v>
      </c>
      <c r="N4" t="str">
        <f t="shared" si="4"/>
        <v>PP_08</v>
      </c>
      <c r="O4" t="str">
        <f t="shared" si="4"/>
        <v>PP_08</v>
      </c>
      <c r="P4" t="str">
        <f t="shared" si="4"/>
        <v>PP_08</v>
      </c>
    </row>
    <row r="5" spans="1:16" x14ac:dyDescent="0.25">
      <c r="A5" s="74"/>
      <c r="B5" s="70"/>
      <c r="D5" t="str">
        <f t="shared" si="2"/>
        <v>PP_08</v>
      </c>
      <c r="E5" t="str">
        <f t="shared" ref="E5:P5" si="5">D5</f>
        <v>PP_08</v>
      </c>
      <c r="F5" t="str">
        <f t="shared" si="5"/>
        <v>PP_08</v>
      </c>
      <c r="G5" t="str">
        <f t="shared" si="5"/>
        <v>PP_08</v>
      </c>
      <c r="H5" t="str">
        <f t="shared" si="5"/>
        <v>PP_08</v>
      </c>
      <c r="I5" t="str">
        <f t="shared" si="5"/>
        <v>PP_08</v>
      </c>
      <c r="J5" t="str">
        <f t="shared" si="5"/>
        <v>PP_08</v>
      </c>
      <c r="K5" t="str">
        <f t="shared" si="5"/>
        <v>PP_08</v>
      </c>
      <c r="L5" t="str">
        <f t="shared" si="5"/>
        <v>PP_08</v>
      </c>
      <c r="M5" t="str">
        <f t="shared" si="5"/>
        <v>PP_08</v>
      </c>
      <c r="N5" t="str">
        <f t="shared" si="5"/>
        <v>PP_08</v>
      </c>
      <c r="O5" t="str">
        <f t="shared" si="5"/>
        <v>PP_08</v>
      </c>
      <c r="P5" t="str">
        <f t="shared" si="5"/>
        <v>PP_08</v>
      </c>
    </row>
    <row r="6" spans="1:16" x14ac:dyDescent="0.25">
      <c r="A6" s="74"/>
      <c r="B6" s="70"/>
      <c r="D6" t="str">
        <f t="shared" si="2"/>
        <v>PP_08</v>
      </c>
      <c r="E6" t="str">
        <f t="shared" ref="E6:P6" si="6">D6</f>
        <v>PP_08</v>
      </c>
      <c r="F6" t="str">
        <f t="shared" si="6"/>
        <v>PP_08</v>
      </c>
      <c r="G6" t="str">
        <f t="shared" si="6"/>
        <v>PP_08</v>
      </c>
      <c r="H6" t="str">
        <f t="shared" si="6"/>
        <v>PP_08</v>
      </c>
      <c r="I6" t="str">
        <f t="shared" si="6"/>
        <v>PP_08</v>
      </c>
      <c r="J6" t="str">
        <f t="shared" si="6"/>
        <v>PP_08</v>
      </c>
      <c r="K6" t="str">
        <f t="shared" si="6"/>
        <v>PP_08</v>
      </c>
      <c r="L6" t="str">
        <f t="shared" si="6"/>
        <v>PP_08</v>
      </c>
      <c r="M6" t="str">
        <f t="shared" si="6"/>
        <v>PP_08</v>
      </c>
      <c r="N6" t="str">
        <f t="shared" si="6"/>
        <v>PP_08</v>
      </c>
      <c r="O6" t="str">
        <f t="shared" si="6"/>
        <v>PP_08</v>
      </c>
      <c r="P6" t="str">
        <f t="shared" si="6"/>
        <v>PP_08</v>
      </c>
    </row>
    <row r="7" spans="1:16" x14ac:dyDescent="0.25">
      <c r="D7" t="str">
        <f t="shared" si="2"/>
        <v>PP_08</v>
      </c>
      <c r="E7" t="str">
        <f t="shared" ref="E7:P7" si="7">D7</f>
        <v>PP_08</v>
      </c>
      <c r="F7" t="str">
        <f t="shared" si="7"/>
        <v>PP_08</v>
      </c>
      <c r="G7" t="str">
        <f t="shared" si="7"/>
        <v>PP_08</v>
      </c>
      <c r="H7" t="str">
        <f t="shared" si="7"/>
        <v>PP_08</v>
      </c>
      <c r="I7" t="str">
        <f t="shared" si="7"/>
        <v>PP_08</v>
      </c>
      <c r="J7" t="str">
        <f t="shared" si="7"/>
        <v>PP_08</v>
      </c>
      <c r="K7" t="str">
        <f t="shared" si="7"/>
        <v>PP_08</v>
      </c>
      <c r="L7" t="str">
        <f t="shared" si="7"/>
        <v>PP_08</v>
      </c>
      <c r="M7" t="str">
        <f t="shared" si="7"/>
        <v>PP_08</v>
      </c>
      <c r="N7" t="str">
        <f t="shared" si="7"/>
        <v>PP_08</v>
      </c>
      <c r="O7" t="str">
        <f t="shared" si="7"/>
        <v>PP_08</v>
      </c>
      <c r="P7" t="str">
        <f t="shared" si="7"/>
        <v>PP_08</v>
      </c>
    </row>
    <row r="8" spans="1:16" x14ac:dyDescent="0.25">
      <c r="D8" t="str">
        <f t="shared" si="2"/>
        <v>PP_08</v>
      </c>
      <c r="E8" t="str">
        <f t="shared" ref="E8:P8" si="8">D8</f>
        <v>PP_08</v>
      </c>
      <c r="F8" t="str">
        <f t="shared" si="8"/>
        <v>PP_08</v>
      </c>
      <c r="G8" t="str">
        <f t="shared" si="8"/>
        <v>PP_08</v>
      </c>
      <c r="H8" t="str">
        <f t="shared" si="8"/>
        <v>PP_08</v>
      </c>
      <c r="I8" t="str">
        <f t="shared" si="8"/>
        <v>PP_08</v>
      </c>
      <c r="J8" t="str">
        <f t="shared" si="8"/>
        <v>PP_08</v>
      </c>
      <c r="K8" t="str">
        <f t="shared" si="8"/>
        <v>PP_08</v>
      </c>
      <c r="L8" t="str">
        <f t="shared" si="8"/>
        <v>PP_08</v>
      </c>
      <c r="M8" t="str">
        <f t="shared" si="8"/>
        <v>PP_08</v>
      </c>
      <c r="N8" t="str">
        <f t="shared" si="8"/>
        <v>PP_08</v>
      </c>
      <c r="O8" t="str">
        <f t="shared" si="8"/>
        <v>PP_08</v>
      </c>
      <c r="P8" t="str">
        <f t="shared" si="8"/>
        <v>PP_08</v>
      </c>
    </row>
    <row r="9" spans="1:16" x14ac:dyDescent="0.25">
      <c r="D9" t="str">
        <f t="shared" si="2"/>
        <v>PP_08</v>
      </c>
      <c r="E9" t="str">
        <f t="shared" ref="E9:P9" si="9">D9</f>
        <v>PP_08</v>
      </c>
      <c r="F9" t="str">
        <f t="shared" si="9"/>
        <v>PP_08</v>
      </c>
      <c r="G9" t="str">
        <f t="shared" si="9"/>
        <v>PP_08</v>
      </c>
      <c r="H9" t="str">
        <f t="shared" si="9"/>
        <v>PP_08</v>
      </c>
      <c r="I9" t="str">
        <f t="shared" si="9"/>
        <v>PP_08</v>
      </c>
      <c r="J9" t="str">
        <f t="shared" si="9"/>
        <v>PP_08</v>
      </c>
      <c r="K9" t="str">
        <f t="shared" si="9"/>
        <v>PP_08</v>
      </c>
      <c r="L9" t="str">
        <f t="shared" si="9"/>
        <v>PP_08</v>
      </c>
      <c r="M9" t="str">
        <f t="shared" si="9"/>
        <v>PP_08</v>
      </c>
      <c r="N9" t="str">
        <f t="shared" si="9"/>
        <v>PP_08</v>
      </c>
      <c r="O9" t="str">
        <f t="shared" si="9"/>
        <v>PP_08</v>
      </c>
      <c r="P9" t="str">
        <f t="shared" si="9"/>
        <v>PP_08</v>
      </c>
    </row>
    <row r="10" spans="1:16" x14ac:dyDescent="0.25">
      <c r="D10" t="str">
        <f t="shared" si="2"/>
        <v>PP_08</v>
      </c>
      <c r="E10" t="str">
        <f t="shared" ref="E10:P10" si="10">D10</f>
        <v>PP_08</v>
      </c>
      <c r="F10" t="str">
        <f t="shared" si="10"/>
        <v>PP_08</v>
      </c>
      <c r="G10" t="str">
        <f t="shared" si="10"/>
        <v>PP_08</v>
      </c>
      <c r="H10" t="str">
        <f t="shared" si="10"/>
        <v>PP_08</v>
      </c>
      <c r="I10" t="str">
        <f t="shared" si="10"/>
        <v>PP_08</v>
      </c>
      <c r="J10" t="str">
        <f t="shared" si="10"/>
        <v>PP_08</v>
      </c>
      <c r="K10" t="str">
        <f t="shared" si="10"/>
        <v>PP_08</v>
      </c>
      <c r="L10" t="str">
        <f t="shared" si="10"/>
        <v>PP_08</v>
      </c>
      <c r="M10" t="str">
        <f t="shared" si="10"/>
        <v>PP_08</v>
      </c>
      <c r="N10" t="str">
        <f t="shared" si="10"/>
        <v>PP_08</v>
      </c>
      <c r="O10" t="str">
        <f t="shared" si="10"/>
        <v>PP_08</v>
      </c>
      <c r="P10" t="str">
        <f t="shared" si="10"/>
        <v>PP_08</v>
      </c>
    </row>
    <row r="11" spans="1:16" x14ac:dyDescent="0.25">
      <c r="D11" t="str">
        <f t="shared" si="2"/>
        <v>PP_08</v>
      </c>
      <c r="E11" t="str">
        <f t="shared" ref="E11:P11" si="11">D11</f>
        <v>PP_08</v>
      </c>
      <c r="F11" t="str">
        <f t="shared" si="11"/>
        <v>PP_08</v>
      </c>
      <c r="G11" t="str">
        <f t="shared" si="11"/>
        <v>PP_08</v>
      </c>
      <c r="H11" t="str">
        <f t="shared" si="11"/>
        <v>PP_08</v>
      </c>
      <c r="I11" t="str">
        <f t="shared" si="11"/>
        <v>PP_08</v>
      </c>
      <c r="J11" t="str">
        <f t="shared" si="11"/>
        <v>PP_08</v>
      </c>
      <c r="K11" t="str">
        <f t="shared" si="11"/>
        <v>PP_08</v>
      </c>
      <c r="L11" t="str">
        <f t="shared" si="11"/>
        <v>PP_08</v>
      </c>
      <c r="M11" t="str">
        <f t="shared" si="11"/>
        <v>PP_08</v>
      </c>
      <c r="N11" t="str">
        <f t="shared" si="11"/>
        <v>PP_08</v>
      </c>
      <c r="O11" t="str">
        <f t="shared" si="11"/>
        <v>PP_08</v>
      </c>
      <c r="P11" t="str">
        <f t="shared" si="11"/>
        <v>PP_08</v>
      </c>
    </row>
    <row r="12" spans="1:16" x14ac:dyDescent="0.25">
      <c r="D12" t="str">
        <f t="shared" si="2"/>
        <v>PP_08</v>
      </c>
      <c r="E12" t="str">
        <f t="shared" ref="E12:P12" si="12">D12</f>
        <v>PP_08</v>
      </c>
      <c r="F12" t="str">
        <f t="shared" si="12"/>
        <v>PP_08</v>
      </c>
      <c r="G12" t="str">
        <f t="shared" si="12"/>
        <v>PP_08</v>
      </c>
      <c r="H12" t="str">
        <f t="shared" si="12"/>
        <v>PP_08</v>
      </c>
      <c r="I12" t="str">
        <f t="shared" si="12"/>
        <v>PP_08</v>
      </c>
      <c r="J12" t="str">
        <f t="shared" si="12"/>
        <v>PP_08</v>
      </c>
      <c r="K12" t="str">
        <f t="shared" si="12"/>
        <v>PP_08</v>
      </c>
      <c r="L12" t="str">
        <f t="shared" si="12"/>
        <v>PP_08</v>
      </c>
      <c r="M12" t="str">
        <f t="shared" si="12"/>
        <v>PP_08</v>
      </c>
      <c r="N12" t="str">
        <f t="shared" si="12"/>
        <v>PP_08</v>
      </c>
      <c r="O12" t="str">
        <f t="shared" si="12"/>
        <v>PP_08</v>
      </c>
      <c r="P12" t="str">
        <f t="shared" si="12"/>
        <v>PP_08</v>
      </c>
    </row>
    <row r="13" spans="1:16" x14ac:dyDescent="0.25">
      <c r="D13" t="str">
        <f t="shared" si="2"/>
        <v>PP_08</v>
      </c>
      <c r="E13" t="str">
        <f t="shared" ref="E13:P13" si="13">D13</f>
        <v>PP_08</v>
      </c>
      <c r="F13" t="str">
        <f t="shared" si="13"/>
        <v>PP_08</v>
      </c>
      <c r="G13" t="str">
        <f t="shared" si="13"/>
        <v>PP_08</v>
      </c>
      <c r="H13" t="str">
        <f t="shared" si="13"/>
        <v>PP_08</v>
      </c>
      <c r="I13" t="str">
        <f t="shared" si="13"/>
        <v>PP_08</v>
      </c>
      <c r="J13" t="str">
        <f t="shared" si="13"/>
        <v>PP_08</v>
      </c>
      <c r="K13" t="str">
        <f t="shared" si="13"/>
        <v>PP_08</v>
      </c>
      <c r="L13" t="str">
        <f t="shared" si="13"/>
        <v>PP_08</v>
      </c>
      <c r="M13" t="str">
        <f t="shared" si="13"/>
        <v>PP_08</v>
      </c>
      <c r="N13" t="str">
        <f t="shared" si="13"/>
        <v>PP_08</v>
      </c>
      <c r="O13" t="str">
        <f t="shared" si="13"/>
        <v>PP_08</v>
      </c>
      <c r="P13" t="str">
        <f t="shared" si="13"/>
        <v>PP_08</v>
      </c>
    </row>
    <row r="14" spans="1:16" x14ac:dyDescent="0.25">
      <c r="D14" t="str">
        <f t="shared" si="2"/>
        <v>PP_08</v>
      </c>
      <c r="E14" t="str">
        <f t="shared" ref="E14:P14" si="14">D14</f>
        <v>PP_08</v>
      </c>
      <c r="F14" t="str">
        <f t="shared" si="14"/>
        <v>PP_08</v>
      </c>
      <c r="G14" t="str">
        <f t="shared" si="14"/>
        <v>PP_08</v>
      </c>
      <c r="H14" t="str">
        <f t="shared" si="14"/>
        <v>PP_08</v>
      </c>
      <c r="I14" t="str">
        <f t="shared" si="14"/>
        <v>PP_08</v>
      </c>
      <c r="J14" t="str">
        <f t="shared" si="14"/>
        <v>PP_08</v>
      </c>
      <c r="K14" t="str">
        <f t="shared" si="14"/>
        <v>PP_08</v>
      </c>
      <c r="L14" t="str">
        <f t="shared" si="14"/>
        <v>PP_08</v>
      </c>
      <c r="M14" t="str">
        <f t="shared" si="14"/>
        <v>PP_08</v>
      </c>
      <c r="N14" t="str">
        <f t="shared" si="14"/>
        <v>PP_08</v>
      </c>
      <c r="O14" t="str">
        <f t="shared" si="14"/>
        <v>PP_08</v>
      </c>
      <c r="P14" t="str">
        <f t="shared" si="14"/>
        <v>PP_08</v>
      </c>
    </row>
    <row r="15" spans="1:16" x14ac:dyDescent="0.25">
      <c r="D15" t="str">
        <f t="shared" si="2"/>
        <v>PP_08</v>
      </c>
      <c r="E15" t="str">
        <f t="shared" ref="E15:P15" si="15">D15</f>
        <v>PP_08</v>
      </c>
      <c r="F15" t="str">
        <f t="shared" si="15"/>
        <v>PP_08</v>
      </c>
      <c r="G15" t="str">
        <f t="shared" si="15"/>
        <v>PP_08</v>
      </c>
      <c r="H15" t="str">
        <f t="shared" si="15"/>
        <v>PP_08</v>
      </c>
      <c r="I15" t="str">
        <f t="shared" si="15"/>
        <v>PP_08</v>
      </c>
      <c r="J15" t="str">
        <f t="shared" si="15"/>
        <v>PP_08</v>
      </c>
      <c r="K15" t="str">
        <f t="shared" si="15"/>
        <v>PP_08</v>
      </c>
      <c r="L15" t="str">
        <f t="shared" si="15"/>
        <v>PP_08</v>
      </c>
      <c r="M15" t="str">
        <f t="shared" si="15"/>
        <v>PP_08</v>
      </c>
      <c r="N15" t="str">
        <f t="shared" si="15"/>
        <v>PP_08</v>
      </c>
      <c r="O15" t="str">
        <f t="shared" si="15"/>
        <v>PP_08</v>
      </c>
      <c r="P15" t="str">
        <f t="shared" si="15"/>
        <v>PP_08</v>
      </c>
    </row>
    <row r="16" spans="1:16" x14ac:dyDescent="0.25">
      <c r="D16" t="str">
        <f t="shared" si="2"/>
        <v>PP_08</v>
      </c>
      <c r="E16" t="str">
        <f t="shared" ref="E16:P16" si="16">D16</f>
        <v>PP_08</v>
      </c>
      <c r="F16" t="str">
        <f t="shared" si="16"/>
        <v>PP_08</v>
      </c>
      <c r="G16" t="str">
        <f t="shared" si="16"/>
        <v>PP_08</v>
      </c>
      <c r="H16" t="str">
        <f t="shared" si="16"/>
        <v>PP_08</v>
      </c>
      <c r="I16" t="str">
        <f t="shared" si="16"/>
        <v>PP_08</v>
      </c>
      <c r="J16" t="str">
        <f t="shared" si="16"/>
        <v>PP_08</v>
      </c>
      <c r="K16" t="str">
        <f t="shared" si="16"/>
        <v>PP_08</v>
      </c>
      <c r="L16" t="str">
        <f t="shared" si="16"/>
        <v>PP_08</v>
      </c>
      <c r="M16" t="str">
        <f t="shared" si="16"/>
        <v>PP_08</v>
      </c>
      <c r="N16" t="str">
        <f t="shared" si="16"/>
        <v>PP_08</v>
      </c>
      <c r="O16" t="str">
        <f t="shared" si="16"/>
        <v>PP_08</v>
      </c>
      <c r="P16" t="str">
        <f t="shared" si="16"/>
        <v>PP_08</v>
      </c>
    </row>
    <row r="17" spans="4:16" x14ac:dyDescent="0.25">
      <c r="D17" t="str">
        <f t="shared" si="2"/>
        <v>PP_08</v>
      </c>
      <c r="E17" t="str">
        <f t="shared" ref="E17:P17" si="17">D17</f>
        <v>PP_08</v>
      </c>
      <c r="F17" t="str">
        <f t="shared" si="17"/>
        <v>PP_08</v>
      </c>
      <c r="G17" t="str">
        <f t="shared" si="17"/>
        <v>PP_08</v>
      </c>
      <c r="H17" t="str">
        <f t="shared" si="17"/>
        <v>PP_08</v>
      </c>
      <c r="I17" t="str">
        <f t="shared" si="17"/>
        <v>PP_08</v>
      </c>
      <c r="J17" t="str">
        <f t="shared" si="17"/>
        <v>PP_08</v>
      </c>
      <c r="K17" t="str">
        <f t="shared" si="17"/>
        <v>PP_08</v>
      </c>
      <c r="L17" t="str">
        <f t="shared" si="17"/>
        <v>PP_08</v>
      </c>
      <c r="M17" t="str">
        <f t="shared" si="17"/>
        <v>PP_08</v>
      </c>
      <c r="N17" t="str">
        <f t="shared" si="17"/>
        <v>PP_08</v>
      </c>
      <c r="O17" t="str">
        <f t="shared" si="17"/>
        <v>PP_08</v>
      </c>
      <c r="P17" t="str">
        <f t="shared" si="17"/>
        <v>PP_08</v>
      </c>
    </row>
    <row r="18" spans="4:16" x14ac:dyDescent="0.25">
      <c r="D18" t="str">
        <f t="shared" si="2"/>
        <v>PP_08</v>
      </c>
      <c r="E18" t="str">
        <f t="shared" ref="E18:P18" si="18">D18</f>
        <v>PP_08</v>
      </c>
      <c r="F18" t="str">
        <f t="shared" si="18"/>
        <v>PP_08</v>
      </c>
      <c r="G18" t="str">
        <f t="shared" si="18"/>
        <v>PP_08</v>
      </c>
      <c r="H18" t="str">
        <f t="shared" si="18"/>
        <v>PP_08</v>
      </c>
      <c r="I18" t="str">
        <f t="shared" si="18"/>
        <v>PP_08</v>
      </c>
      <c r="J18" t="str">
        <f t="shared" si="18"/>
        <v>PP_08</v>
      </c>
      <c r="K18" t="str">
        <f t="shared" si="18"/>
        <v>PP_08</v>
      </c>
      <c r="L18" t="str">
        <f t="shared" si="18"/>
        <v>PP_08</v>
      </c>
      <c r="M18" t="str">
        <f t="shared" si="18"/>
        <v>PP_08</v>
      </c>
      <c r="N18" t="str">
        <f t="shared" si="18"/>
        <v>PP_08</v>
      </c>
      <c r="O18" t="str">
        <f t="shared" si="18"/>
        <v>PP_08</v>
      </c>
      <c r="P18" t="str">
        <f t="shared" si="18"/>
        <v>PP_08</v>
      </c>
    </row>
    <row r="19" spans="4:16" x14ac:dyDescent="0.25">
      <c r="D19" t="str">
        <f t="shared" si="2"/>
        <v>PP_08</v>
      </c>
      <c r="E19" t="str">
        <f t="shared" ref="E19:P19" si="19">D19</f>
        <v>PP_08</v>
      </c>
      <c r="F19" t="str">
        <f t="shared" si="19"/>
        <v>PP_08</v>
      </c>
      <c r="G19" t="str">
        <f t="shared" si="19"/>
        <v>PP_08</v>
      </c>
      <c r="H19" t="str">
        <f t="shared" si="19"/>
        <v>PP_08</v>
      </c>
      <c r="I19" t="str">
        <f t="shared" si="19"/>
        <v>PP_08</v>
      </c>
      <c r="J19" t="str">
        <f t="shared" si="19"/>
        <v>PP_08</v>
      </c>
      <c r="K19" t="str">
        <f t="shared" si="19"/>
        <v>PP_08</v>
      </c>
      <c r="L19" t="str">
        <f t="shared" si="19"/>
        <v>PP_08</v>
      </c>
      <c r="M19" t="str">
        <f t="shared" si="19"/>
        <v>PP_08</v>
      </c>
      <c r="N19" t="str">
        <f t="shared" si="19"/>
        <v>PP_08</v>
      </c>
      <c r="O19" t="str">
        <f t="shared" si="19"/>
        <v>PP_08</v>
      </c>
      <c r="P19" t="str">
        <f t="shared" si="19"/>
        <v>PP_08</v>
      </c>
    </row>
    <row r="20" spans="4:16" x14ac:dyDescent="0.25">
      <c r="D20" t="str">
        <f t="shared" si="2"/>
        <v>PP_08</v>
      </c>
      <c r="E20" t="str">
        <f t="shared" ref="E20:P20" si="20">D20</f>
        <v>PP_08</v>
      </c>
      <c r="F20" t="str">
        <f t="shared" si="20"/>
        <v>PP_08</v>
      </c>
      <c r="G20" t="str">
        <f t="shared" si="20"/>
        <v>PP_08</v>
      </c>
      <c r="H20" t="str">
        <f t="shared" si="20"/>
        <v>PP_08</v>
      </c>
      <c r="I20" t="str">
        <f t="shared" si="20"/>
        <v>PP_08</v>
      </c>
      <c r="J20" t="str">
        <f t="shared" si="20"/>
        <v>PP_08</v>
      </c>
      <c r="K20" t="str">
        <f t="shared" si="20"/>
        <v>PP_08</v>
      </c>
      <c r="L20" t="str">
        <f t="shared" si="20"/>
        <v>PP_08</v>
      </c>
      <c r="M20" t="str">
        <f t="shared" si="20"/>
        <v>PP_08</v>
      </c>
      <c r="N20" t="str">
        <f t="shared" si="20"/>
        <v>PP_08</v>
      </c>
      <c r="O20" t="str">
        <f t="shared" si="20"/>
        <v>PP_08</v>
      </c>
      <c r="P20" t="str">
        <f t="shared" si="20"/>
        <v>PP_08</v>
      </c>
    </row>
    <row r="21" spans="4:16" x14ac:dyDescent="0.25">
      <c r="D21" t="str">
        <f t="shared" si="2"/>
        <v>PP_08</v>
      </c>
      <c r="E21" t="str">
        <f t="shared" ref="E21:P21" si="21">D21</f>
        <v>PP_08</v>
      </c>
      <c r="F21" t="str">
        <f t="shared" si="21"/>
        <v>PP_08</v>
      </c>
      <c r="G21" t="str">
        <f t="shared" si="21"/>
        <v>PP_08</v>
      </c>
      <c r="H21" t="str">
        <f t="shared" si="21"/>
        <v>PP_08</v>
      </c>
      <c r="I21" t="str">
        <f t="shared" si="21"/>
        <v>PP_08</v>
      </c>
      <c r="J21" t="str">
        <f t="shared" si="21"/>
        <v>PP_08</v>
      </c>
      <c r="K21" t="str">
        <f t="shared" si="21"/>
        <v>PP_08</v>
      </c>
      <c r="L21" t="str">
        <f t="shared" si="21"/>
        <v>PP_08</v>
      </c>
      <c r="M21" t="str">
        <f t="shared" si="21"/>
        <v>PP_08</v>
      </c>
      <c r="N21" t="str">
        <f t="shared" si="21"/>
        <v>PP_08</v>
      </c>
      <c r="O21" t="str">
        <f t="shared" si="21"/>
        <v>PP_08</v>
      </c>
      <c r="P21" t="str">
        <f t="shared" si="21"/>
        <v>PP_08</v>
      </c>
    </row>
    <row r="22" spans="4:16" x14ac:dyDescent="0.25">
      <c r="D22" t="str">
        <f t="shared" si="2"/>
        <v>PP_08</v>
      </c>
      <c r="E22" t="str">
        <f t="shared" ref="E22:P22" si="22">D22</f>
        <v>PP_08</v>
      </c>
      <c r="F22" t="str">
        <f t="shared" si="22"/>
        <v>PP_08</v>
      </c>
      <c r="G22" t="str">
        <f t="shared" si="22"/>
        <v>PP_08</v>
      </c>
      <c r="H22" t="str">
        <f t="shared" si="22"/>
        <v>PP_08</v>
      </c>
      <c r="I22" t="str">
        <f t="shared" si="22"/>
        <v>PP_08</v>
      </c>
      <c r="J22" t="str">
        <f t="shared" si="22"/>
        <v>PP_08</v>
      </c>
      <c r="K22" t="str">
        <f t="shared" si="22"/>
        <v>PP_08</v>
      </c>
      <c r="L22" t="str">
        <f t="shared" si="22"/>
        <v>PP_08</v>
      </c>
      <c r="M22" t="str">
        <f t="shared" si="22"/>
        <v>PP_08</v>
      </c>
      <c r="N22" t="str">
        <f t="shared" si="22"/>
        <v>PP_08</v>
      </c>
      <c r="O22" t="str">
        <f t="shared" si="22"/>
        <v>PP_08</v>
      </c>
      <c r="P22" t="str">
        <f t="shared" si="22"/>
        <v>PP_08</v>
      </c>
    </row>
    <row r="23" spans="4:16" x14ac:dyDescent="0.25">
      <c r="D23" t="str">
        <f t="shared" si="2"/>
        <v>PP_08</v>
      </c>
      <c r="E23" t="str">
        <f t="shared" ref="E23:P23" si="23">D23</f>
        <v>PP_08</v>
      </c>
      <c r="F23" t="str">
        <f t="shared" si="23"/>
        <v>PP_08</v>
      </c>
      <c r="G23" t="str">
        <f t="shared" si="23"/>
        <v>PP_08</v>
      </c>
      <c r="H23" t="str">
        <f t="shared" si="23"/>
        <v>PP_08</v>
      </c>
      <c r="I23" t="str">
        <f t="shared" si="23"/>
        <v>PP_08</v>
      </c>
      <c r="J23" t="str">
        <f t="shared" si="23"/>
        <v>PP_08</v>
      </c>
      <c r="K23" t="str">
        <f t="shared" si="23"/>
        <v>PP_08</v>
      </c>
      <c r="L23" t="str">
        <f t="shared" si="23"/>
        <v>PP_08</v>
      </c>
      <c r="M23" t="str">
        <f t="shared" si="23"/>
        <v>PP_08</v>
      </c>
      <c r="N23" t="str">
        <f t="shared" si="23"/>
        <v>PP_08</v>
      </c>
      <c r="O23" t="str">
        <f t="shared" si="23"/>
        <v>PP_08</v>
      </c>
      <c r="P23" t="str">
        <f t="shared" si="23"/>
        <v>PP_08</v>
      </c>
    </row>
    <row r="24" spans="4:16" x14ac:dyDescent="0.25">
      <c r="D24" t="str">
        <f t="shared" si="2"/>
        <v>PP_08</v>
      </c>
      <c r="E24" t="str">
        <f t="shared" ref="E24:P24" si="24">D24</f>
        <v>PP_08</v>
      </c>
      <c r="F24" t="str">
        <f t="shared" si="24"/>
        <v>PP_08</v>
      </c>
      <c r="G24" t="str">
        <f t="shared" si="24"/>
        <v>PP_08</v>
      </c>
      <c r="H24" t="str">
        <f t="shared" si="24"/>
        <v>PP_08</v>
      </c>
      <c r="I24" t="str">
        <f t="shared" si="24"/>
        <v>PP_08</v>
      </c>
      <c r="J24" t="str">
        <f t="shared" si="24"/>
        <v>PP_08</v>
      </c>
      <c r="K24" t="str">
        <f t="shared" si="24"/>
        <v>PP_08</v>
      </c>
      <c r="L24" t="str">
        <f t="shared" si="24"/>
        <v>PP_08</v>
      </c>
      <c r="M24" t="str">
        <f t="shared" si="24"/>
        <v>PP_08</v>
      </c>
      <c r="N24" t="str">
        <f t="shared" si="24"/>
        <v>PP_08</v>
      </c>
      <c r="O24" t="str">
        <f t="shared" si="24"/>
        <v>PP_08</v>
      </c>
      <c r="P24" t="str">
        <f t="shared" si="24"/>
        <v>PP_08</v>
      </c>
    </row>
    <row r="25" spans="4:16" x14ac:dyDescent="0.25">
      <c r="D25" t="str">
        <f t="shared" si="2"/>
        <v>PP_08</v>
      </c>
      <c r="E25" t="str">
        <f t="shared" ref="E25:P25" si="25">D25</f>
        <v>PP_08</v>
      </c>
      <c r="F25" t="str">
        <f t="shared" si="25"/>
        <v>PP_08</v>
      </c>
      <c r="G25" t="str">
        <f t="shared" si="25"/>
        <v>PP_08</v>
      </c>
      <c r="H25" t="str">
        <f t="shared" si="25"/>
        <v>PP_08</v>
      </c>
      <c r="I25" t="str">
        <f t="shared" si="25"/>
        <v>PP_08</v>
      </c>
      <c r="J25" t="str">
        <f t="shared" si="25"/>
        <v>PP_08</v>
      </c>
      <c r="K25" t="str">
        <f t="shared" si="25"/>
        <v>PP_08</v>
      </c>
      <c r="L25" t="str">
        <f t="shared" si="25"/>
        <v>PP_08</v>
      </c>
      <c r="M25" t="str">
        <f t="shared" si="25"/>
        <v>PP_08</v>
      </c>
      <c r="N25" t="str">
        <f t="shared" si="25"/>
        <v>PP_08</v>
      </c>
      <c r="O25" t="str">
        <f t="shared" si="25"/>
        <v>PP_08</v>
      </c>
      <c r="P25" t="str">
        <f t="shared" si="25"/>
        <v>PP_08</v>
      </c>
    </row>
    <row r="26" spans="4:16" x14ac:dyDescent="0.25">
      <c r="D26" t="str">
        <f t="shared" si="2"/>
        <v>PP_08</v>
      </c>
      <c r="E26" t="str">
        <f t="shared" ref="E26:P26" si="26">D26</f>
        <v>PP_08</v>
      </c>
      <c r="F26" t="str">
        <f t="shared" si="26"/>
        <v>PP_08</v>
      </c>
      <c r="G26" t="str">
        <f t="shared" si="26"/>
        <v>PP_08</v>
      </c>
      <c r="H26" t="str">
        <f t="shared" si="26"/>
        <v>PP_08</v>
      </c>
      <c r="I26" t="str">
        <f t="shared" si="26"/>
        <v>PP_08</v>
      </c>
      <c r="J26" t="str">
        <f t="shared" si="26"/>
        <v>PP_08</v>
      </c>
      <c r="K26" t="str">
        <f t="shared" si="26"/>
        <v>PP_08</v>
      </c>
      <c r="L26" t="str">
        <f t="shared" si="26"/>
        <v>PP_08</v>
      </c>
      <c r="M26" t="str">
        <f t="shared" si="26"/>
        <v>PP_08</v>
      </c>
      <c r="N26" t="str">
        <f t="shared" si="26"/>
        <v>PP_08</v>
      </c>
      <c r="O26" t="str">
        <f t="shared" si="26"/>
        <v>PP_08</v>
      </c>
      <c r="P26" t="str">
        <f t="shared" si="26"/>
        <v>PP_08</v>
      </c>
    </row>
    <row r="27" spans="4:16" x14ac:dyDescent="0.25">
      <c r="D27" t="str">
        <f t="shared" si="2"/>
        <v>PP_08</v>
      </c>
      <c r="E27" t="str">
        <f t="shared" ref="E27:P27" si="27">D27</f>
        <v>PP_08</v>
      </c>
      <c r="F27" t="str">
        <f t="shared" si="27"/>
        <v>PP_08</v>
      </c>
      <c r="G27" t="str">
        <f t="shared" si="27"/>
        <v>PP_08</v>
      </c>
      <c r="H27" t="str">
        <f t="shared" si="27"/>
        <v>PP_08</v>
      </c>
      <c r="I27" t="str">
        <f t="shared" si="27"/>
        <v>PP_08</v>
      </c>
      <c r="J27" t="str">
        <f t="shared" si="27"/>
        <v>PP_08</v>
      </c>
      <c r="K27" t="str">
        <f t="shared" si="27"/>
        <v>PP_08</v>
      </c>
      <c r="L27" t="str">
        <f t="shared" si="27"/>
        <v>PP_08</v>
      </c>
      <c r="M27" t="str">
        <f t="shared" si="27"/>
        <v>PP_08</v>
      </c>
      <c r="N27" t="str">
        <f t="shared" si="27"/>
        <v>PP_08</v>
      </c>
      <c r="O27" t="str">
        <f t="shared" si="27"/>
        <v>PP_08</v>
      </c>
      <c r="P27" t="str">
        <f t="shared" si="27"/>
        <v>PP_08</v>
      </c>
    </row>
    <row r="28" spans="4:16" x14ac:dyDescent="0.25">
      <c r="D28" t="str">
        <f t="shared" si="2"/>
        <v>PP_08</v>
      </c>
      <c r="E28" t="str">
        <f t="shared" ref="E28:P28" si="28">D28</f>
        <v>PP_08</v>
      </c>
      <c r="F28" t="str">
        <f t="shared" si="28"/>
        <v>PP_08</v>
      </c>
      <c r="G28" t="str">
        <f t="shared" si="28"/>
        <v>PP_08</v>
      </c>
      <c r="H28" t="str">
        <f t="shared" si="28"/>
        <v>PP_08</v>
      </c>
      <c r="I28" t="str">
        <f t="shared" si="28"/>
        <v>PP_08</v>
      </c>
      <c r="J28" t="str">
        <f t="shared" si="28"/>
        <v>PP_08</v>
      </c>
      <c r="K28" t="str">
        <f t="shared" si="28"/>
        <v>PP_08</v>
      </c>
      <c r="L28" t="str">
        <f t="shared" si="28"/>
        <v>PP_08</v>
      </c>
      <c r="M28" t="str">
        <f t="shared" si="28"/>
        <v>PP_08</v>
      </c>
      <c r="N28" t="str">
        <f t="shared" si="28"/>
        <v>PP_08</v>
      </c>
      <c r="O28" t="str">
        <f t="shared" si="28"/>
        <v>PP_08</v>
      </c>
      <c r="P28" t="str">
        <f t="shared" si="28"/>
        <v>PP_08</v>
      </c>
    </row>
    <row r="29" spans="4:16" x14ac:dyDescent="0.25">
      <c r="D29" t="str">
        <f t="shared" si="2"/>
        <v>PP_08</v>
      </c>
      <c r="E29" t="str">
        <f t="shared" ref="E29:P29" si="29">D29</f>
        <v>PP_08</v>
      </c>
      <c r="F29" t="str">
        <f t="shared" si="29"/>
        <v>PP_08</v>
      </c>
      <c r="G29" t="str">
        <f t="shared" si="29"/>
        <v>PP_08</v>
      </c>
      <c r="H29" t="str">
        <f t="shared" si="29"/>
        <v>PP_08</v>
      </c>
      <c r="I29" t="str">
        <f t="shared" si="29"/>
        <v>PP_08</v>
      </c>
      <c r="J29" t="str">
        <f t="shared" si="29"/>
        <v>PP_08</v>
      </c>
      <c r="K29" t="str">
        <f t="shared" si="29"/>
        <v>PP_08</v>
      </c>
      <c r="L29" t="str">
        <f t="shared" si="29"/>
        <v>PP_08</v>
      </c>
      <c r="M29" t="str">
        <f t="shared" si="29"/>
        <v>PP_08</v>
      </c>
      <c r="N29" t="str">
        <f t="shared" si="29"/>
        <v>PP_08</v>
      </c>
      <c r="O29" t="str">
        <f t="shared" si="29"/>
        <v>PP_08</v>
      </c>
      <c r="P29" t="str">
        <f t="shared" si="29"/>
        <v>PP_08</v>
      </c>
    </row>
    <row r="30" spans="4:16" x14ac:dyDescent="0.25">
      <c r="D30" t="str">
        <f t="shared" si="2"/>
        <v>PP_08</v>
      </c>
      <c r="E30" t="str">
        <f t="shared" ref="E30:P30" si="30">D30</f>
        <v>PP_08</v>
      </c>
      <c r="F30" t="str">
        <f t="shared" si="30"/>
        <v>PP_08</v>
      </c>
      <c r="G30" t="str">
        <f t="shared" si="30"/>
        <v>PP_08</v>
      </c>
      <c r="H30" t="str">
        <f t="shared" si="30"/>
        <v>PP_08</v>
      </c>
      <c r="I30" t="str">
        <f t="shared" si="30"/>
        <v>PP_08</v>
      </c>
      <c r="J30" t="str">
        <f t="shared" si="30"/>
        <v>PP_08</v>
      </c>
      <c r="K30" t="str">
        <f t="shared" si="30"/>
        <v>PP_08</v>
      </c>
      <c r="L30" t="str">
        <f t="shared" si="30"/>
        <v>PP_08</v>
      </c>
      <c r="M30" t="str">
        <f t="shared" si="30"/>
        <v>PP_08</v>
      </c>
      <c r="N30" t="str">
        <f t="shared" si="30"/>
        <v>PP_08</v>
      </c>
      <c r="O30" t="str">
        <f t="shared" si="30"/>
        <v>PP_08</v>
      </c>
      <c r="P30" t="str">
        <f t="shared" si="30"/>
        <v>PP_08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137</v>
      </c>
      <c r="E1" t="str">
        <f>D1</f>
        <v>PP_09</v>
      </c>
      <c r="F1" t="str">
        <f t="shared" ref="F1:P1" si="0">E1</f>
        <v>PP_09</v>
      </c>
      <c r="G1" t="str">
        <f t="shared" si="0"/>
        <v>PP_09</v>
      </c>
      <c r="H1" t="str">
        <f t="shared" si="0"/>
        <v>PP_09</v>
      </c>
      <c r="I1" t="str">
        <f t="shared" si="0"/>
        <v>PP_09</v>
      </c>
      <c r="J1" t="str">
        <f t="shared" si="0"/>
        <v>PP_09</v>
      </c>
      <c r="K1" t="str">
        <f t="shared" si="0"/>
        <v>PP_09</v>
      </c>
      <c r="L1" t="str">
        <f t="shared" si="0"/>
        <v>PP_09</v>
      </c>
      <c r="M1" t="str">
        <f t="shared" si="0"/>
        <v>PP_09</v>
      </c>
      <c r="N1" t="str">
        <f t="shared" si="0"/>
        <v>PP_09</v>
      </c>
      <c r="O1" t="str">
        <f t="shared" si="0"/>
        <v>PP_09</v>
      </c>
      <c r="P1" t="str">
        <f t="shared" si="0"/>
        <v>PP_09</v>
      </c>
    </row>
    <row r="2" spans="1:16" x14ac:dyDescent="0.25">
      <c r="A2" s="106" t="s">
        <v>177</v>
      </c>
      <c r="B2" s="107" t="s">
        <v>196</v>
      </c>
      <c r="D2" t="str">
        <f>D1</f>
        <v>PP_09</v>
      </c>
      <c r="E2" t="str">
        <f t="shared" ref="E2:P2" si="1">D2</f>
        <v>PP_09</v>
      </c>
      <c r="F2" t="str">
        <f t="shared" si="1"/>
        <v>PP_09</v>
      </c>
      <c r="G2" t="str">
        <f t="shared" si="1"/>
        <v>PP_09</v>
      </c>
      <c r="H2" t="str">
        <f t="shared" si="1"/>
        <v>PP_09</v>
      </c>
      <c r="I2" t="str">
        <f t="shared" si="1"/>
        <v>PP_09</v>
      </c>
      <c r="J2" t="str">
        <f t="shared" si="1"/>
        <v>PP_09</v>
      </c>
      <c r="K2" t="str">
        <f t="shared" si="1"/>
        <v>PP_09</v>
      </c>
      <c r="L2" t="str">
        <f t="shared" si="1"/>
        <v>PP_09</v>
      </c>
      <c r="M2" t="str">
        <f t="shared" si="1"/>
        <v>PP_09</v>
      </c>
      <c r="N2" t="str">
        <f t="shared" si="1"/>
        <v>PP_09</v>
      </c>
      <c r="O2" t="str">
        <f t="shared" si="1"/>
        <v>PP_09</v>
      </c>
      <c r="P2" t="str">
        <f t="shared" si="1"/>
        <v>PP_09</v>
      </c>
    </row>
    <row r="3" spans="1:16" x14ac:dyDescent="0.25">
      <c r="A3" s="74"/>
      <c r="B3" s="70"/>
      <c r="D3" t="str">
        <f t="shared" ref="D3:D30" si="2">D2</f>
        <v>PP_09</v>
      </c>
      <c r="E3" t="str">
        <f t="shared" ref="E3:P3" si="3">D3</f>
        <v>PP_09</v>
      </c>
      <c r="F3" t="str">
        <f t="shared" si="3"/>
        <v>PP_09</v>
      </c>
      <c r="G3" t="str">
        <f t="shared" si="3"/>
        <v>PP_09</v>
      </c>
      <c r="H3" t="str">
        <f t="shared" si="3"/>
        <v>PP_09</v>
      </c>
      <c r="I3" t="str">
        <f t="shared" si="3"/>
        <v>PP_09</v>
      </c>
      <c r="J3" t="str">
        <f t="shared" si="3"/>
        <v>PP_09</v>
      </c>
      <c r="K3" t="str">
        <f t="shared" si="3"/>
        <v>PP_09</v>
      </c>
      <c r="L3" t="str">
        <f t="shared" si="3"/>
        <v>PP_09</v>
      </c>
      <c r="M3" t="str">
        <f t="shared" si="3"/>
        <v>PP_09</v>
      </c>
      <c r="N3" t="str">
        <f t="shared" si="3"/>
        <v>PP_09</v>
      </c>
      <c r="O3" t="str">
        <f t="shared" si="3"/>
        <v>PP_09</v>
      </c>
      <c r="P3" t="str">
        <f t="shared" si="3"/>
        <v>PP_09</v>
      </c>
    </row>
    <row r="4" spans="1:16" x14ac:dyDescent="0.25">
      <c r="A4" s="75"/>
      <c r="B4" s="76"/>
      <c r="D4" t="str">
        <f t="shared" si="2"/>
        <v>PP_09</v>
      </c>
      <c r="E4" t="str">
        <f t="shared" ref="E4:P4" si="4">D4</f>
        <v>PP_09</v>
      </c>
      <c r="F4" t="str">
        <f t="shared" si="4"/>
        <v>PP_09</v>
      </c>
      <c r="G4" t="str">
        <f t="shared" si="4"/>
        <v>PP_09</v>
      </c>
      <c r="H4" t="str">
        <f t="shared" si="4"/>
        <v>PP_09</v>
      </c>
      <c r="I4" t="str">
        <f t="shared" si="4"/>
        <v>PP_09</v>
      </c>
      <c r="J4" t="str">
        <f t="shared" si="4"/>
        <v>PP_09</v>
      </c>
      <c r="K4" t="str">
        <f t="shared" si="4"/>
        <v>PP_09</v>
      </c>
      <c r="L4" t="str">
        <f t="shared" si="4"/>
        <v>PP_09</v>
      </c>
      <c r="M4" t="str">
        <f t="shared" si="4"/>
        <v>PP_09</v>
      </c>
      <c r="N4" t="str">
        <f t="shared" si="4"/>
        <v>PP_09</v>
      </c>
      <c r="O4" t="str">
        <f t="shared" si="4"/>
        <v>PP_09</v>
      </c>
      <c r="P4" t="str">
        <f t="shared" si="4"/>
        <v>PP_09</v>
      </c>
    </row>
    <row r="5" spans="1:16" x14ac:dyDescent="0.25">
      <c r="A5" s="74"/>
      <c r="B5" s="70"/>
      <c r="D5" t="str">
        <f t="shared" si="2"/>
        <v>PP_09</v>
      </c>
      <c r="E5" t="str">
        <f t="shared" ref="E5:P5" si="5">D5</f>
        <v>PP_09</v>
      </c>
      <c r="F5" t="str">
        <f t="shared" si="5"/>
        <v>PP_09</v>
      </c>
      <c r="G5" t="str">
        <f t="shared" si="5"/>
        <v>PP_09</v>
      </c>
      <c r="H5" t="str">
        <f t="shared" si="5"/>
        <v>PP_09</v>
      </c>
      <c r="I5" t="str">
        <f t="shared" si="5"/>
        <v>PP_09</v>
      </c>
      <c r="J5" t="str">
        <f t="shared" si="5"/>
        <v>PP_09</v>
      </c>
      <c r="K5" t="str">
        <f t="shared" si="5"/>
        <v>PP_09</v>
      </c>
      <c r="L5" t="str">
        <f t="shared" si="5"/>
        <v>PP_09</v>
      </c>
      <c r="M5" t="str">
        <f t="shared" si="5"/>
        <v>PP_09</v>
      </c>
      <c r="N5" t="str">
        <f t="shared" si="5"/>
        <v>PP_09</v>
      </c>
      <c r="O5" t="str">
        <f t="shared" si="5"/>
        <v>PP_09</v>
      </c>
      <c r="P5" t="str">
        <f t="shared" si="5"/>
        <v>PP_09</v>
      </c>
    </row>
    <row r="6" spans="1:16" x14ac:dyDescent="0.25">
      <c r="A6" s="74"/>
      <c r="B6" s="70"/>
      <c r="D6" t="str">
        <f t="shared" si="2"/>
        <v>PP_09</v>
      </c>
      <c r="E6" t="str">
        <f t="shared" ref="E6:P6" si="6">D6</f>
        <v>PP_09</v>
      </c>
      <c r="F6" t="str">
        <f t="shared" si="6"/>
        <v>PP_09</v>
      </c>
      <c r="G6" t="str">
        <f t="shared" si="6"/>
        <v>PP_09</v>
      </c>
      <c r="H6" t="str">
        <f t="shared" si="6"/>
        <v>PP_09</v>
      </c>
      <c r="I6" t="str">
        <f t="shared" si="6"/>
        <v>PP_09</v>
      </c>
      <c r="J6" t="str">
        <f t="shared" si="6"/>
        <v>PP_09</v>
      </c>
      <c r="K6" t="str">
        <f t="shared" si="6"/>
        <v>PP_09</v>
      </c>
      <c r="L6" t="str">
        <f t="shared" si="6"/>
        <v>PP_09</v>
      </c>
      <c r="M6" t="str">
        <f t="shared" si="6"/>
        <v>PP_09</v>
      </c>
      <c r="N6" t="str">
        <f t="shared" si="6"/>
        <v>PP_09</v>
      </c>
      <c r="O6" t="str">
        <f t="shared" si="6"/>
        <v>PP_09</v>
      </c>
      <c r="P6" t="str">
        <f t="shared" si="6"/>
        <v>PP_09</v>
      </c>
    </row>
    <row r="7" spans="1:16" x14ac:dyDescent="0.25">
      <c r="D7" t="str">
        <f t="shared" si="2"/>
        <v>PP_09</v>
      </c>
      <c r="E7" t="str">
        <f t="shared" ref="E7:P7" si="7">D7</f>
        <v>PP_09</v>
      </c>
      <c r="F7" t="str">
        <f t="shared" si="7"/>
        <v>PP_09</v>
      </c>
      <c r="G7" t="str">
        <f t="shared" si="7"/>
        <v>PP_09</v>
      </c>
      <c r="H7" t="str">
        <f t="shared" si="7"/>
        <v>PP_09</v>
      </c>
      <c r="I7" t="str">
        <f t="shared" si="7"/>
        <v>PP_09</v>
      </c>
      <c r="J7" t="str">
        <f t="shared" si="7"/>
        <v>PP_09</v>
      </c>
      <c r="K7" t="str">
        <f t="shared" si="7"/>
        <v>PP_09</v>
      </c>
      <c r="L7" t="str">
        <f t="shared" si="7"/>
        <v>PP_09</v>
      </c>
      <c r="M7" t="str">
        <f t="shared" si="7"/>
        <v>PP_09</v>
      </c>
      <c r="N7" t="str">
        <f t="shared" si="7"/>
        <v>PP_09</v>
      </c>
      <c r="O7" t="str">
        <f t="shared" si="7"/>
        <v>PP_09</v>
      </c>
      <c r="P7" t="str">
        <f t="shared" si="7"/>
        <v>PP_09</v>
      </c>
    </row>
    <row r="8" spans="1:16" x14ac:dyDescent="0.25">
      <c r="D8" t="str">
        <f t="shared" si="2"/>
        <v>PP_09</v>
      </c>
      <c r="E8" t="str">
        <f t="shared" ref="E8:P8" si="8">D8</f>
        <v>PP_09</v>
      </c>
      <c r="F8" t="str">
        <f t="shared" si="8"/>
        <v>PP_09</v>
      </c>
      <c r="G8" t="str">
        <f t="shared" si="8"/>
        <v>PP_09</v>
      </c>
      <c r="H8" t="str">
        <f t="shared" si="8"/>
        <v>PP_09</v>
      </c>
      <c r="I8" t="str">
        <f t="shared" si="8"/>
        <v>PP_09</v>
      </c>
      <c r="J8" t="str">
        <f t="shared" si="8"/>
        <v>PP_09</v>
      </c>
      <c r="K8" t="str">
        <f t="shared" si="8"/>
        <v>PP_09</v>
      </c>
      <c r="L8" t="str">
        <f t="shared" si="8"/>
        <v>PP_09</v>
      </c>
      <c r="M8" t="str">
        <f t="shared" si="8"/>
        <v>PP_09</v>
      </c>
      <c r="N8" t="str">
        <f t="shared" si="8"/>
        <v>PP_09</v>
      </c>
      <c r="O8" t="str">
        <f t="shared" si="8"/>
        <v>PP_09</v>
      </c>
      <c r="P8" t="str">
        <f t="shared" si="8"/>
        <v>PP_09</v>
      </c>
    </row>
    <row r="9" spans="1:16" x14ac:dyDescent="0.25">
      <c r="D9" t="str">
        <f t="shared" si="2"/>
        <v>PP_09</v>
      </c>
      <c r="E9" t="str">
        <f t="shared" ref="E9:P9" si="9">D9</f>
        <v>PP_09</v>
      </c>
      <c r="F9" t="str">
        <f t="shared" si="9"/>
        <v>PP_09</v>
      </c>
      <c r="G9" t="str">
        <f t="shared" si="9"/>
        <v>PP_09</v>
      </c>
      <c r="H9" t="str">
        <f t="shared" si="9"/>
        <v>PP_09</v>
      </c>
      <c r="I9" t="str">
        <f t="shared" si="9"/>
        <v>PP_09</v>
      </c>
      <c r="J9" t="str">
        <f t="shared" si="9"/>
        <v>PP_09</v>
      </c>
      <c r="K9" t="str">
        <f t="shared" si="9"/>
        <v>PP_09</v>
      </c>
      <c r="L9" t="str">
        <f t="shared" si="9"/>
        <v>PP_09</v>
      </c>
      <c r="M9" t="str">
        <f t="shared" si="9"/>
        <v>PP_09</v>
      </c>
      <c r="N9" t="str">
        <f t="shared" si="9"/>
        <v>PP_09</v>
      </c>
      <c r="O9" t="str">
        <f t="shared" si="9"/>
        <v>PP_09</v>
      </c>
      <c r="P9" t="str">
        <f t="shared" si="9"/>
        <v>PP_09</v>
      </c>
    </row>
    <row r="10" spans="1:16" x14ac:dyDescent="0.25">
      <c r="D10" t="str">
        <f t="shared" si="2"/>
        <v>PP_09</v>
      </c>
      <c r="E10" t="str">
        <f t="shared" ref="E10:P10" si="10">D10</f>
        <v>PP_09</v>
      </c>
      <c r="F10" t="str">
        <f t="shared" si="10"/>
        <v>PP_09</v>
      </c>
      <c r="G10" t="str">
        <f t="shared" si="10"/>
        <v>PP_09</v>
      </c>
      <c r="H10" t="str">
        <f t="shared" si="10"/>
        <v>PP_09</v>
      </c>
      <c r="I10" t="str">
        <f t="shared" si="10"/>
        <v>PP_09</v>
      </c>
      <c r="J10" t="str">
        <f t="shared" si="10"/>
        <v>PP_09</v>
      </c>
      <c r="K10" t="str">
        <f t="shared" si="10"/>
        <v>PP_09</v>
      </c>
      <c r="L10" t="str">
        <f t="shared" si="10"/>
        <v>PP_09</v>
      </c>
      <c r="M10" t="str">
        <f t="shared" si="10"/>
        <v>PP_09</v>
      </c>
      <c r="N10" t="str">
        <f t="shared" si="10"/>
        <v>PP_09</v>
      </c>
      <c r="O10" t="str">
        <f t="shared" si="10"/>
        <v>PP_09</v>
      </c>
      <c r="P10" t="str">
        <f t="shared" si="10"/>
        <v>PP_09</v>
      </c>
    </row>
    <row r="11" spans="1:16" x14ac:dyDescent="0.25">
      <c r="D11" t="str">
        <f t="shared" si="2"/>
        <v>PP_09</v>
      </c>
      <c r="E11" t="str">
        <f t="shared" ref="E11:P11" si="11">D11</f>
        <v>PP_09</v>
      </c>
      <c r="F11" t="str">
        <f t="shared" si="11"/>
        <v>PP_09</v>
      </c>
      <c r="G11" t="str">
        <f t="shared" si="11"/>
        <v>PP_09</v>
      </c>
      <c r="H11" t="str">
        <f t="shared" si="11"/>
        <v>PP_09</v>
      </c>
      <c r="I11" t="str">
        <f t="shared" si="11"/>
        <v>PP_09</v>
      </c>
      <c r="J11" t="str">
        <f t="shared" si="11"/>
        <v>PP_09</v>
      </c>
      <c r="K11" t="str">
        <f t="shared" si="11"/>
        <v>PP_09</v>
      </c>
      <c r="L11" t="str">
        <f t="shared" si="11"/>
        <v>PP_09</v>
      </c>
      <c r="M11" t="str">
        <f t="shared" si="11"/>
        <v>PP_09</v>
      </c>
      <c r="N11" t="str">
        <f t="shared" si="11"/>
        <v>PP_09</v>
      </c>
      <c r="O11" t="str">
        <f t="shared" si="11"/>
        <v>PP_09</v>
      </c>
      <c r="P11" t="str">
        <f t="shared" si="11"/>
        <v>PP_09</v>
      </c>
    </row>
    <row r="12" spans="1:16" x14ac:dyDescent="0.25">
      <c r="D12" t="str">
        <f t="shared" si="2"/>
        <v>PP_09</v>
      </c>
      <c r="E12" t="str">
        <f t="shared" ref="E12:P12" si="12">D12</f>
        <v>PP_09</v>
      </c>
      <c r="F12" t="str">
        <f t="shared" si="12"/>
        <v>PP_09</v>
      </c>
      <c r="G12" t="str">
        <f t="shared" si="12"/>
        <v>PP_09</v>
      </c>
      <c r="H12" t="str">
        <f t="shared" si="12"/>
        <v>PP_09</v>
      </c>
      <c r="I12" t="str">
        <f t="shared" si="12"/>
        <v>PP_09</v>
      </c>
      <c r="J12" t="str">
        <f t="shared" si="12"/>
        <v>PP_09</v>
      </c>
      <c r="K12" t="str">
        <f t="shared" si="12"/>
        <v>PP_09</v>
      </c>
      <c r="L12" t="str">
        <f t="shared" si="12"/>
        <v>PP_09</v>
      </c>
      <c r="M12" t="str">
        <f t="shared" si="12"/>
        <v>PP_09</v>
      </c>
      <c r="N12" t="str">
        <f t="shared" si="12"/>
        <v>PP_09</v>
      </c>
      <c r="O12" t="str">
        <f t="shared" si="12"/>
        <v>PP_09</v>
      </c>
      <c r="P12" t="str">
        <f t="shared" si="12"/>
        <v>PP_09</v>
      </c>
    </row>
    <row r="13" spans="1:16" x14ac:dyDescent="0.25">
      <c r="D13" t="str">
        <f t="shared" si="2"/>
        <v>PP_09</v>
      </c>
      <c r="E13" t="str">
        <f t="shared" ref="E13:P13" si="13">D13</f>
        <v>PP_09</v>
      </c>
      <c r="F13" t="str">
        <f t="shared" si="13"/>
        <v>PP_09</v>
      </c>
      <c r="G13" t="str">
        <f t="shared" si="13"/>
        <v>PP_09</v>
      </c>
      <c r="H13" t="str">
        <f t="shared" si="13"/>
        <v>PP_09</v>
      </c>
      <c r="I13" t="str">
        <f t="shared" si="13"/>
        <v>PP_09</v>
      </c>
      <c r="J13" t="str">
        <f t="shared" si="13"/>
        <v>PP_09</v>
      </c>
      <c r="K13" t="str">
        <f t="shared" si="13"/>
        <v>PP_09</v>
      </c>
      <c r="L13" t="str">
        <f t="shared" si="13"/>
        <v>PP_09</v>
      </c>
      <c r="M13" t="str">
        <f t="shared" si="13"/>
        <v>PP_09</v>
      </c>
      <c r="N13" t="str">
        <f t="shared" si="13"/>
        <v>PP_09</v>
      </c>
      <c r="O13" t="str">
        <f t="shared" si="13"/>
        <v>PP_09</v>
      </c>
      <c r="P13" t="str">
        <f t="shared" si="13"/>
        <v>PP_09</v>
      </c>
    </row>
    <row r="14" spans="1:16" x14ac:dyDescent="0.25">
      <c r="D14" t="str">
        <f t="shared" si="2"/>
        <v>PP_09</v>
      </c>
      <c r="E14" t="str">
        <f t="shared" ref="E14:P14" si="14">D14</f>
        <v>PP_09</v>
      </c>
      <c r="F14" t="str">
        <f t="shared" si="14"/>
        <v>PP_09</v>
      </c>
      <c r="G14" t="str">
        <f t="shared" si="14"/>
        <v>PP_09</v>
      </c>
      <c r="H14" t="str">
        <f t="shared" si="14"/>
        <v>PP_09</v>
      </c>
      <c r="I14" t="str">
        <f t="shared" si="14"/>
        <v>PP_09</v>
      </c>
      <c r="J14" t="str">
        <f t="shared" si="14"/>
        <v>PP_09</v>
      </c>
      <c r="K14" t="str">
        <f t="shared" si="14"/>
        <v>PP_09</v>
      </c>
      <c r="L14" t="str">
        <f t="shared" si="14"/>
        <v>PP_09</v>
      </c>
      <c r="M14" t="str">
        <f t="shared" si="14"/>
        <v>PP_09</v>
      </c>
      <c r="N14" t="str">
        <f t="shared" si="14"/>
        <v>PP_09</v>
      </c>
      <c r="O14" t="str">
        <f t="shared" si="14"/>
        <v>PP_09</v>
      </c>
      <c r="P14" t="str">
        <f t="shared" si="14"/>
        <v>PP_09</v>
      </c>
    </row>
    <row r="15" spans="1:16" x14ac:dyDescent="0.25">
      <c r="D15" t="str">
        <f t="shared" si="2"/>
        <v>PP_09</v>
      </c>
      <c r="E15" t="str">
        <f t="shared" ref="E15:P15" si="15">D15</f>
        <v>PP_09</v>
      </c>
      <c r="F15" t="str">
        <f t="shared" si="15"/>
        <v>PP_09</v>
      </c>
      <c r="G15" t="str">
        <f t="shared" si="15"/>
        <v>PP_09</v>
      </c>
      <c r="H15" t="str">
        <f t="shared" si="15"/>
        <v>PP_09</v>
      </c>
      <c r="I15" t="str">
        <f t="shared" si="15"/>
        <v>PP_09</v>
      </c>
      <c r="J15" t="str">
        <f t="shared" si="15"/>
        <v>PP_09</v>
      </c>
      <c r="K15" t="str">
        <f t="shared" si="15"/>
        <v>PP_09</v>
      </c>
      <c r="L15" t="str">
        <f t="shared" si="15"/>
        <v>PP_09</v>
      </c>
      <c r="M15" t="str">
        <f t="shared" si="15"/>
        <v>PP_09</v>
      </c>
      <c r="N15" t="str">
        <f t="shared" si="15"/>
        <v>PP_09</v>
      </c>
      <c r="O15" t="str">
        <f t="shared" si="15"/>
        <v>PP_09</v>
      </c>
      <c r="P15" t="str">
        <f t="shared" si="15"/>
        <v>PP_09</v>
      </c>
    </row>
    <row r="16" spans="1:16" x14ac:dyDescent="0.25">
      <c r="D16" t="str">
        <f t="shared" si="2"/>
        <v>PP_09</v>
      </c>
      <c r="E16" t="str">
        <f t="shared" ref="E16:P16" si="16">D16</f>
        <v>PP_09</v>
      </c>
      <c r="F16" t="str">
        <f t="shared" si="16"/>
        <v>PP_09</v>
      </c>
      <c r="G16" t="str">
        <f t="shared" si="16"/>
        <v>PP_09</v>
      </c>
      <c r="H16" t="str">
        <f t="shared" si="16"/>
        <v>PP_09</v>
      </c>
      <c r="I16" t="str">
        <f t="shared" si="16"/>
        <v>PP_09</v>
      </c>
      <c r="J16" t="str">
        <f t="shared" si="16"/>
        <v>PP_09</v>
      </c>
      <c r="K16" t="str">
        <f t="shared" si="16"/>
        <v>PP_09</v>
      </c>
      <c r="L16" t="str">
        <f t="shared" si="16"/>
        <v>PP_09</v>
      </c>
      <c r="M16" t="str">
        <f t="shared" si="16"/>
        <v>PP_09</v>
      </c>
      <c r="N16" t="str">
        <f t="shared" si="16"/>
        <v>PP_09</v>
      </c>
      <c r="O16" t="str">
        <f t="shared" si="16"/>
        <v>PP_09</v>
      </c>
      <c r="P16" t="str">
        <f t="shared" si="16"/>
        <v>PP_09</v>
      </c>
    </row>
    <row r="17" spans="4:16" x14ac:dyDescent="0.25">
      <c r="D17" t="str">
        <f t="shared" si="2"/>
        <v>PP_09</v>
      </c>
      <c r="E17" t="str">
        <f t="shared" ref="E17:P17" si="17">D17</f>
        <v>PP_09</v>
      </c>
      <c r="F17" t="str">
        <f t="shared" si="17"/>
        <v>PP_09</v>
      </c>
      <c r="G17" t="str">
        <f t="shared" si="17"/>
        <v>PP_09</v>
      </c>
      <c r="H17" t="str">
        <f t="shared" si="17"/>
        <v>PP_09</v>
      </c>
      <c r="I17" t="str">
        <f t="shared" si="17"/>
        <v>PP_09</v>
      </c>
      <c r="J17" t="str">
        <f t="shared" si="17"/>
        <v>PP_09</v>
      </c>
      <c r="K17" t="str">
        <f t="shared" si="17"/>
        <v>PP_09</v>
      </c>
      <c r="L17" t="str">
        <f t="shared" si="17"/>
        <v>PP_09</v>
      </c>
      <c r="M17" t="str">
        <f t="shared" si="17"/>
        <v>PP_09</v>
      </c>
      <c r="N17" t="str">
        <f t="shared" si="17"/>
        <v>PP_09</v>
      </c>
      <c r="O17" t="str">
        <f t="shared" si="17"/>
        <v>PP_09</v>
      </c>
      <c r="P17" t="str">
        <f t="shared" si="17"/>
        <v>PP_09</v>
      </c>
    </row>
    <row r="18" spans="4:16" x14ac:dyDescent="0.25">
      <c r="D18" t="str">
        <f t="shared" si="2"/>
        <v>PP_09</v>
      </c>
      <c r="E18" t="str">
        <f t="shared" ref="E18:P18" si="18">D18</f>
        <v>PP_09</v>
      </c>
      <c r="F18" t="str">
        <f t="shared" si="18"/>
        <v>PP_09</v>
      </c>
      <c r="G18" t="str">
        <f t="shared" si="18"/>
        <v>PP_09</v>
      </c>
      <c r="H18" t="str">
        <f t="shared" si="18"/>
        <v>PP_09</v>
      </c>
      <c r="I18" t="str">
        <f t="shared" si="18"/>
        <v>PP_09</v>
      </c>
      <c r="J18" t="str">
        <f t="shared" si="18"/>
        <v>PP_09</v>
      </c>
      <c r="K18" t="str">
        <f t="shared" si="18"/>
        <v>PP_09</v>
      </c>
      <c r="L18" t="str">
        <f t="shared" si="18"/>
        <v>PP_09</v>
      </c>
      <c r="M18" t="str">
        <f t="shared" si="18"/>
        <v>PP_09</v>
      </c>
      <c r="N18" t="str">
        <f t="shared" si="18"/>
        <v>PP_09</v>
      </c>
      <c r="O18" t="str">
        <f t="shared" si="18"/>
        <v>PP_09</v>
      </c>
      <c r="P18" t="str">
        <f t="shared" si="18"/>
        <v>PP_09</v>
      </c>
    </row>
    <row r="19" spans="4:16" x14ac:dyDescent="0.25">
      <c r="D19" t="str">
        <f t="shared" si="2"/>
        <v>PP_09</v>
      </c>
      <c r="E19" t="str">
        <f t="shared" ref="E19:P19" si="19">D19</f>
        <v>PP_09</v>
      </c>
      <c r="F19" t="str">
        <f t="shared" si="19"/>
        <v>PP_09</v>
      </c>
      <c r="G19" t="str">
        <f t="shared" si="19"/>
        <v>PP_09</v>
      </c>
      <c r="H19" t="str">
        <f t="shared" si="19"/>
        <v>PP_09</v>
      </c>
      <c r="I19" t="str">
        <f t="shared" si="19"/>
        <v>PP_09</v>
      </c>
      <c r="J19" t="str">
        <f t="shared" si="19"/>
        <v>PP_09</v>
      </c>
      <c r="K19" t="str">
        <f t="shared" si="19"/>
        <v>PP_09</v>
      </c>
      <c r="L19" t="str">
        <f t="shared" si="19"/>
        <v>PP_09</v>
      </c>
      <c r="M19" t="str">
        <f t="shared" si="19"/>
        <v>PP_09</v>
      </c>
      <c r="N19" t="str">
        <f t="shared" si="19"/>
        <v>PP_09</v>
      </c>
      <c r="O19" t="str">
        <f t="shared" si="19"/>
        <v>PP_09</v>
      </c>
      <c r="P19" t="str">
        <f t="shared" si="19"/>
        <v>PP_09</v>
      </c>
    </row>
    <row r="20" spans="4:16" x14ac:dyDescent="0.25">
      <c r="D20" t="str">
        <f t="shared" si="2"/>
        <v>PP_09</v>
      </c>
      <c r="E20" t="str">
        <f t="shared" ref="E20:P20" si="20">D20</f>
        <v>PP_09</v>
      </c>
      <c r="F20" t="str">
        <f t="shared" si="20"/>
        <v>PP_09</v>
      </c>
      <c r="G20" t="str">
        <f t="shared" si="20"/>
        <v>PP_09</v>
      </c>
      <c r="H20" t="str">
        <f t="shared" si="20"/>
        <v>PP_09</v>
      </c>
      <c r="I20" t="str">
        <f t="shared" si="20"/>
        <v>PP_09</v>
      </c>
      <c r="J20" t="str">
        <f t="shared" si="20"/>
        <v>PP_09</v>
      </c>
      <c r="K20" t="str">
        <f t="shared" si="20"/>
        <v>PP_09</v>
      </c>
      <c r="L20" t="str">
        <f t="shared" si="20"/>
        <v>PP_09</v>
      </c>
      <c r="M20" t="str">
        <f t="shared" si="20"/>
        <v>PP_09</v>
      </c>
      <c r="N20" t="str">
        <f t="shared" si="20"/>
        <v>PP_09</v>
      </c>
      <c r="O20" t="str">
        <f t="shared" si="20"/>
        <v>PP_09</v>
      </c>
      <c r="P20" t="str">
        <f t="shared" si="20"/>
        <v>PP_09</v>
      </c>
    </row>
    <row r="21" spans="4:16" x14ac:dyDescent="0.25">
      <c r="D21" t="str">
        <f t="shared" si="2"/>
        <v>PP_09</v>
      </c>
      <c r="E21" t="str">
        <f t="shared" ref="E21:P21" si="21">D21</f>
        <v>PP_09</v>
      </c>
      <c r="F21" t="str">
        <f t="shared" si="21"/>
        <v>PP_09</v>
      </c>
      <c r="G21" t="str">
        <f t="shared" si="21"/>
        <v>PP_09</v>
      </c>
      <c r="H21" t="str">
        <f t="shared" si="21"/>
        <v>PP_09</v>
      </c>
      <c r="I21" t="str">
        <f t="shared" si="21"/>
        <v>PP_09</v>
      </c>
      <c r="J21" t="str">
        <f t="shared" si="21"/>
        <v>PP_09</v>
      </c>
      <c r="K21" t="str">
        <f t="shared" si="21"/>
        <v>PP_09</v>
      </c>
      <c r="L21" t="str">
        <f t="shared" si="21"/>
        <v>PP_09</v>
      </c>
      <c r="M21" t="str">
        <f t="shared" si="21"/>
        <v>PP_09</v>
      </c>
      <c r="N21" t="str">
        <f t="shared" si="21"/>
        <v>PP_09</v>
      </c>
      <c r="O21" t="str">
        <f t="shared" si="21"/>
        <v>PP_09</v>
      </c>
      <c r="P21" t="str">
        <f t="shared" si="21"/>
        <v>PP_09</v>
      </c>
    </row>
    <row r="22" spans="4:16" x14ac:dyDescent="0.25">
      <c r="D22" t="str">
        <f t="shared" si="2"/>
        <v>PP_09</v>
      </c>
      <c r="E22" t="str">
        <f t="shared" ref="E22:P22" si="22">D22</f>
        <v>PP_09</v>
      </c>
      <c r="F22" t="str">
        <f t="shared" si="22"/>
        <v>PP_09</v>
      </c>
      <c r="G22" t="str">
        <f t="shared" si="22"/>
        <v>PP_09</v>
      </c>
      <c r="H22" t="str">
        <f t="shared" si="22"/>
        <v>PP_09</v>
      </c>
      <c r="I22" t="str">
        <f t="shared" si="22"/>
        <v>PP_09</v>
      </c>
      <c r="J22" t="str">
        <f t="shared" si="22"/>
        <v>PP_09</v>
      </c>
      <c r="K22" t="str">
        <f t="shared" si="22"/>
        <v>PP_09</v>
      </c>
      <c r="L22" t="str">
        <f t="shared" si="22"/>
        <v>PP_09</v>
      </c>
      <c r="M22" t="str">
        <f t="shared" si="22"/>
        <v>PP_09</v>
      </c>
      <c r="N22" t="str">
        <f t="shared" si="22"/>
        <v>PP_09</v>
      </c>
      <c r="O22" t="str">
        <f t="shared" si="22"/>
        <v>PP_09</v>
      </c>
      <c r="P22" t="str">
        <f t="shared" si="22"/>
        <v>PP_09</v>
      </c>
    </row>
    <row r="23" spans="4:16" x14ac:dyDescent="0.25">
      <c r="D23" t="str">
        <f t="shared" si="2"/>
        <v>PP_09</v>
      </c>
      <c r="E23" t="str">
        <f t="shared" ref="E23:P23" si="23">D23</f>
        <v>PP_09</v>
      </c>
      <c r="F23" t="str">
        <f t="shared" si="23"/>
        <v>PP_09</v>
      </c>
      <c r="G23" t="str">
        <f t="shared" si="23"/>
        <v>PP_09</v>
      </c>
      <c r="H23" t="str">
        <f t="shared" si="23"/>
        <v>PP_09</v>
      </c>
      <c r="I23" t="str">
        <f t="shared" si="23"/>
        <v>PP_09</v>
      </c>
      <c r="J23" t="str">
        <f t="shared" si="23"/>
        <v>PP_09</v>
      </c>
      <c r="K23" t="str">
        <f t="shared" si="23"/>
        <v>PP_09</v>
      </c>
      <c r="L23" t="str">
        <f t="shared" si="23"/>
        <v>PP_09</v>
      </c>
      <c r="M23" t="str">
        <f t="shared" si="23"/>
        <v>PP_09</v>
      </c>
      <c r="N23" t="str">
        <f t="shared" si="23"/>
        <v>PP_09</v>
      </c>
      <c r="O23" t="str">
        <f t="shared" si="23"/>
        <v>PP_09</v>
      </c>
      <c r="P23" t="str">
        <f t="shared" si="23"/>
        <v>PP_09</v>
      </c>
    </row>
    <row r="24" spans="4:16" x14ac:dyDescent="0.25">
      <c r="D24" t="str">
        <f t="shared" si="2"/>
        <v>PP_09</v>
      </c>
      <c r="E24" t="str">
        <f t="shared" ref="E24:P24" si="24">D24</f>
        <v>PP_09</v>
      </c>
      <c r="F24" t="str">
        <f t="shared" si="24"/>
        <v>PP_09</v>
      </c>
      <c r="G24" t="str">
        <f t="shared" si="24"/>
        <v>PP_09</v>
      </c>
      <c r="H24" t="str">
        <f t="shared" si="24"/>
        <v>PP_09</v>
      </c>
      <c r="I24" t="str">
        <f t="shared" si="24"/>
        <v>PP_09</v>
      </c>
      <c r="J24" t="str">
        <f t="shared" si="24"/>
        <v>PP_09</v>
      </c>
      <c r="K24" t="str">
        <f t="shared" si="24"/>
        <v>PP_09</v>
      </c>
      <c r="L24" t="str">
        <f t="shared" si="24"/>
        <v>PP_09</v>
      </c>
      <c r="M24" t="str">
        <f t="shared" si="24"/>
        <v>PP_09</v>
      </c>
      <c r="N24" t="str">
        <f t="shared" si="24"/>
        <v>PP_09</v>
      </c>
      <c r="O24" t="str">
        <f t="shared" si="24"/>
        <v>PP_09</v>
      </c>
      <c r="P24" t="str">
        <f t="shared" si="24"/>
        <v>PP_09</v>
      </c>
    </row>
    <row r="25" spans="4:16" x14ac:dyDescent="0.25">
      <c r="D25" t="str">
        <f t="shared" si="2"/>
        <v>PP_09</v>
      </c>
      <c r="E25" t="str">
        <f t="shared" ref="E25:P25" si="25">D25</f>
        <v>PP_09</v>
      </c>
      <c r="F25" t="str">
        <f t="shared" si="25"/>
        <v>PP_09</v>
      </c>
      <c r="G25" t="str">
        <f t="shared" si="25"/>
        <v>PP_09</v>
      </c>
      <c r="H25" t="str">
        <f t="shared" si="25"/>
        <v>PP_09</v>
      </c>
      <c r="I25" t="str">
        <f t="shared" si="25"/>
        <v>PP_09</v>
      </c>
      <c r="J25" t="str">
        <f t="shared" si="25"/>
        <v>PP_09</v>
      </c>
      <c r="K25" t="str">
        <f t="shared" si="25"/>
        <v>PP_09</v>
      </c>
      <c r="L25" t="str">
        <f t="shared" si="25"/>
        <v>PP_09</v>
      </c>
      <c r="M25" t="str">
        <f t="shared" si="25"/>
        <v>PP_09</v>
      </c>
      <c r="N25" t="str">
        <f t="shared" si="25"/>
        <v>PP_09</v>
      </c>
      <c r="O25" t="str">
        <f t="shared" si="25"/>
        <v>PP_09</v>
      </c>
      <c r="P25" t="str">
        <f t="shared" si="25"/>
        <v>PP_09</v>
      </c>
    </row>
    <row r="26" spans="4:16" x14ac:dyDescent="0.25">
      <c r="D26" t="str">
        <f t="shared" si="2"/>
        <v>PP_09</v>
      </c>
      <c r="E26" t="str">
        <f t="shared" ref="E26:P26" si="26">D26</f>
        <v>PP_09</v>
      </c>
      <c r="F26" t="str">
        <f t="shared" si="26"/>
        <v>PP_09</v>
      </c>
      <c r="G26" t="str">
        <f t="shared" si="26"/>
        <v>PP_09</v>
      </c>
      <c r="H26" t="str">
        <f t="shared" si="26"/>
        <v>PP_09</v>
      </c>
      <c r="I26" t="str">
        <f t="shared" si="26"/>
        <v>PP_09</v>
      </c>
      <c r="J26" t="str">
        <f t="shared" si="26"/>
        <v>PP_09</v>
      </c>
      <c r="K26" t="str">
        <f t="shared" si="26"/>
        <v>PP_09</v>
      </c>
      <c r="L26" t="str">
        <f t="shared" si="26"/>
        <v>PP_09</v>
      </c>
      <c r="M26" t="str">
        <f t="shared" si="26"/>
        <v>PP_09</v>
      </c>
      <c r="N26" t="str">
        <f t="shared" si="26"/>
        <v>PP_09</v>
      </c>
      <c r="O26" t="str">
        <f t="shared" si="26"/>
        <v>PP_09</v>
      </c>
      <c r="P26" t="str">
        <f t="shared" si="26"/>
        <v>PP_09</v>
      </c>
    </row>
    <row r="27" spans="4:16" x14ac:dyDescent="0.25">
      <c r="D27" t="str">
        <f t="shared" si="2"/>
        <v>PP_09</v>
      </c>
      <c r="E27" t="str">
        <f t="shared" ref="E27:P27" si="27">D27</f>
        <v>PP_09</v>
      </c>
      <c r="F27" t="str">
        <f t="shared" si="27"/>
        <v>PP_09</v>
      </c>
      <c r="G27" t="str">
        <f t="shared" si="27"/>
        <v>PP_09</v>
      </c>
      <c r="H27" t="str">
        <f t="shared" si="27"/>
        <v>PP_09</v>
      </c>
      <c r="I27" t="str">
        <f t="shared" si="27"/>
        <v>PP_09</v>
      </c>
      <c r="J27" t="str">
        <f t="shared" si="27"/>
        <v>PP_09</v>
      </c>
      <c r="K27" t="str">
        <f t="shared" si="27"/>
        <v>PP_09</v>
      </c>
      <c r="L27" t="str">
        <f t="shared" si="27"/>
        <v>PP_09</v>
      </c>
      <c r="M27" t="str">
        <f t="shared" si="27"/>
        <v>PP_09</v>
      </c>
      <c r="N27" t="str">
        <f t="shared" si="27"/>
        <v>PP_09</v>
      </c>
      <c r="O27" t="str">
        <f t="shared" si="27"/>
        <v>PP_09</v>
      </c>
      <c r="P27" t="str">
        <f t="shared" si="27"/>
        <v>PP_09</v>
      </c>
    </row>
    <row r="28" spans="4:16" x14ac:dyDescent="0.25">
      <c r="D28" t="str">
        <f t="shared" si="2"/>
        <v>PP_09</v>
      </c>
      <c r="E28" t="str">
        <f t="shared" ref="E28:P28" si="28">D28</f>
        <v>PP_09</v>
      </c>
      <c r="F28" t="str">
        <f t="shared" si="28"/>
        <v>PP_09</v>
      </c>
      <c r="G28" t="str">
        <f t="shared" si="28"/>
        <v>PP_09</v>
      </c>
      <c r="H28" t="str">
        <f t="shared" si="28"/>
        <v>PP_09</v>
      </c>
      <c r="I28" t="str">
        <f t="shared" si="28"/>
        <v>PP_09</v>
      </c>
      <c r="J28" t="str">
        <f t="shared" si="28"/>
        <v>PP_09</v>
      </c>
      <c r="K28" t="str">
        <f t="shared" si="28"/>
        <v>PP_09</v>
      </c>
      <c r="L28" t="str">
        <f t="shared" si="28"/>
        <v>PP_09</v>
      </c>
      <c r="M28" t="str">
        <f t="shared" si="28"/>
        <v>PP_09</v>
      </c>
      <c r="N28" t="str">
        <f t="shared" si="28"/>
        <v>PP_09</v>
      </c>
      <c r="O28" t="str">
        <f t="shared" si="28"/>
        <v>PP_09</v>
      </c>
      <c r="P28" t="str">
        <f t="shared" si="28"/>
        <v>PP_09</v>
      </c>
    </row>
    <row r="29" spans="4:16" x14ac:dyDescent="0.25">
      <c r="D29" t="str">
        <f t="shared" si="2"/>
        <v>PP_09</v>
      </c>
      <c r="E29" t="str">
        <f t="shared" ref="E29:P29" si="29">D29</f>
        <v>PP_09</v>
      </c>
      <c r="F29" t="str">
        <f t="shared" si="29"/>
        <v>PP_09</v>
      </c>
      <c r="G29" t="str">
        <f t="shared" si="29"/>
        <v>PP_09</v>
      </c>
      <c r="H29" t="str">
        <f t="shared" si="29"/>
        <v>PP_09</v>
      </c>
      <c r="I29" t="str">
        <f t="shared" si="29"/>
        <v>PP_09</v>
      </c>
      <c r="J29" t="str">
        <f t="shared" si="29"/>
        <v>PP_09</v>
      </c>
      <c r="K29" t="str">
        <f t="shared" si="29"/>
        <v>PP_09</v>
      </c>
      <c r="L29" t="str">
        <f t="shared" si="29"/>
        <v>PP_09</v>
      </c>
      <c r="M29" t="str">
        <f t="shared" si="29"/>
        <v>PP_09</v>
      </c>
      <c r="N29" t="str">
        <f t="shared" si="29"/>
        <v>PP_09</v>
      </c>
      <c r="O29" t="str">
        <f t="shared" si="29"/>
        <v>PP_09</v>
      </c>
      <c r="P29" t="str">
        <f t="shared" si="29"/>
        <v>PP_09</v>
      </c>
    </row>
    <row r="30" spans="4:16" x14ac:dyDescent="0.25">
      <c r="D30" t="str">
        <f t="shared" si="2"/>
        <v>PP_09</v>
      </c>
      <c r="E30" t="str">
        <f t="shared" ref="E30:P30" si="30">D30</f>
        <v>PP_09</v>
      </c>
      <c r="F30" t="str">
        <f t="shared" si="30"/>
        <v>PP_09</v>
      </c>
      <c r="G30" t="str">
        <f t="shared" si="30"/>
        <v>PP_09</v>
      </c>
      <c r="H30" t="str">
        <f t="shared" si="30"/>
        <v>PP_09</v>
      </c>
      <c r="I30" t="str">
        <f t="shared" si="30"/>
        <v>PP_09</v>
      </c>
      <c r="J30" t="str">
        <f t="shared" si="30"/>
        <v>PP_09</v>
      </c>
      <c r="K30" t="str">
        <f t="shared" si="30"/>
        <v>PP_09</v>
      </c>
      <c r="L30" t="str">
        <f t="shared" si="30"/>
        <v>PP_09</v>
      </c>
      <c r="M30" t="str">
        <f t="shared" si="30"/>
        <v>PP_09</v>
      </c>
      <c r="N30" t="str">
        <f t="shared" si="30"/>
        <v>PP_09</v>
      </c>
      <c r="O30" t="str">
        <f t="shared" si="30"/>
        <v>PP_09</v>
      </c>
      <c r="P30" t="str">
        <f t="shared" si="30"/>
        <v>PP_09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139</v>
      </c>
      <c r="E1" t="str">
        <f>D1</f>
        <v>PP_10</v>
      </c>
      <c r="F1" t="str">
        <f t="shared" ref="F1:P1" si="0">E1</f>
        <v>PP_10</v>
      </c>
      <c r="G1" t="str">
        <f t="shared" si="0"/>
        <v>PP_10</v>
      </c>
      <c r="H1" t="str">
        <f t="shared" si="0"/>
        <v>PP_10</v>
      </c>
      <c r="I1" t="str">
        <f t="shared" si="0"/>
        <v>PP_10</v>
      </c>
      <c r="J1" t="str">
        <f t="shared" si="0"/>
        <v>PP_10</v>
      </c>
      <c r="K1" t="str">
        <f t="shared" si="0"/>
        <v>PP_10</v>
      </c>
      <c r="L1" t="str">
        <f t="shared" si="0"/>
        <v>PP_10</v>
      </c>
      <c r="M1" t="str">
        <f t="shared" si="0"/>
        <v>PP_10</v>
      </c>
      <c r="N1" t="str">
        <f t="shared" si="0"/>
        <v>PP_10</v>
      </c>
      <c r="O1" t="str">
        <f t="shared" si="0"/>
        <v>PP_10</v>
      </c>
      <c r="P1" t="str">
        <f t="shared" si="0"/>
        <v>PP_10</v>
      </c>
    </row>
    <row r="2" spans="1:16" x14ac:dyDescent="0.25">
      <c r="A2" s="106" t="s">
        <v>177</v>
      </c>
      <c r="B2" s="107" t="s">
        <v>196</v>
      </c>
      <c r="D2" t="str">
        <f>D1</f>
        <v>PP_10</v>
      </c>
      <c r="E2" t="str">
        <f t="shared" ref="E2:P2" si="1">D2</f>
        <v>PP_10</v>
      </c>
      <c r="F2" t="str">
        <f t="shared" si="1"/>
        <v>PP_10</v>
      </c>
      <c r="G2" t="str">
        <f t="shared" si="1"/>
        <v>PP_10</v>
      </c>
      <c r="H2" t="str">
        <f t="shared" si="1"/>
        <v>PP_10</v>
      </c>
      <c r="I2" t="str">
        <f t="shared" si="1"/>
        <v>PP_10</v>
      </c>
      <c r="J2" t="str">
        <f t="shared" si="1"/>
        <v>PP_10</v>
      </c>
      <c r="K2" t="str">
        <f t="shared" si="1"/>
        <v>PP_10</v>
      </c>
      <c r="L2" t="str">
        <f t="shared" si="1"/>
        <v>PP_10</v>
      </c>
      <c r="M2" t="str">
        <f t="shared" si="1"/>
        <v>PP_10</v>
      </c>
      <c r="N2" t="str">
        <f t="shared" si="1"/>
        <v>PP_10</v>
      </c>
      <c r="O2" t="str">
        <f t="shared" si="1"/>
        <v>PP_10</v>
      </c>
      <c r="P2" t="str">
        <f t="shared" si="1"/>
        <v>PP_10</v>
      </c>
    </row>
    <row r="3" spans="1:16" x14ac:dyDescent="0.25">
      <c r="A3" s="74"/>
      <c r="B3" s="70"/>
      <c r="D3" t="str">
        <f t="shared" ref="D3:D30" si="2">D2</f>
        <v>PP_10</v>
      </c>
      <c r="E3" t="str">
        <f t="shared" ref="E3:P3" si="3">D3</f>
        <v>PP_10</v>
      </c>
      <c r="F3" t="str">
        <f t="shared" si="3"/>
        <v>PP_10</v>
      </c>
      <c r="G3" t="str">
        <f t="shared" si="3"/>
        <v>PP_10</v>
      </c>
      <c r="H3" t="str">
        <f t="shared" si="3"/>
        <v>PP_10</v>
      </c>
      <c r="I3" t="str">
        <f t="shared" si="3"/>
        <v>PP_10</v>
      </c>
      <c r="J3" t="str">
        <f t="shared" si="3"/>
        <v>PP_10</v>
      </c>
      <c r="K3" t="str">
        <f t="shared" si="3"/>
        <v>PP_10</v>
      </c>
      <c r="L3" t="str">
        <f t="shared" si="3"/>
        <v>PP_10</v>
      </c>
      <c r="M3" t="str">
        <f t="shared" si="3"/>
        <v>PP_10</v>
      </c>
      <c r="N3" t="str">
        <f t="shared" si="3"/>
        <v>PP_10</v>
      </c>
      <c r="O3" t="str">
        <f t="shared" si="3"/>
        <v>PP_10</v>
      </c>
      <c r="P3" t="str">
        <f t="shared" si="3"/>
        <v>PP_10</v>
      </c>
    </row>
    <row r="4" spans="1:16" x14ac:dyDescent="0.25">
      <c r="A4" s="75"/>
      <c r="B4" s="76"/>
      <c r="D4" t="str">
        <f t="shared" si="2"/>
        <v>PP_10</v>
      </c>
      <c r="E4" t="str">
        <f t="shared" ref="E4:P4" si="4">D4</f>
        <v>PP_10</v>
      </c>
      <c r="F4" t="str">
        <f t="shared" si="4"/>
        <v>PP_10</v>
      </c>
      <c r="G4" t="str">
        <f t="shared" si="4"/>
        <v>PP_10</v>
      </c>
      <c r="H4" t="str">
        <f t="shared" si="4"/>
        <v>PP_10</v>
      </c>
      <c r="I4" t="str">
        <f t="shared" si="4"/>
        <v>PP_10</v>
      </c>
      <c r="J4" t="str">
        <f t="shared" si="4"/>
        <v>PP_10</v>
      </c>
      <c r="K4" t="str">
        <f t="shared" si="4"/>
        <v>PP_10</v>
      </c>
      <c r="L4" t="str">
        <f t="shared" si="4"/>
        <v>PP_10</v>
      </c>
      <c r="M4" t="str">
        <f t="shared" si="4"/>
        <v>PP_10</v>
      </c>
      <c r="N4" t="str">
        <f t="shared" si="4"/>
        <v>PP_10</v>
      </c>
      <c r="O4" t="str">
        <f t="shared" si="4"/>
        <v>PP_10</v>
      </c>
      <c r="P4" t="str">
        <f t="shared" si="4"/>
        <v>PP_10</v>
      </c>
    </row>
    <row r="5" spans="1:16" x14ac:dyDescent="0.25">
      <c r="A5" s="74"/>
      <c r="B5" s="70"/>
      <c r="D5" t="str">
        <f t="shared" si="2"/>
        <v>PP_10</v>
      </c>
      <c r="E5" t="str">
        <f t="shared" ref="E5:P5" si="5">D5</f>
        <v>PP_10</v>
      </c>
      <c r="F5" t="str">
        <f t="shared" si="5"/>
        <v>PP_10</v>
      </c>
      <c r="G5" t="str">
        <f t="shared" si="5"/>
        <v>PP_10</v>
      </c>
      <c r="H5" t="str">
        <f t="shared" si="5"/>
        <v>PP_10</v>
      </c>
      <c r="I5" t="str">
        <f t="shared" si="5"/>
        <v>PP_10</v>
      </c>
      <c r="J5" t="str">
        <f t="shared" si="5"/>
        <v>PP_10</v>
      </c>
      <c r="K5" t="str">
        <f t="shared" si="5"/>
        <v>PP_10</v>
      </c>
      <c r="L5" t="str">
        <f t="shared" si="5"/>
        <v>PP_10</v>
      </c>
      <c r="M5" t="str">
        <f t="shared" si="5"/>
        <v>PP_10</v>
      </c>
      <c r="N5" t="str">
        <f t="shared" si="5"/>
        <v>PP_10</v>
      </c>
      <c r="O5" t="str">
        <f t="shared" si="5"/>
        <v>PP_10</v>
      </c>
      <c r="P5" t="str">
        <f t="shared" si="5"/>
        <v>PP_10</v>
      </c>
    </row>
    <row r="6" spans="1:16" x14ac:dyDescent="0.25">
      <c r="A6" s="74"/>
      <c r="B6" s="70"/>
      <c r="D6" t="str">
        <f t="shared" si="2"/>
        <v>PP_10</v>
      </c>
      <c r="E6" t="str">
        <f t="shared" ref="E6:P6" si="6">D6</f>
        <v>PP_10</v>
      </c>
      <c r="F6" t="str">
        <f t="shared" si="6"/>
        <v>PP_10</v>
      </c>
      <c r="G6" t="str">
        <f t="shared" si="6"/>
        <v>PP_10</v>
      </c>
      <c r="H6" t="str">
        <f t="shared" si="6"/>
        <v>PP_10</v>
      </c>
      <c r="I6" t="str">
        <f t="shared" si="6"/>
        <v>PP_10</v>
      </c>
      <c r="J6" t="str">
        <f t="shared" si="6"/>
        <v>PP_10</v>
      </c>
      <c r="K6" t="str">
        <f t="shared" si="6"/>
        <v>PP_10</v>
      </c>
      <c r="L6" t="str">
        <f t="shared" si="6"/>
        <v>PP_10</v>
      </c>
      <c r="M6" t="str">
        <f t="shared" si="6"/>
        <v>PP_10</v>
      </c>
      <c r="N6" t="str">
        <f t="shared" si="6"/>
        <v>PP_10</v>
      </c>
      <c r="O6" t="str">
        <f t="shared" si="6"/>
        <v>PP_10</v>
      </c>
      <c r="P6" t="str">
        <f t="shared" si="6"/>
        <v>PP_10</v>
      </c>
    </row>
    <row r="7" spans="1:16" x14ac:dyDescent="0.25">
      <c r="D7" t="str">
        <f t="shared" si="2"/>
        <v>PP_10</v>
      </c>
      <c r="E7" t="str">
        <f t="shared" ref="E7:P7" si="7">D7</f>
        <v>PP_10</v>
      </c>
      <c r="F7" t="str">
        <f t="shared" si="7"/>
        <v>PP_10</v>
      </c>
      <c r="G7" t="str">
        <f t="shared" si="7"/>
        <v>PP_10</v>
      </c>
      <c r="H7" t="str">
        <f t="shared" si="7"/>
        <v>PP_10</v>
      </c>
      <c r="I7" t="str">
        <f t="shared" si="7"/>
        <v>PP_10</v>
      </c>
      <c r="J7" t="str">
        <f t="shared" si="7"/>
        <v>PP_10</v>
      </c>
      <c r="K7" t="str">
        <f t="shared" si="7"/>
        <v>PP_10</v>
      </c>
      <c r="L7" t="str">
        <f t="shared" si="7"/>
        <v>PP_10</v>
      </c>
      <c r="M7" t="str">
        <f t="shared" si="7"/>
        <v>PP_10</v>
      </c>
      <c r="N7" t="str">
        <f t="shared" si="7"/>
        <v>PP_10</v>
      </c>
      <c r="O7" t="str">
        <f t="shared" si="7"/>
        <v>PP_10</v>
      </c>
      <c r="P7" t="str">
        <f t="shared" si="7"/>
        <v>PP_10</v>
      </c>
    </row>
    <row r="8" spans="1:16" x14ac:dyDescent="0.25">
      <c r="D8" t="str">
        <f t="shared" si="2"/>
        <v>PP_10</v>
      </c>
      <c r="E8" t="str">
        <f t="shared" ref="E8:P8" si="8">D8</f>
        <v>PP_10</v>
      </c>
      <c r="F8" t="str">
        <f t="shared" si="8"/>
        <v>PP_10</v>
      </c>
      <c r="G8" t="str">
        <f t="shared" si="8"/>
        <v>PP_10</v>
      </c>
      <c r="H8" t="str">
        <f t="shared" si="8"/>
        <v>PP_10</v>
      </c>
      <c r="I8" t="str">
        <f t="shared" si="8"/>
        <v>PP_10</v>
      </c>
      <c r="J8" t="str">
        <f t="shared" si="8"/>
        <v>PP_10</v>
      </c>
      <c r="K8" t="str">
        <f t="shared" si="8"/>
        <v>PP_10</v>
      </c>
      <c r="L8" t="str">
        <f t="shared" si="8"/>
        <v>PP_10</v>
      </c>
      <c r="M8" t="str">
        <f t="shared" si="8"/>
        <v>PP_10</v>
      </c>
      <c r="N8" t="str">
        <f t="shared" si="8"/>
        <v>PP_10</v>
      </c>
      <c r="O8" t="str">
        <f t="shared" si="8"/>
        <v>PP_10</v>
      </c>
      <c r="P8" t="str">
        <f t="shared" si="8"/>
        <v>PP_10</v>
      </c>
    </row>
    <row r="9" spans="1:16" x14ac:dyDescent="0.25">
      <c r="D9" t="str">
        <f t="shared" si="2"/>
        <v>PP_10</v>
      </c>
      <c r="E9" t="str">
        <f t="shared" ref="E9:P9" si="9">D9</f>
        <v>PP_10</v>
      </c>
      <c r="F9" t="str">
        <f t="shared" si="9"/>
        <v>PP_10</v>
      </c>
      <c r="G9" t="str">
        <f t="shared" si="9"/>
        <v>PP_10</v>
      </c>
      <c r="H9" t="str">
        <f t="shared" si="9"/>
        <v>PP_10</v>
      </c>
      <c r="I9" t="str">
        <f t="shared" si="9"/>
        <v>PP_10</v>
      </c>
      <c r="J9" t="str">
        <f t="shared" si="9"/>
        <v>PP_10</v>
      </c>
      <c r="K9" t="str">
        <f t="shared" si="9"/>
        <v>PP_10</v>
      </c>
      <c r="L9" t="str">
        <f t="shared" si="9"/>
        <v>PP_10</v>
      </c>
      <c r="M9" t="str">
        <f t="shared" si="9"/>
        <v>PP_10</v>
      </c>
      <c r="N9" t="str">
        <f t="shared" si="9"/>
        <v>PP_10</v>
      </c>
      <c r="O9" t="str">
        <f t="shared" si="9"/>
        <v>PP_10</v>
      </c>
      <c r="P9" t="str">
        <f t="shared" si="9"/>
        <v>PP_10</v>
      </c>
    </row>
    <row r="10" spans="1:16" x14ac:dyDescent="0.25">
      <c r="D10" t="str">
        <f t="shared" si="2"/>
        <v>PP_10</v>
      </c>
      <c r="E10" t="str">
        <f t="shared" ref="E10:P10" si="10">D10</f>
        <v>PP_10</v>
      </c>
      <c r="F10" t="str">
        <f t="shared" si="10"/>
        <v>PP_10</v>
      </c>
      <c r="G10" t="str">
        <f t="shared" si="10"/>
        <v>PP_10</v>
      </c>
      <c r="H10" t="str">
        <f t="shared" si="10"/>
        <v>PP_10</v>
      </c>
      <c r="I10" t="str">
        <f t="shared" si="10"/>
        <v>PP_10</v>
      </c>
      <c r="J10" t="str">
        <f t="shared" si="10"/>
        <v>PP_10</v>
      </c>
      <c r="K10" t="str">
        <f t="shared" si="10"/>
        <v>PP_10</v>
      </c>
      <c r="L10" t="str">
        <f t="shared" si="10"/>
        <v>PP_10</v>
      </c>
      <c r="M10" t="str">
        <f t="shared" si="10"/>
        <v>PP_10</v>
      </c>
      <c r="N10" t="str">
        <f t="shared" si="10"/>
        <v>PP_10</v>
      </c>
      <c r="O10" t="str">
        <f t="shared" si="10"/>
        <v>PP_10</v>
      </c>
      <c r="P10" t="str">
        <f t="shared" si="10"/>
        <v>PP_10</v>
      </c>
    </row>
    <row r="11" spans="1:16" x14ac:dyDescent="0.25">
      <c r="D11" t="str">
        <f t="shared" si="2"/>
        <v>PP_10</v>
      </c>
      <c r="E11" t="str">
        <f t="shared" ref="E11:P11" si="11">D11</f>
        <v>PP_10</v>
      </c>
      <c r="F11" t="str">
        <f t="shared" si="11"/>
        <v>PP_10</v>
      </c>
      <c r="G11" t="str">
        <f t="shared" si="11"/>
        <v>PP_10</v>
      </c>
      <c r="H11" t="str">
        <f t="shared" si="11"/>
        <v>PP_10</v>
      </c>
      <c r="I11" t="str">
        <f t="shared" si="11"/>
        <v>PP_10</v>
      </c>
      <c r="J11" t="str">
        <f t="shared" si="11"/>
        <v>PP_10</v>
      </c>
      <c r="K11" t="str">
        <f t="shared" si="11"/>
        <v>PP_10</v>
      </c>
      <c r="L11" t="str">
        <f t="shared" si="11"/>
        <v>PP_10</v>
      </c>
      <c r="M11" t="str">
        <f t="shared" si="11"/>
        <v>PP_10</v>
      </c>
      <c r="N11" t="str">
        <f t="shared" si="11"/>
        <v>PP_10</v>
      </c>
      <c r="O11" t="str">
        <f t="shared" si="11"/>
        <v>PP_10</v>
      </c>
      <c r="P11" t="str">
        <f t="shared" si="11"/>
        <v>PP_10</v>
      </c>
    </row>
    <row r="12" spans="1:16" x14ac:dyDescent="0.25">
      <c r="D12" t="str">
        <f t="shared" si="2"/>
        <v>PP_10</v>
      </c>
      <c r="E12" t="str">
        <f t="shared" ref="E12:P12" si="12">D12</f>
        <v>PP_10</v>
      </c>
      <c r="F12" t="str">
        <f t="shared" si="12"/>
        <v>PP_10</v>
      </c>
      <c r="G12" t="str">
        <f t="shared" si="12"/>
        <v>PP_10</v>
      </c>
      <c r="H12" t="str">
        <f t="shared" si="12"/>
        <v>PP_10</v>
      </c>
      <c r="I12" t="str">
        <f t="shared" si="12"/>
        <v>PP_10</v>
      </c>
      <c r="J12" t="str">
        <f t="shared" si="12"/>
        <v>PP_10</v>
      </c>
      <c r="K12" t="str">
        <f t="shared" si="12"/>
        <v>PP_10</v>
      </c>
      <c r="L12" t="str">
        <f t="shared" si="12"/>
        <v>PP_10</v>
      </c>
      <c r="M12" t="str">
        <f t="shared" si="12"/>
        <v>PP_10</v>
      </c>
      <c r="N12" t="str">
        <f t="shared" si="12"/>
        <v>PP_10</v>
      </c>
      <c r="O12" t="str">
        <f t="shared" si="12"/>
        <v>PP_10</v>
      </c>
      <c r="P12" t="str">
        <f t="shared" si="12"/>
        <v>PP_10</v>
      </c>
    </row>
    <row r="13" spans="1:16" x14ac:dyDescent="0.25">
      <c r="D13" t="str">
        <f t="shared" si="2"/>
        <v>PP_10</v>
      </c>
      <c r="E13" t="str">
        <f t="shared" ref="E13:P13" si="13">D13</f>
        <v>PP_10</v>
      </c>
      <c r="F13" t="str">
        <f t="shared" si="13"/>
        <v>PP_10</v>
      </c>
      <c r="G13" t="str">
        <f t="shared" si="13"/>
        <v>PP_10</v>
      </c>
      <c r="H13" t="str">
        <f t="shared" si="13"/>
        <v>PP_10</v>
      </c>
      <c r="I13" t="str">
        <f t="shared" si="13"/>
        <v>PP_10</v>
      </c>
      <c r="J13" t="str">
        <f t="shared" si="13"/>
        <v>PP_10</v>
      </c>
      <c r="K13" t="str">
        <f t="shared" si="13"/>
        <v>PP_10</v>
      </c>
      <c r="L13" t="str">
        <f t="shared" si="13"/>
        <v>PP_10</v>
      </c>
      <c r="M13" t="str">
        <f t="shared" si="13"/>
        <v>PP_10</v>
      </c>
      <c r="N13" t="str">
        <f t="shared" si="13"/>
        <v>PP_10</v>
      </c>
      <c r="O13" t="str">
        <f t="shared" si="13"/>
        <v>PP_10</v>
      </c>
      <c r="P13" t="str">
        <f t="shared" si="13"/>
        <v>PP_10</v>
      </c>
    </row>
    <row r="14" spans="1:16" x14ac:dyDescent="0.25">
      <c r="D14" t="str">
        <f t="shared" si="2"/>
        <v>PP_10</v>
      </c>
      <c r="E14" t="str">
        <f t="shared" ref="E14:P14" si="14">D14</f>
        <v>PP_10</v>
      </c>
      <c r="F14" t="str">
        <f t="shared" si="14"/>
        <v>PP_10</v>
      </c>
      <c r="G14" t="str">
        <f t="shared" si="14"/>
        <v>PP_10</v>
      </c>
      <c r="H14" t="str">
        <f t="shared" si="14"/>
        <v>PP_10</v>
      </c>
      <c r="I14" t="str">
        <f t="shared" si="14"/>
        <v>PP_10</v>
      </c>
      <c r="J14" t="str">
        <f t="shared" si="14"/>
        <v>PP_10</v>
      </c>
      <c r="K14" t="str">
        <f t="shared" si="14"/>
        <v>PP_10</v>
      </c>
      <c r="L14" t="str">
        <f t="shared" si="14"/>
        <v>PP_10</v>
      </c>
      <c r="M14" t="str">
        <f t="shared" si="14"/>
        <v>PP_10</v>
      </c>
      <c r="N14" t="str">
        <f t="shared" si="14"/>
        <v>PP_10</v>
      </c>
      <c r="O14" t="str">
        <f t="shared" si="14"/>
        <v>PP_10</v>
      </c>
      <c r="P14" t="str">
        <f t="shared" si="14"/>
        <v>PP_10</v>
      </c>
    </row>
    <row r="15" spans="1:16" x14ac:dyDescent="0.25">
      <c r="D15" t="str">
        <f t="shared" si="2"/>
        <v>PP_10</v>
      </c>
      <c r="E15" t="str">
        <f t="shared" ref="E15:P15" si="15">D15</f>
        <v>PP_10</v>
      </c>
      <c r="F15" t="str">
        <f t="shared" si="15"/>
        <v>PP_10</v>
      </c>
      <c r="G15" t="str">
        <f t="shared" si="15"/>
        <v>PP_10</v>
      </c>
      <c r="H15" t="str">
        <f t="shared" si="15"/>
        <v>PP_10</v>
      </c>
      <c r="I15" t="str">
        <f t="shared" si="15"/>
        <v>PP_10</v>
      </c>
      <c r="J15" t="str">
        <f t="shared" si="15"/>
        <v>PP_10</v>
      </c>
      <c r="K15" t="str">
        <f t="shared" si="15"/>
        <v>PP_10</v>
      </c>
      <c r="L15" t="str">
        <f t="shared" si="15"/>
        <v>PP_10</v>
      </c>
      <c r="M15" t="str">
        <f t="shared" si="15"/>
        <v>PP_10</v>
      </c>
      <c r="N15" t="str">
        <f t="shared" si="15"/>
        <v>PP_10</v>
      </c>
      <c r="O15" t="str">
        <f t="shared" si="15"/>
        <v>PP_10</v>
      </c>
      <c r="P15" t="str">
        <f t="shared" si="15"/>
        <v>PP_10</v>
      </c>
    </row>
    <row r="16" spans="1:16" x14ac:dyDescent="0.25">
      <c r="D16" t="str">
        <f t="shared" si="2"/>
        <v>PP_10</v>
      </c>
      <c r="E16" t="str">
        <f t="shared" ref="E16:P16" si="16">D16</f>
        <v>PP_10</v>
      </c>
      <c r="F16" t="str">
        <f t="shared" si="16"/>
        <v>PP_10</v>
      </c>
      <c r="G16" t="str">
        <f t="shared" si="16"/>
        <v>PP_10</v>
      </c>
      <c r="H16" t="str">
        <f t="shared" si="16"/>
        <v>PP_10</v>
      </c>
      <c r="I16" t="str">
        <f t="shared" si="16"/>
        <v>PP_10</v>
      </c>
      <c r="J16" t="str">
        <f t="shared" si="16"/>
        <v>PP_10</v>
      </c>
      <c r="K16" t="str">
        <f t="shared" si="16"/>
        <v>PP_10</v>
      </c>
      <c r="L16" t="str">
        <f t="shared" si="16"/>
        <v>PP_10</v>
      </c>
      <c r="M16" t="str">
        <f t="shared" si="16"/>
        <v>PP_10</v>
      </c>
      <c r="N16" t="str">
        <f t="shared" si="16"/>
        <v>PP_10</v>
      </c>
      <c r="O16" t="str">
        <f t="shared" si="16"/>
        <v>PP_10</v>
      </c>
      <c r="P16" t="str">
        <f t="shared" si="16"/>
        <v>PP_10</v>
      </c>
    </row>
    <row r="17" spans="4:16" x14ac:dyDescent="0.25">
      <c r="D17" t="str">
        <f t="shared" si="2"/>
        <v>PP_10</v>
      </c>
      <c r="E17" t="str">
        <f t="shared" ref="E17:P17" si="17">D17</f>
        <v>PP_10</v>
      </c>
      <c r="F17" t="str">
        <f t="shared" si="17"/>
        <v>PP_10</v>
      </c>
      <c r="G17" t="str">
        <f t="shared" si="17"/>
        <v>PP_10</v>
      </c>
      <c r="H17" t="str">
        <f t="shared" si="17"/>
        <v>PP_10</v>
      </c>
      <c r="I17" t="str">
        <f t="shared" si="17"/>
        <v>PP_10</v>
      </c>
      <c r="J17" t="str">
        <f t="shared" si="17"/>
        <v>PP_10</v>
      </c>
      <c r="K17" t="str">
        <f t="shared" si="17"/>
        <v>PP_10</v>
      </c>
      <c r="L17" t="str">
        <f t="shared" si="17"/>
        <v>PP_10</v>
      </c>
      <c r="M17" t="str">
        <f t="shared" si="17"/>
        <v>PP_10</v>
      </c>
      <c r="N17" t="str">
        <f t="shared" si="17"/>
        <v>PP_10</v>
      </c>
      <c r="O17" t="str">
        <f t="shared" si="17"/>
        <v>PP_10</v>
      </c>
      <c r="P17" t="str">
        <f t="shared" si="17"/>
        <v>PP_10</v>
      </c>
    </row>
    <row r="18" spans="4:16" x14ac:dyDescent="0.25">
      <c r="D18" t="str">
        <f t="shared" si="2"/>
        <v>PP_10</v>
      </c>
      <c r="E18" t="str">
        <f t="shared" ref="E18:P18" si="18">D18</f>
        <v>PP_10</v>
      </c>
      <c r="F18" t="str">
        <f t="shared" si="18"/>
        <v>PP_10</v>
      </c>
      <c r="G18" t="str">
        <f t="shared" si="18"/>
        <v>PP_10</v>
      </c>
      <c r="H18" t="str">
        <f t="shared" si="18"/>
        <v>PP_10</v>
      </c>
      <c r="I18" t="str">
        <f t="shared" si="18"/>
        <v>PP_10</v>
      </c>
      <c r="J18" t="str">
        <f t="shared" si="18"/>
        <v>PP_10</v>
      </c>
      <c r="K18" t="str">
        <f t="shared" si="18"/>
        <v>PP_10</v>
      </c>
      <c r="L18" t="str">
        <f t="shared" si="18"/>
        <v>PP_10</v>
      </c>
      <c r="M18" t="str">
        <f t="shared" si="18"/>
        <v>PP_10</v>
      </c>
      <c r="N18" t="str">
        <f t="shared" si="18"/>
        <v>PP_10</v>
      </c>
      <c r="O18" t="str">
        <f t="shared" si="18"/>
        <v>PP_10</v>
      </c>
      <c r="P18" t="str">
        <f t="shared" si="18"/>
        <v>PP_10</v>
      </c>
    </row>
    <row r="19" spans="4:16" x14ac:dyDescent="0.25">
      <c r="D19" t="str">
        <f t="shared" si="2"/>
        <v>PP_10</v>
      </c>
      <c r="E19" t="str">
        <f t="shared" ref="E19:P19" si="19">D19</f>
        <v>PP_10</v>
      </c>
      <c r="F19" t="str">
        <f t="shared" si="19"/>
        <v>PP_10</v>
      </c>
      <c r="G19" t="str">
        <f t="shared" si="19"/>
        <v>PP_10</v>
      </c>
      <c r="H19" t="str">
        <f t="shared" si="19"/>
        <v>PP_10</v>
      </c>
      <c r="I19" t="str">
        <f t="shared" si="19"/>
        <v>PP_10</v>
      </c>
      <c r="J19" t="str">
        <f t="shared" si="19"/>
        <v>PP_10</v>
      </c>
      <c r="K19" t="str">
        <f t="shared" si="19"/>
        <v>PP_10</v>
      </c>
      <c r="L19" t="str">
        <f t="shared" si="19"/>
        <v>PP_10</v>
      </c>
      <c r="M19" t="str">
        <f t="shared" si="19"/>
        <v>PP_10</v>
      </c>
      <c r="N19" t="str">
        <f t="shared" si="19"/>
        <v>PP_10</v>
      </c>
      <c r="O19" t="str">
        <f t="shared" si="19"/>
        <v>PP_10</v>
      </c>
      <c r="P19" t="str">
        <f t="shared" si="19"/>
        <v>PP_10</v>
      </c>
    </row>
    <row r="20" spans="4:16" x14ac:dyDescent="0.25">
      <c r="D20" t="str">
        <f t="shared" si="2"/>
        <v>PP_10</v>
      </c>
      <c r="E20" t="str">
        <f t="shared" ref="E20:P20" si="20">D20</f>
        <v>PP_10</v>
      </c>
      <c r="F20" t="str">
        <f t="shared" si="20"/>
        <v>PP_10</v>
      </c>
      <c r="G20" t="str">
        <f t="shared" si="20"/>
        <v>PP_10</v>
      </c>
      <c r="H20" t="str">
        <f t="shared" si="20"/>
        <v>PP_10</v>
      </c>
      <c r="I20" t="str">
        <f t="shared" si="20"/>
        <v>PP_10</v>
      </c>
      <c r="J20" t="str">
        <f t="shared" si="20"/>
        <v>PP_10</v>
      </c>
      <c r="K20" t="str">
        <f t="shared" si="20"/>
        <v>PP_10</v>
      </c>
      <c r="L20" t="str">
        <f t="shared" si="20"/>
        <v>PP_10</v>
      </c>
      <c r="M20" t="str">
        <f t="shared" si="20"/>
        <v>PP_10</v>
      </c>
      <c r="N20" t="str">
        <f t="shared" si="20"/>
        <v>PP_10</v>
      </c>
      <c r="O20" t="str">
        <f t="shared" si="20"/>
        <v>PP_10</v>
      </c>
      <c r="P20" t="str">
        <f t="shared" si="20"/>
        <v>PP_10</v>
      </c>
    </row>
    <row r="21" spans="4:16" x14ac:dyDescent="0.25">
      <c r="D21" t="str">
        <f t="shared" si="2"/>
        <v>PP_10</v>
      </c>
      <c r="E21" t="str">
        <f t="shared" ref="E21:P21" si="21">D21</f>
        <v>PP_10</v>
      </c>
      <c r="F21" t="str">
        <f t="shared" si="21"/>
        <v>PP_10</v>
      </c>
      <c r="G21" t="str">
        <f t="shared" si="21"/>
        <v>PP_10</v>
      </c>
      <c r="H21" t="str">
        <f t="shared" si="21"/>
        <v>PP_10</v>
      </c>
      <c r="I21" t="str">
        <f t="shared" si="21"/>
        <v>PP_10</v>
      </c>
      <c r="J21" t="str">
        <f t="shared" si="21"/>
        <v>PP_10</v>
      </c>
      <c r="K21" t="str">
        <f t="shared" si="21"/>
        <v>PP_10</v>
      </c>
      <c r="L21" t="str">
        <f t="shared" si="21"/>
        <v>PP_10</v>
      </c>
      <c r="M21" t="str">
        <f t="shared" si="21"/>
        <v>PP_10</v>
      </c>
      <c r="N21" t="str">
        <f t="shared" si="21"/>
        <v>PP_10</v>
      </c>
      <c r="O21" t="str">
        <f t="shared" si="21"/>
        <v>PP_10</v>
      </c>
      <c r="P21" t="str">
        <f t="shared" si="21"/>
        <v>PP_10</v>
      </c>
    </row>
    <row r="22" spans="4:16" x14ac:dyDescent="0.25">
      <c r="D22" t="str">
        <f t="shared" si="2"/>
        <v>PP_10</v>
      </c>
      <c r="E22" t="str">
        <f t="shared" ref="E22:P22" si="22">D22</f>
        <v>PP_10</v>
      </c>
      <c r="F22" t="str">
        <f t="shared" si="22"/>
        <v>PP_10</v>
      </c>
      <c r="G22" t="str">
        <f t="shared" si="22"/>
        <v>PP_10</v>
      </c>
      <c r="H22" t="str">
        <f t="shared" si="22"/>
        <v>PP_10</v>
      </c>
      <c r="I22" t="str">
        <f t="shared" si="22"/>
        <v>PP_10</v>
      </c>
      <c r="J22" t="str">
        <f t="shared" si="22"/>
        <v>PP_10</v>
      </c>
      <c r="K22" t="str">
        <f t="shared" si="22"/>
        <v>PP_10</v>
      </c>
      <c r="L22" t="str">
        <f t="shared" si="22"/>
        <v>PP_10</v>
      </c>
      <c r="M22" t="str">
        <f t="shared" si="22"/>
        <v>PP_10</v>
      </c>
      <c r="N22" t="str">
        <f t="shared" si="22"/>
        <v>PP_10</v>
      </c>
      <c r="O22" t="str">
        <f t="shared" si="22"/>
        <v>PP_10</v>
      </c>
      <c r="P22" t="str">
        <f t="shared" si="22"/>
        <v>PP_10</v>
      </c>
    </row>
    <row r="23" spans="4:16" x14ac:dyDescent="0.25">
      <c r="D23" t="str">
        <f t="shared" si="2"/>
        <v>PP_10</v>
      </c>
      <c r="E23" t="str">
        <f t="shared" ref="E23:P23" si="23">D23</f>
        <v>PP_10</v>
      </c>
      <c r="F23" t="str">
        <f t="shared" si="23"/>
        <v>PP_10</v>
      </c>
      <c r="G23" t="str">
        <f t="shared" si="23"/>
        <v>PP_10</v>
      </c>
      <c r="H23" t="str">
        <f t="shared" si="23"/>
        <v>PP_10</v>
      </c>
      <c r="I23" t="str">
        <f t="shared" si="23"/>
        <v>PP_10</v>
      </c>
      <c r="J23" t="str">
        <f t="shared" si="23"/>
        <v>PP_10</v>
      </c>
      <c r="K23" t="str">
        <f t="shared" si="23"/>
        <v>PP_10</v>
      </c>
      <c r="L23" t="str">
        <f t="shared" si="23"/>
        <v>PP_10</v>
      </c>
      <c r="M23" t="str">
        <f t="shared" si="23"/>
        <v>PP_10</v>
      </c>
      <c r="N23" t="str">
        <f t="shared" si="23"/>
        <v>PP_10</v>
      </c>
      <c r="O23" t="str">
        <f t="shared" si="23"/>
        <v>PP_10</v>
      </c>
      <c r="P23" t="str">
        <f t="shared" si="23"/>
        <v>PP_10</v>
      </c>
    </row>
    <row r="24" spans="4:16" x14ac:dyDescent="0.25">
      <c r="D24" t="str">
        <f t="shared" si="2"/>
        <v>PP_10</v>
      </c>
      <c r="E24" t="str">
        <f t="shared" ref="E24:P24" si="24">D24</f>
        <v>PP_10</v>
      </c>
      <c r="F24" t="str">
        <f t="shared" si="24"/>
        <v>PP_10</v>
      </c>
      <c r="G24" t="str">
        <f t="shared" si="24"/>
        <v>PP_10</v>
      </c>
      <c r="H24" t="str">
        <f t="shared" si="24"/>
        <v>PP_10</v>
      </c>
      <c r="I24" t="str">
        <f t="shared" si="24"/>
        <v>PP_10</v>
      </c>
      <c r="J24" t="str">
        <f t="shared" si="24"/>
        <v>PP_10</v>
      </c>
      <c r="K24" t="str">
        <f t="shared" si="24"/>
        <v>PP_10</v>
      </c>
      <c r="L24" t="str">
        <f t="shared" si="24"/>
        <v>PP_10</v>
      </c>
      <c r="M24" t="str">
        <f t="shared" si="24"/>
        <v>PP_10</v>
      </c>
      <c r="N24" t="str">
        <f t="shared" si="24"/>
        <v>PP_10</v>
      </c>
      <c r="O24" t="str">
        <f t="shared" si="24"/>
        <v>PP_10</v>
      </c>
      <c r="P24" t="str">
        <f t="shared" si="24"/>
        <v>PP_10</v>
      </c>
    </row>
    <row r="25" spans="4:16" x14ac:dyDescent="0.25">
      <c r="D25" t="str">
        <f t="shared" si="2"/>
        <v>PP_10</v>
      </c>
      <c r="E25" t="str">
        <f t="shared" ref="E25:P25" si="25">D25</f>
        <v>PP_10</v>
      </c>
      <c r="F25" t="str">
        <f t="shared" si="25"/>
        <v>PP_10</v>
      </c>
      <c r="G25" t="str">
        <f t="shared" si="25"/>
        <v>PP_10</v>
      </c>
      <c r="H25" t="str">
        <f t="shared" si="25"/>
        <v>PP_10</v>
      </c>
      <c r="I25" t="str">
        <f t="shared" si="25"/>
        <v>PP_10</v>
      </c>
      <c r="J25" t="str">
        <f t="shared" si="25"/>
        <v>PP_10</v>
      </c>
      <c r="K25" t="str">
        <f t="shared" si="25"/>
        <v>PP_10</v>
      </c>
      <c r="L25" t="str">
        <f t="shared" si="25"/>
        <v>PP_10</v>
      </c>
      <c r="M25" t="str">
        <f t="shared" si="25"/>
        <v>PP_10</v>
      </c>
      <c r="N25" t="str">
        <f t="shared" si="25"/>
        <v>PP_10</v>
      </c>
      <c r="O25" t="str">
        <f t="shared" si="25"/>
        <v>PP_10</v>
      </c>
      <c r="P25" t="str">
        <f t="shared" si="25"/>
        <v>PP_10</v>
      </c>
    </row>
    <row r="26" spans="4:16" x14ac:dyDescent="0.25">
      <c r="D26" t="str">
        <f t="shared" si="2"/>
        <v>PP_10</v>
      </c>
      <c r="E26" t="str">
        <f t="shared" ref="E26:P26" si="26">D26</f>
        <v>PP_10</v>
      </c>
      <c r="F26" t="str">
        <f t="shared" si="26"/>
        <v>PP_10</v>
      </c>
      <c r="G26" t="str">
        <f t="shared" si="26"/>
        <v>PP_10</v>
      </c>
      <c r="H26" t="str">
        <f t="shared" si="26"/>
        <v>PP_10</v>
      </c>
      <c r="I26" t="str">
        <f t="shared" si="26"/>
        <v>PP_10</v>
      </c>
      <c r="J26" t="str">
        <f t="shared" si="26"/>
        <v>PP_10</v>
      </c>
      <c r="K26" t="str">
        <f t="shared" si="26"/>
        <v>PP_10</v>
      </c>
      <c r="L26" t="str">
        <f t="shared" si="26"/>
        <v>PP_10</v>
      </c>
      <c r="M26" t="str">
        <f t="shared" si="26"/>
        <v>PP_10</v>
      </c>
      <c r="N26" t="str">
        <f t="shared" si="26"/>
        <v>PP_10</v>
      </c>
      <c r="O26" t="str">
        <f t="shared" si="26"/>
        <v>PP_10</v>
      </c>
      <c r="P26" t="str">
        <f t="shared" si="26"/>
        <v>PP_10</v>
      </c>
    </row>
    <row r="27" spans="4:16" x14ac:dyDescent="0.25">
      <c r="D27" t="str">
        <f t="shared" si="2"/>
        <v>PP_10</v>
      </c>
      <c r="E27" t="str">
        <f t="shared" ref="E27:P27" si="27">D27</f>
        <v>PP_10</v>
      </c>
      <c r="F27" t="str">
        <f t="shared" si="27"/>
        <v>PP_10</v>
      </c>
      <c r="G27" t="str">
        <f t="shared" si="27"/>
        <v>PP_10</v>
      </c>
      <c r="H27" t="str">
        <f t="shared" si="27"/>
        <v>PP_10</v>
      </c>
      <c r="I27" t="str">
        <f t="shared" si="27"/>
        <v>PP_10</v>
      </c>
      <c r="J27" t="str">
        <f t="shared" si="27"/>
        <v>PP_10</v>
      </c>
      <c r="K27" t="str">
        <f t="shared" si="27"/>
        <v>PP_10</v>
      </c>
      <c r="L27" t="str">
        <f t="shared" si="27"/>
        <v>PP_10</v>
      </c>
      <c r="M27" t="str">
        <f t="shared" si="27"/>
        <v>PP_10</v>
      </c>
      <c r="N27" t="str">
        <f t="shared" si="27"/>
        <v>PP_10</v>
      </c>
      <c r="O27" t="str">
        <f t="shared" si="27"/>
        <v>PP_10</v>
      </c>
      <c r="P27" t="str">
        <f t="shared" si="27"/>
        <v>PP_10</v>
      </c>
    </row>
    <row r="28" spans="4:16" x14ac:dyDescent="0.25">
      <c r="D28" t="str">
        <f t="shared" si="2"/>
        <v>PP_10</v>
      </c>
      <c r="E28" t="str">
        <f t="shared" ref="E28:P28" si="28">D28</f>
        <v>PP_10</v>
      </c>
      <c r="F28" t="str">
        <f t="shared" si="28"/>
        <v>PP_10</v>
      </c>
      <c r="G28" t="str">
        <f t="shared" si="28"/>
        <v>PP_10</v>
      </c>
      <c r="H28" t="str">
        <f t="shared" si="28"/>
        <v>PP_10</v>
      </c>
      <c r="I28" t="str">
        <f t="shared" si="28"/>
        <v>PP_10</v>
      </c>
      <c r="J28" t="str">
        <f t="shared" si="28"/>
        <v>PP_10</v>
      </c>
      <c r="K28" t="str">
        <f t="shared" si="28"/>
        <v>PP_10</v>
      </c>
      <c r="L28" t="str">
        <f t="shared" si="28"/>
        <v>PP_10</v>
      </c>
      <c r="M28" t="str">
        <f t="shared" si="28"/>
        <v>PP_10</v>
      </c>
      <c r="N28" t="str">
        <f t="shared" si="28"/>
        <v>PP_10</v>
      </c>
      <c r="O28" t="str">
        <f t="shared" si="28"/>
        <v>PP_10</v>
      </c>
      <c r="P28" t="str">
        <f t="shared" si="28"/>
        <v>PP_10</v>
      </c>
    </row>
    <row r="29" spans="4:16" x14ac:dyDescent="0.25">
      <c r="D29" t="str">
        <f t="shared" si="2"/>
        <v>PP_10</v>
      </c>
      <c r="E29" t="str">
        <f t="shared" ref="E29:P29" si="29">D29</f>
        <v>PP_10</v>
      </c>
      <c r="F29" t="str">
        <f t="shared" si="29"/>
        <v>PP_10</v>
      </c>
      <c r="G29" t="str">
        <f t="shared" si="29"/>
        <v>PP_10</v>
      </c>
      <c r="H29" t="str">
        <f t="shared" si="29"/>
        <v>PP_10</v>
      </c>
      <c r="I29" t="str">
        <f t="shared" si="29"/>
        <v>PP_10</v>
      </c>
      <c r="J29" t="str">
        <f t="shared" si="29"/>
        <v>PP_10</v>
      </c>
      <c r="K29" t="str">
        <f t="shared" si="29"/>
        <v>PP_10</v>
      </c>
      <c r="L29" t="str">
        <f t="shared" si="29"/>
        <v>PP_10</v>
      </c>
      <c r="M29" t="str">
        <f t="shared" si="29"/>
        <v>PP_10</v>
      </c>
      <c r="N29" t="str">
        <f t="shared" si="29"/>
        <v>PP_10</v>
      </c>
      <c r="O29" t="str">
        <f t="shared" si="29"/>
        <v>PP_10</v>
      </c>
      <c r="P29" t="str">
        <f t="shared" si="29"/>
        <v>PP_10</v>
      </c>
    </row>
    <row r="30" spans="4:16" x14ac:dyDescent="0.25">
      <c r="D30" t="str">
        <f t="shared" si="2"/>
        <v>PP_10</v>
      </c>
      <c r="E30" t="str">
        <f t="shared" ref="E30:P30" si="30">D30</f>
        <v>PP_10</v>
      </c>
      <c r="F30" t="str">
        <f t="shared" si="30"/>
        <v>PP_10</v>
      </c>
      <c r="G30" t="str">
        <f t="shared" si="30"/>
        <v>PP_10</v>
      </c>
      <c r="H30" t="str">
        <f t="shared" si="30"/>
        <v>PP_10</v>
      </c>
      <c r="I30" t="str">
        <f t="shared" si="30"/>
        <v>PP_10</v>
      </c>
      <c r="J30" t="str">
        <f t="shared" si="30"/>
        <v>PP_10</v>
      </c>
      <c r="K30" t="str">
        <f t="shared" si="30"/>
        <v>PP_10</v>
      </c>
      <c r="L30" t="str">
        <f t="shared" si="30"/>
        <v>PP_10</v>
      </c>
      <c r="M30" t="str">
        <f t="shared" si="30"/>
        <v>PP_10</v>
      </c>
      <c r="N30" t="str">
        <f t="shared" si="30"/>
        <v>PP_10</v>
      </c>
      <c r="O30" t="str">
        <f t="shared" si="30"/>
        <v>PP_10</v>
      </c>
      <c r="P30" t="str">
        <f t="shared" si="30"/>
        <v>PP_10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141</v>
      </c>
      <c r="E1" t="str">
        <f>D1</f>
        <v>PP_11</v>
      </c>
      <c r="F1" t="str">
        <f t="shared" ref="F1:P1" si="0">E1</f>
        <v>PP_11</v>
      </c>
      <c r="G1" t="str">
        <f t="shared" si="0"/>
        <v>PP_11</v>
      </c>
      <c r="H1" t="str">
        <f t="shared" si="0"/>
        <v>PP_11</v>
      </c>
      <c r="I1" t="str">
        <f t="shared" si="0"/>
        <v>PP_11</v>
      </c>
      <c r="J1" t="str">
        <f t="shared" si="0"/>
        <v>PP_11</v>
      </c>
      <c r="K1" t="str">
        <f t="shared" si="0"/>
        <v>PP_11</v>
      </c>
      <c r="L1" t="str">
        <f t="shared" si="0"/>
        <v>PP_11</v>
      </c>
      <c r="M1" t="str">
        <f t="shared" si="0"/>
        <v>PP_11</v>
      </c>
      <c r="N1" t="str">
        <f t="shared" si="0"/>
        <v>PP_11</v>
      </c>
      <c r="O1" t="str">
        <f t="shared" si="0"/>
        <v>PP_11</v>
      </c>
      <c r="P1" t="str">
        <f t="shared" si="0"/>
        <v>PP_11</v>
      </c>
    </row>
    <row r="2" spans="1:16" x14ac:dyDescent="0.25">
      <c r="A2" s="106" t="s">
        <v>177</v>
      </c>
      <c r="B2" s="107" t="s">
        <v>196</v>
      </c>
      <c r="D2" t="str">
        <f>D1</f>
        <v>PP_11</v>
      </c>
      <c r="E2" t="str">
        <f t="shared" ref="E2:P2" si="1">D2</f>
        <v>PP_11</v>
      </c>
      <c r="F2" t="str">
        <f t="shared" si="1"/>
        <v>PP_11</v>
      </c>
      <c r="G2" t="str">
        <f t="shared" si="1"/>
        <v>PP_11</v>
      </c>
      <c r="H2" t="str">
        <f t="shared" si="1"/>
        <v>PP_11</v>
      </c>
      <c r="I2" t="str">
        <f t="shared" si="1"/>
        <v>PP_11</v>
      </c>
      <c r="J2" t="str">
        <f t="shared" si="1"/>
        <v>PP_11</v>
      </c>
      <c r="K2" t="str">
        <f t="shared" si="1"/>
        <v>PP_11</v>
      </c>
      <c r="L2" t="str">
        <f t="shared" si="1"/>
        <v>PP_11</v>
      </c>
      <c r="M2" t="str">
        <f t="shared" si="1"/>
        <v>PP_11</v>
      </c>
      <c r="N2" t="str">
        <f t="shared" si="1"/>
        <v>PP_11</v>
      </c>
      <c r="O2" t="str">
        <f t="shared" si="1"/>
        <v>PP_11</v>
      </c>
      <c r="P2" t="str">
        <f t="shared" si="1"/>
        <v>PP_11</v>
      </c>
    </row>
    <row r="3" spans="1:16" x14ac:dyDescent="0.25">
      <c r="A3" s="74"/>
      <c r="B3" s="70"/>
      <c r="D3" t="str">
        <f t="shared" ref="D3:D30" si="2">D2</f>
        <v>PP_11</v>
      </c>
      <c r="E3" t="str">
        <f t="shared" ref="E3:P3" si="3">D3</f>
        <v>PP_11</v>
      </c>
      <c r="F3" t="str">
        <f t="shared" si="3"/>
        <v>PP_11</v>
      </c>
      <c r="G3" t="str">
        <f t="shared" si="3"/>
        <v>PP_11</v>
      </c>
      <c r="H3" t="str">
        <f t="shared" si="3"/>
        <v>PP_11</v>
      </c>
      <c r="I3" t="str">
        <f t="shared" si="3"/>
        <v>PP_11</v>
      </c>
      <c r="J3" t="str">
        <f t="shared" si="3"/>
        <v>PP_11</v>
      </c>
      <c r="K3" t="str">
        <f t="shared" si="3"/>
        <v>PP_11</v>
      </c>
      <c r="L3" t="str">
        <f t="shared" si="3"/>
        <v>PP_11</v>
      </c>
      <c r="M3" t="str">
        <f t="shared" si="3"/>
        <v>PP_11</v>
      </c>
      <c r="N3" t="str">
        <f t="shared" si="3"/>
        <v>PP_11</v>
      </c>
      <c r="O3" t="str">
        <f t="shared" si="3"/>
        <v>PP_11</v>
      </c>
      <c r="P3" t="str">
        <f t="shared" si="3"/>
        <v>PP_11</v>
      </c>
    </row>
    <row r="4" spans="1:16" x14ac:dyDescent="0.25">
      <c r="A4" s="75"/>
      <c r="B4" s="76"/>
      <c r="D4" t="str">
        <f t="shared" si="2"/>
        <v>PP_11</v>
      </c>
      <c r="E4" t="str">
        <f t="shared" ref="E4:P4" si="4">D4</f>
        <v>PP_11</v>
      </c>
      <c r="F4" t="str">
        <f t="shared" si="4"/>
        <v>PP_11</v>
      </c>
      <c r="G4" t="str">
        <f t="shared" si="4"/>
        <v>PP_11</v>
      </c>
      <c r="H4" t="str">
        <f t="shared" si="4"/>
        <v>PP_11</v>
      </c>
      <c r="I4" t="str">
        <f t="shared" si="4"/>
        <v>PP_11</v>
      </c>
      <c r="J4" t="str">
        <f t="shared" si="4"/>
        <v>PP_11</v>
      </c>
      <c r="K4" t="str">
        <f t="shared" si="4"/>
        <v>PP_11</v>
      </c>
      <c r="L4" t="str">
        <f t="shared" si="4"/>
        <v>PP_11</v>
      </c>
      <c r="M4" t="str">
        <f t="shared" si="4"/>
        <v>PP_11</v>
      </c>
      <c r="N4" t="str">
        <f t="shared" si="4"/>
        <v>PP_11</v>
      </c>
      <c r="O4" t="str">
        <f t="shared" si="4"/>
        <v>PP_11</v>
      </c>
      <c r="P4" t="str">
        <f t="shared" si="4"/>
        <v>PP_11</v>
      </c>
    </row>
    <row r="5" spans="1:16" x14ac:dyDescent="0.25">
      <c r="A5" s="74"/>
      <c r="B5" s="70"/>
      <c r="D5" t="str">
        <f t="shared" si="2"/>
        <v>PP_11</v>
      </c>
      <c r="E5" t="str">
        <f t="shared" ref="E5:P5" si="5">D5</f>
        <v>PP_11</v>
      </c>
      <c r="F5" t="str">
        <f t="shared" si="5"/>
        <v>PP_11</v>
      </c>
      <c r="G5" t="str">
        <f t="shared" si="5"/>
        <v>PP_11</v>
      </c>
      <c r="H5" t="str">
        <f t="shared" si="5"/>
        <v>PP_11</v>
      </c>
      <c r="I5" t="str">
        <f t="shared" si="5"/>
        <v>PP_11</v>
      </c>
      <c r="J5" t="str">
        <f t="shared" si="5"/>
        <v>PP_11</v>
      </c>
      <c r="K5" t="str">
        <f t="shared" si="5"/>
        <v>PP_11</v>
      </c>
      <c r="L5" t="str">
        <f t="shared" si="5"/>
        <v>PP_11</v>
      </c>
      <c r="M5" t="str">
        <f t="shared" si="5"/>
        <v>PP_11</v>
      </c>
      <c r="N5" t="str">
        <f t="shared" si="5"/>
        <v>PP_11</v>
      </c>
      <c r="O5" t="str">
        <f t="shared" si="5"/>
        <v>PP_11</v>
      </c>
      <c r="P5" t="str">
        <f t="shared" si="5"/>
        <v>PP_11</v>
      </c>
    </row>
    <row r="6" spans="1:16" x14ac:dyDescent="0.25">
      <c r="A6" s="74"/>
      <c r="B6" s="70"/>
      <c r="D6" t="str">
        <f t="shared" si="2"/>
        <v>PP_11</v>
      </c>
      <c r="E6" t="str">
        <f t="shared" ref="E6:P6" si="6">D6</f>
        <v>PP_11</v>
      </c>
      <c r="F6" t="str">
        <f t="shared" si="6"/>
        <v>PP_11</v>
      </c>
      <c r="G6" t="str">
        <f t="shared" si="6"/>
        <v>PP_11</v>
      </c>
      <c r="H6" t="str">
        <f t="shared" si="6"/>
        <v>PP_11</v>
      </c>
      <c r="I6" t="str">
        <f t="shared" si="6"/>
        <v>PP_11</v>
      </c>
      <c r="J6" t="str">
        <f t="shared" si="6"/>
        <v>PP_11</v>
      </c>
      <c r="K6" t="str">
        <f t="shared" si="6"/>
        <v>PP_11</v>
      </c>
      <c r="L6" t="str">
        <f t="shared" si="6"/>
        <v>PP_11</v>
      </c>
      <c r="M6" t="str">
        <f t="shared" si="6"/>
        <v>PP_11</v>
      </c>
      <c r="N6" t="str">
        <f t="shared" si="6"/>
        <v>PP_11</v>
      </c>
      <c r="O6" t="str">
        <f t="shared" si="6"/>
        <v>PP_11</v>
      </c>
      <c r="P6" t="str">
        <f t="shared" si="6"/>
        <v>PP_11</v>
      </c>
    </row>
    <row r="7" spans="1:16" x14ac:dyDescent="0.25">
      <c r="D7" t="str">
        <f t="shared" si="2"/>
        <v>PP_11</v>
      </c>
      <c r="E7" t="str">
        <f t="shared" ref="E7:P7" si="7">D7</f>
        <v>PP_11</v>
      </c>
      <c r="F7" t="str">
        <f t="shared" si="7"/>
        <v>PP_11</v>
      </c>
      <c r="G7" t="str">
        <f t="shared" si="7"/>
        <v>PP_11</v>
      </c>
      <c r="H7" t="str">
        <f t="shared" si="7"/>
        <v>PP_11</v>
      </c>
      <c r="I7" t="str">
        <f t="shared" si="7"/>
        <v>PP_11</v>
      </c>
      <c r="J7" t="str">
        <f t="shared" si="7"/>
        <v>PP_11</v>
      </c>
      <c r="K7" t="str">
        <f t="shared" si="7"/>
        <v>PP_11</v>
      </c>
      <c r="L7" t="str">
        <f t="shared" si="7"/>
        <v>PP_11</v>
      </c>
      <c r="M7" t="str">
        <f t="shared" si="7"/>
        <v>PP_11</v>
      </c>
      <c r="N7" t="str">
        <f t="shared" si="7"/>
        <v>PP_11</v>
      </c>
      <c r="O7" t="str">
        <f t="shared" si="7"/>
        <v>PP_11</v>
      </c>
      <c r="P7" t="str">
        <f t="shared" si="7"/>
        <v>PP_11</v>
      </c>
    </row>
    <row r="8" spans="1:16" x14ac:dyDescent="0.25">
      <c r="D8" t="str">
        <f t="shared" si="2"/>
        <v>PP_11</v>
      </c>
      <c r="E8" t="str">
        <f t="shared" ref="E8:P8" si="8">D8</f>
        <v>PP_11</v>
      </c>
      <c r="F8" t="str">
        <f t="shared" si="8"/>
        <v>PP_11</v>
      </c>
      <c r="G8" t="str">
        <f t="shared" si="8"/>
        <v>PP_11</v>
      </c>
      <c r="H8" t="str">
        <f t="shared" si="8"/>
        <v>PP_11</v>
      </c>
      <c r="I8" t="str">
        <f t="shared" si="8"/>
        <v>PP_11</v>
      </c>
      <c r="J8" t="str">
        <f t="shared" si="8"/>
        <v>PP_11</v>
      </c>
      <c r="K8" t="str">
        <f t="shared" si="8"/>
        <v>PP_11</v>
      </c>
      <c r="L8" t="str">
        <f t="shared" si="8"/>
        <v>PP_11</v>
      </c>
      <c r="M8" t="str">
        <f t="shared" si="8"/>
        <v>PP_11</v>
      </c>
      <c r="N8" t="str">
        <f t="shared" si="8"/>
        <v>PP_11</v>
      </c>
      <c r="O8" t="str">
        <f t="shared" si="8"/>
        <v>PP_11</v>
      </c>
      <c r="P8" t="str">
        <f t="shared" si="8"/>
        <v>PP_11</v>
      </c>
    </row>
    <row r="9" spans="1:16" x14ac:dyDescent="0.25">
      <c r="D9" t="str">
        <f t="shared" si="2"/>
        <v>PP_11</v>
      </c>
      <c r="E9" t="str">
        <f t="shared" ref="E9:P9" si="9">D9</f>
        <v>PP_11</v>
      </c>
      <c r="F9" t="str">
        <f t="shared" si="9"/>
        <v>PP_11</v>
      </c>
      <c r="G9" t="str">
        <f t="shared" si="9"/>
        <v>PP_11</v>
      </c>
      <c r="H9" t="str">
        <f t="shared" si="9"/>
        <v>PP_11</v>
      </c>
      <c r="I9" t="str">
        <f t="shared" si="9"/>
        <v>PP_11</v>
      </c>
      <c r="J9" t="str">
        <f t="shared" si="9"/>
        <v>PP_11</v>
      </c>
      <c r="K9" t="str">
        <f t="shared" si="9"/>
        <v>PP_11</v>
      </c>
      <c r="L9" t="str">
        <f t="shared" si="9"/>
        <v>PP_11</v>
      </c>
      <c r="M9" t="str">
        <f t="shared" si="9"/>
        <v>PP_11</v>
      </c>
      <c r="N9" t="str">
        <f t="shared" si="9"/>
        <v>PP_11</v>
      </c>
      <c r="O9" t="str">
        <f t="shared" si="9"/>
        <v>PP_11</v>
      </c>
      <c r="P9" t="str">
        <f t="shared" si="9"/>
        <v>PP_11</v>
      </c>
    </row>
    <row r="10" spans="1:16" x14ac:dyDescent="0.25">
      <c r="D10" t="str">
        <f t="shared" si="2"/>
        <v>PP_11</v>
      </c>
      <c r="E10" t="str">
        <f t="shared" ref="E10:P10" si="10">D10</f>
        <v>PP_11</v>
      </c>
      <c r="F10" t="str">
        <f t="shared" si="10"/>
        <v>PP_11</v>
      </c>
      <c r="G10" t="str">
        <f t="shared" si="10"/>
        <v>PP_11</v>
      </c>
      <c r="H10" t="str">
        <f t="shared" si="10"/>
        <v>PP_11</v>
      </c>
      <c r="I10" t="str">
        <f t="shared" si="10"/>
        <v>PP_11</v>
      </c>
      <c r="J10" t="str">
        <f t="shared" si="10"/>
        <v>PP_11</v>
      </c>
      <c r="K10" t="str">
        <f t="shared" si="10"/>
        <v>PP_11</v>
      </c>
      <c r="L10" t="str">
        <f t="shared" si="10"/>
        <v>PP_11</v>
      </c>
      <c r="M10" t="str">
        <f t="shared" si="10"/>
        <v>PP_11</v>
      </c>
      <c r="N10" t="str">
        <f t="shared" si="10"/>
        <v>PP_11</v>
      </c>
      <c r="O10" t="str">
        <f t="shared" si="10"/>
        <v>PP_11</v>
      </c>
      <c r="P10" t="str">
        <f t="shared" si="10"/>
        <v>PP_11</v>
      </c>
    </row>
    <row r="11" spans="1:16" x14ac:dyDescent="0.25">
      <c r="D11" t="str">
        <f t="shared" si="2"/>
        <v>PP_11</v>
      </c>
      <c r="E11" t="str">
        <f t="shared" ref="E11:P11" si="11">D11</f>
        <v>PP_11</v>
      </c>
      <c r="F11" t="str">
        <f t="shared" si="11"/>
        <v>PP_11</v>
      </c>
      <c r="G11" t="str">
        <f t="shared" si="11"/>
        <v>PP_11</v>
      </c>
      <c r="H11" t="str">
        <f t="shared" si="11"/>
        <v>PP_11</v>
      </c>
      <c r="I11" t="str">
        <f t="shared" si="11"/>
        <v>PP_11</v>
      </c>
      <c r="J11" t="str">
        <f t="shared" si="11"/>
        <v>PP_11</v>
      </c>
      <c r="K11" t="str">
        <f t="shared" si="11"/>
        <v>PP_11</v>
      </c>
      <c r="L11" t="str">
        <f t="shared" si="11"/>
        <v>PP_11</v>
      </c>
      <c r="M11" t="str">
        <f t="shared" si="11"/>
        <v>PP_11</v>
      </c>
      <c r="N11" t="str">
        <f t="shared" si="11"/>
        <v>PP_11</v>
      </c>
      <c r="O11" t="str">
        <f t="shared" si="11"/>
        <v>PP_11</v>
      </c>
      <c r="P11" t="str">
        <f t="shared" si="11"/>
        <v>PP_11</v>
      </c>
    </row>
    <row r="12" spans="1:16" x14ac:dyDescent="0.25">
      <c r="D12" t="str">
        <f t="shared" si="2"/>
        <v>PP_11</v>
      </c>
      <c r="E12" t="str">
        <f t="shared" ref="E12:P12" si="12">D12</f>
        <v>PP_11</v>
      </c>
      <c r="F12" t="str">
        <f t="shared" si="12"/>
        <v>PP_11</v>
      </c>
      <c r="G12" t="str">
        <f t="shared" si="12"/>
        <v>PP_11</v>
      </c>
      <c r="H12" t="str">
        <f t="shared" si="12"/>
        <v>PP_11</v>
      </c>
      <c r="I12" t="str">
        <f t="shared" si="12"/>
        <v>PP_11</v>
      </c>
      <c r="J12" t="str">
        <f t="shared" si="12"/>
        <v>PP_11</v>
      </c>
      <c r="K12" t="str">
        <f t="shared" si="12"/>
        <v>PP_11</v>
      </c>
      <c r="L12" t="str">
        <f t="shared" si="12"/>
        <v>PP_11</v>
      </c>
      <c r="M12" t="str">
        <f t="shared" si="12"/>
        <v>PP_11</v>
      </c>
      <c r="N12" t="str">
        <f t="shared" si="12"/>
        <v>PP_11</v>
      </c>
      <c r="O12" t="str">
        <f t="shared" si="12"/>
        <v>PP_11</v>
      </c>
      <c r="P12" t="str">
        <f t="shared" si="12"/>
        <v>PP_11</v>
      </c>
    </row>
    <row r="13" spans="1:16" x14ac:dyDescent="0.25">
      <c r="D13" t="str">
        <f t="shared" si="2"/>
        <v>PP_11</v>
      </c>
      <c r="E13" t="str">
        <f t="shared" ref="E13:P13" si="13">D13</f>
        <v>PP_11</v>
      </c>
      <c r="F13" t="str">
        <f t="shared" si="13"/>
        <v>PP_11</v>
      </c>
      <c r="G13" t="str">
        <f t="shared" si="13"/>
        <v>PP_11</v>
      </c>
      <c r="H13" t="str">
        <f t="shared" si="13"/>
        <v>PP_11</v>
      </c>
      <c r="I13" t="str">
        <f t="shared" si="13"/>
        <v>PP_11</v>
      </c>
      <c r="J13" t="str">
        <f t="shared" si="13"/>
        <v>PP_11</v>
      </c>
      <c r="K13" t="str">
        <f t="shared" si="13"/>
        <v>PP_11</v>
      </c>
      <c r="L13" t="str">
        <f t="shared" si="13"/>
        <v>PP_11</v>
      </c>
      <c r="M13" t="str">
        <f t="shared" si="13"/>
        <v>PP_11</v>
      </c>
      <c r="N13" t="str">
        <f t="shared" si="13"/>
        <v>PP_11</v>
      </c>
      <c r="O13" t="str">
        <f t="shared" si="13"/>
        <v>PP_11</v>
      </c>
      <c r="P13" t="str">
        <f t="shared" si="13"/>
        <v>PP_11</v>
      </c>
    </row>
    <row r="14" spans="1:16" x14ac:dyDescent="0.25">
      <c r="D14" t="str">
        <f t="shared" si="2"/>
        <v>PP_11</v>
      </c>
      <c r="E14" t="str">
        <f t="shared" ref="E14:P14" si="14">D14</f>
        <v>PP_11</v>
      </c>
      <c r="F14" t="str">
        <f t="shared" si="14"/>
        <v>PP_11</v>
      </c>
      <c r="G14" t="str">
        <f t="shared" si="14"/>
        <v>PP_11</v>
      </c>
      <c r="H14" t="str">
        <f t="shared" si="14"/>
        <v>PP_11</v>
      </c>
      <c r="I14" t="str">
        <f t="shared" si="14"/>
        <v>PP_11</v>
      </c>
      <c r="J14" t="str">
        <f t="shared" si="14"/>
        <v>PP_11</v>
      </c>
      <c r="K14" t="str">
        <f t="shared" si="14"/>
        <v>PP_11</v>
      </c>
      <c r="L14" t="str">
        <f t="shared" si="14"/>
        <v>PP_11</v>
      </c>
      <c r="M14" t="str">
        <f t="shared" si="14"/>
        <v>PP_11</v>
      </c>
      <c r="N14" t="str">
        <f t="shared" si="14"/>
        <v>PP_11</v>
      </c>
      <c r="O14" t="str">
        <f t="shared" si="14"/>
        <v>PP_11</v>
      </c>
      <c r="P14" t="str">
        <f t="shared" si="14"/>
        <v>PP_11</v>
      </c>
    </row>
    <row r="15" spans="1:16" x14ac:dyDescent="0.25">
      <c r="D15" t="str">
        <f t="shared" si="2"/>
        <v>PP_11</v>
      </c>
      <c r="E15" t="str">
        <f t="shared" ref="E15:P15" si="15">D15</f>
        <v>PP_11</v>
      </c>
      <c r="F15" t="str">
        <f t="shared" si="15"/>
        <v>PP_11</v>
      </c>
      <c r="G15" t="str">
        <f t="shared" si="15"/>
        <v>PP_11</v>
      </c>
      <c r="H15" t="str">
        <f t="shared" si="15"/>
        <v>PP_11</v>
      </c>
      <c r="I15" t="str">
        <f t="shared" si="15"/>
        <v>PP_11</v>
      </c>
      <c r="J15" t="str">
        <f t="shared" si="15"/>
        <v>PP_11</v>
      </c>
      <c r="K15" t="str">
        <f t="shared" si="15"/>
        <v>PP_11</v>
      </c>
      <c r="L15" t="str">
        <f t="shared" si="15"/>
        <v>PP_11</v>
      </c>
      <c r="M15" t="str">
        <f t="shared" si="15"/>
        <v>PP_11</v>
      </c>
      <c r="N15" t="str">
        <f t="shared" si="15"/>
        <v>PP_11</v>
      </c>
      <c r="O15" t="str">
        <f t="shared" si="15"/>
        <v>PP_11</v>
      </c>
      <c r="P15" t="str">
        <f t="shared" si="15"/>
        <v>PP_11</v>
      </c>
    </row>
    <row r="16" spans="1:16" x14ac:dyDescent="0.25">
      <c r="D16" t="str">
        <f t="shared" si="2"/>
        <v>PP_11</v>
      </c>
      <c r="E16" t="str">
        <f t="shared" ref="E16:P16" si="16">D16</f>
        <v>PP_11</v>
      </c>
      <c r="F16" t="str">
        <f t="shared" si="16"/>
        <v>PP_11</v>
      </c>
      <c r="G16" t="str">
        <f t="shared" si="16"/>
        <v>PP_11</v>
      </c>
      <c r="H16" t="str">
        <f t="shared" si="16"/>
        <v>PP_11</v>
      </c>
      <c r="I16" t="str">
        <f t="shared" si="16"/>
        <v>PP_11</v>
      </c>
      <c r="J16" t="str">
        <f t="shared" si="16"/>
        <v>PP_11</v>
      </c>
      <c r="K16" t="str">
        <f t="shared" si="16"/>
        <v>PP_11</v>
      </c>
      <c r="L16" t="str">
        <f t="shared" si="16"/>
        <v>PP_11</v>
      </c>
      <c r="M16" t="str">
        <f t="shared" si="16"/>
        <v>PP_11</v>
      </c>
      <c r="N16" t="str">
        <f t="shared" si="16"/>
        <v>PP_11</v>
      </c>
      <c r="O16" t="str">
        <f t="shared" si="16"/>
        <v>PP_11</v>
      </c>
      <c r="P16" t="str">
        <f t="shared" si="16"/>
        <v>PP_11</v>
      </c>
    </row>
    <row r="17" spans="4:16" x14ac:dyDescent="0.25">
      <c r="D17" t="str">
        <f t="shared" si="2"/>
        <v>PP_11</v>
      </c>
      <c r="E17" t="str">
        <f t="shared" ref="E17:P17" si="17">D17</f>
        <v>PP_11</v>
      </c>
      <c r="F17" t="str">
        <f t="shared" si="17"/>
        <v>PP_11</v>
      </c>
      <c r="G17" t="str">
        <f t="shared" si="17"/>
        <v>PP_11</v>
      </c>
      <c r="H17" t="str">
        <f t="shared" si="17"/>
        <v>PP_11</v>
      </c>
      <c r="I17" t="str">
        <f t="shared" si="17"/>
        <v>PP_11</v>
      </c>
      <c r="J17" t="str">
        <f t="shared" si="17"/>
        <v>PP_11</v>
      </c>
      <c r="K17" t="str">
        <f t="shared" si="17"/>
        <v>PP_11</v>
      </c>
      <c r="L17" t="str">
        <f t="shared" si="17"/>
        <v>PP_11</v>
      </c>
      <c r="M17" t="str">
        <f t="shared" si="17"/>
        <v>PP_11</v>
      </c>
      <c r="N17" t="str">
        <f t="shared" si="17"/>
        <v>PP_11</v>
      </c>
      <c r="O17" t="str">
        <f t="shared" si="17"/>
        <v>PP_11</v>
      </c>
      <c r="P17" t="str">
        <f t="shared" si="17"/>
        <v>PP_11</v>
      </c>
    </row>
    <row r="18" spans="4:16" x14ac:dyDescent="0.25">
      <c r="D18" t="str">
        <f t="shared" si="2"/>
        <v>PP_11</v>
      </c>
      <c r="E18" t="str">
        <f t="shared" ref="E18:P18" si="18">D18</f>
        <v>PP_11</v>
      </c>
      <c r="F18" t="str">
        <f t="shared" si="18"/>
        <v>PP_11</v>
      </c>
      <c r="G18" t="str">
        <f t="shared" si="18"/>
        <v>PP_11</v>
      </c>
      <c r="H18" t="str">
        <f t="shared" si="18"/>
        <v>PP_11</v>
      </c>
      <c r="I18" t="str">
        <f t="shared" si="18"/>
        <v>PP_11</v>
      </c>
      <c r="J18" t="str">
        <f t="shared" si="18"/>
        <v>PP_11</v>
      </c>
      <c r="K18" t="str">
        <f t="shared" si="18"/>
        <v>PP_11</v>
      </c>
      <c r="L18" t="str">
        <f t="shared" si="18"/>
        <v>PP_11</v>
      </c>
      <c r="M18" t="str">
        <f t="shared" si="18"/>
        <v>PP_11</v>
      </c>
      <c r="N18" t="str">
        <f t="shared" si="18"/>
        <v>PP_11</v>
      </c>
      <c r="O18" t="str">
        <f t="shared" si="18"/>
        <v>PP_11</v>
      </c>
      <c r="P18" t="str">
        <f t="shared" si="18"/>
        <v>PP_11</v>
      </c>
    </row>
    <row r="19" spans="4:16" x14ac:dyDescent="0.25">
      <c r="D19" t="str">
        <f t="shared" si="2"/>
        <v>PP_11</v>
      </c>
      <c r="E19" t="str">
        <f t="shared" ref="E19:P19" si="19">D19</f>
        <v>PP_11</v>
      </c>
      <c r="F19" t="str">
        <f t="shared" si="19"/>
        <v>PP_11</v>
      </c>
      <c r="G19" t="str">
        <f t="shared" si="19"/>
        <v>PP_11</v>
      </c>
      <c r="H19" t="str">
        <f t="shared" si="19"/>
        <v>PP_11</v>
      </c>
      <c r="I19" t="str">
        <f t="shared" si="19"/>
        <v>PP_11</v>
      </c>
      <c r="J19" t="str">
        <f t="shared" si="19"/>
        <v>PP_11</v>
      </c>
      <c r="K19" t="str">
        <f t="shared" si="19"/>
        <v>PP_11</v>
      </c>
      <c r="L19" t="str">
        <f t="shared" si="19"/>
        <v>PP_11</v>
      </c>
      <c r="M19" t="str">
        <f t="shared" si="19"/>
        <v>PP_11</v>
      </c>
      <c r="N19" t="str">
        <f t="shared" si="19"/>
        <v>PP_11</v>
      </c>
      <c r="O19" t="str">
        <f t="shared" si="19"/>
        <v>PP_11</v>
      </c>
      <c r="P19" t="str">
        <f t="shared" si="19"/>
        <v>PP_11</v>
      </c>
    </row>
    <row r="20" spans="4:16" x14ac:dyDescent="0.25">
      <c r="D20" t="str">
        <f t="shared" si="2"/>
        <v>PP_11</v>
      </c>
      <c r="E20" t="str">
        <f t="shared" ref="E20:P20" si="20">D20</f>
        <v>PP_11</v>
      </c>
      <c r="F20" t="str">
        <f t="shared" si="20"/>
        <v>PP_11</v>
      </c>
      <c r="G20" t="str">
        <f t="shared" si="20"/>
        <v>PP_11</v>
      </c>
      <c r="H20" t="str">
        <f t="shared" si="20"/>
        <v>PP_11</v>
      </c>
      <c r="I20" t="str">
        <f t="shared" si="20"/>
        <v>PP_11</v>
      </c>
      <c r="J20" t="str">
        <f t="shared" si="20"/>
        <v>PP_11</v>
      </c>
      <c r="K20" t="str">
        <f t="shared" si="20"/>
        <v>PP_11</v>
      </c>
      <c r="L20" t="str">
        <f t="shared" si="20"/>
        <v>PP_11</v>
      </c>
      <c r="M20" t="str">
        <f t="shared" si="20"/>
        <v>PP_11</v>
      </c>
      <c r="N20" t="str">
        <f t="shared" si="20"/>
        <v>PP_11</v>
      </c>
      <c r="O20" t="str">
        <f t="shared" si="20"/>
        <v>PP_11</v>
      </c>
      <c r="P20" t="str">
        <f t="shared" si="20"/>
        <v>PP_11</v>
      </c>
    </row>
    <row r="21" spans="4:16" x14ac:dyDescent="0.25">
      <c r="D21" t="str">
        <f t="shared" si="2"/>
        <v>PP_11</v>
      </c>
      <c r="E21" t="str">
        <f t="shared" ref="E21:P21" si="21">D21</f>
        <v>PP_11</v>
      </c>
      <c r="F21" t="str">
        <f t="shared" si="21"/>
        <v>PP_11</v>
      </c>
      <c r="G21" t="str">
        <f t="shared" si="21"/>
        <v>PP_11</v>
      </c>
      <c r="H21" t="str">
        <f t="shared" si="21"/>
        <v>PP_11</v>
      </c>
      <c r="I21" t="str">
        <f t="shared" si="21"/>
        <v>PP_11</v>
      </c>
      <c r="J21" t="str">
        <f t="shared" si="21"/>
        <v>PP_11</v>
      </c>
      <c r="K21" t="str">
        <f t="shared" si="21"/>
        <v>PP_11</v>
      </c>
      <c r="L21" t="str">
        <f t="shared" si="21"/>
        <v>PP_11</v>
      </c>
      <c r="M21" t="str">
        <f t="shared" si="21"/>
        <v>PP_11</v>
      </c>
      <c r="N21" t="str">
        <f t="shared" si="21"/>
        <v>PP_11</v>
      </c>
      <c r="O21" t="str">
        <f t="shared" si="21"/>
        <v>PP_11</v>
      </c>
      <c r="P21" t="str">
        <f t="shared" si="21"/>
        <v>PP_11</v>
      </c>
    </row>
    <row r="22" spans="4:16" x14ac:dyDescent="0.25">
      <c r="D22" t="str">
        <f t="shared" si="2"/>
        <v>PP_11</v>
      </c>
      <c r="E22" t="str">
        <f t="shared" ref="E22:P22" si="22">D22</f>
        <v>PP_11</v>
      </c>
      <c r="F22" t="str">
        <f t="shared" si="22"/>
        <v>PP_11</v>
      </c>
      <c r="G22" t="str">
        <f t="shared" si="22"/>
        <v>PP_11</v>
      </c>
      <c r="H22" t="str">
        <f t="shared" si="22"/>
        <v>PP_11</v>
      </c>
      <c r="I22" t="str">
        <f t="shared" si="22"/>
        <v>PP_11</v>
      </c>
      <c r="J22" t="str">
        <f t="shared" si="22"/>
        <v>PP_11</v>
      </c>
      <c r="K22" t="str">
        <f t="shared" si="22"/>
        <v>PP_11</v>
      </c>
      <c r="L22" t="str">
        <f t="shared" si="22"/>
        <v>PP_11</v>
      </c>
      <c r="M22" t="str">
        <f t="shared" si="22"/>
        <v>PP_11</v>
      </c>
      <c r="N22" t="str">
        <f t="shared" si="22"/>
        <v>PP_11</v>
      </c>
      <c r="O22" t="str">
        <f t="shared" si="22"/>
        <v>PP_11</v>
      </c>
      <c r="P22" t="str">
        <f t="shared" si="22"/>
        <v>PP_11</v>
      </c>
    </row>
    <row r="23" spans="4:16" x14ac:dyDescent="0.25">
      <c r="D23" t="str">
        <f t="shared" si="2"/>
        <v>PP_11</v>
      </c>
      <c r="E23" t="str">
        <f t="shared" ref="E23:P23" si="23">D23</f>
        <v>PP_11</v>
      </c>
      <c r="F23" t="str">
        <f t="shared" si="23"/>
        <v>PP_11</v>
      </c>
      <c r="G23" t="str">
        <f t="shared" si="23"/>
        <v>PP_11</v>
      </c>
      <c r="H23" t="str">
        <f t="shared" si="23"/>
        <v>PP_11</v>
      </c>
      <c r="I23" t="str">
        <f t="shared" si="23"/>
        <v>PP_11</v>
      </c>
      <c r="J23" t="str">
        <f t="shared" si="23"/>
        <v>PP_11</v>
      </c>
      <c r="K23" t="str">
        <f t="shared" si="23"/>
        <v>PP_11</v>
      </c>
      <c r="L23" t="str">
        <f t="shared" si="23"/>
        <v>PP_11</v>
      </c>
      <c r="M23" t="str">
        <f t="shared" si="23"/>
        <v>PP_11</v>
      </c>
      <c r="N23" t="str">
        <f t="shared" si="23"/>
        <v>PP_11</v>
      </c>
      <c r="O23" t="str">
        <f t="shared" si="23"/>
        <v>PP_11</v>
      </c>
      <c r="P23" t="str">
        <f t="shared" si="23"/>
        <v>PP_11</v>
      </c>
    </row>
    <row r="24" spans="4:16" x14ac:dyDescent="0.25">
      <c r="D24" t="str">
        <f t="shared" si="2"/>
        <v>PP_11</v>
      </c>
      <c r="E24" t="str">
        <f t="shared" ref="E24:P24" si="24">D24</f>
        <v>PP_11</v>
      </c>
      <c r="F24" t="str">
        <f t="shared" si="24"/>
        <v>PP_11</v>
      </c>
      <c r="G24" t="str">
        <f t="shared" si="24"/>
        <v>PP_11</v>
      </c>
      <c r="H24" t="str">
        <f t="shared" si="24"/>
        <v>PP_11</v>
      </c>
      <c r="I24" t="str">
        <f t="shared" si="24"/>
        <v>PP_11</v>
      </c>
      <c r="J24" t="str">
        <f t="shared" si="24"/>
        <v>PP_11</v>
      </c>
      <c r="K24" t="str">
        <f t="shared" si="24"/>
        <v>PP_11</v>
      </c>
      <c r="L24" t="str">
        <f t="shared" si="24"/>
        <v>PP_11</v>
      </c>
      <c r="M24" t="str">
        <f t="shared" si="24"/>
        <v>PP_11</v>
      </c>
      <c r="N24" t="str">
        <f t="shared" si="24"/>
        <v>PP_11</v>
      </c>
      <c r="O24" t="str">
        <f t="shared" si="24"/>
        <v>PP_11</v>
      </c>
      <c r="P24" t="str">
        <f t="shared" si="24"/>
        <v>PP_11</v>
      </c>
    </row>
    <row r="25" spans="4:16" x14ac:dyDescent="0.25">
      <c r="D25" t="str">
        <f t="shared" si="2"/>
        <v>PP_11</v>
      </c>
      <c r="E25" t="str">
        <f t="shared" ref="E25:P25" si="25">D25</f>
        <v>PP_11</v>
      </c>
      <c r="F25" t="str">
        <f t="shared" si="25"/>
        <v>PP_11</v>
      </c>
      <c r="G25" t="str">
        <f t="shared" si="25"/>
        <v>PP_11</v>
      </c>
      <c r="H25" t="str">
        <f t="shared" si="25"/>
        <v>PP_11</v>
      </c>
      <c r="I25" t="str">
        <f t="shared" si="25"/>
        <v>PP_11</v>
      </c>
      <c r="J25" t="str">
        <f t="shared" si="25"/>
        <v>PP_11</v>
      </c>
      <c r="K25" t="str">
        <f t="shared" si="25"/>
        <v>PP_11</v>
      </c>
      <c r="L25" t="str">
        <f t="shared" si="25"/>
        <v>PP_11</v>
      </c>
      <c r="M25" t="str">
        <f t="shared" si="25"/>
        <v>PP_11</v>
      </c>
      <c r="N25" t="str">
        <f t="shared" si="25"/>
        <v>PP_11</v>
      </c>
      <c r="O25" t="str">
        <f t="shared" si="25"/>
        <v>PP_11</v>
      </c>
      <c r="P25" t="str">
        <f t="shared" si="25"/>
        <v>PP_11</v>
      </c>
    </row>
    <row r="26" spans="4:16" x14ac:dyDescent="0.25">
      <c r="D26" t="str">
        <f t="shared" si="2"/>
        <v>PP_11</v>
      </c>
      <c r="E26" t="str">
        <f t="shared" ref="E26:P26" si="26">D26</f>
        <v>PP_11</v>
      </c>
      <c r="F26" t="str">
        <f t="shared" si="26"/>
        <v>PP_11</v>
      </c>
      <c r="G26" t="str">
        <f t="shared" si="26"/>
        <v>PP_11</v>
      </c>
      <c r="H26" t="str">
        <f t="shared" si="26"/>
        <v>PP_11</v>
      </c>
      <c r="I26" t="str">
        <f t="shared" si="26"/>
        <v>PP_11</v>
      </c>
      <c r="J26" t="str">
        <f t="shared" si="26"/>
        <v>PP_11</v>
      </c>
      <c r="K26" t="str">
        <f t="shared" si="26"/>
        <v>PP_11</v>
      </c>
      <c r="L26" t="str">
        <f t="shared" si="26"/>
        <v>PP_11</v>
      </c>
      <c r="M26" t="str">
        <f t="shared" si="26"/>
        <v>PP_11</v>
      </c>
      <c r="N26" t="str">
        <f t="shared" si="26"/>
        <v>PP_11</v>
      </c>
      <c r="O26" t="str">
        <f t="shared" si="26"/>
        <v>PP_11</v>
      </c>
      <c r="P26" t="str">
        <f t="shared" si="26"/>
        <v>PP_11</v>
      </c>
    </row>
    <row r="27" spans="4:16" x14ac:dyDescent="0.25">
      <c r="D27" t="str">
        <f t="shared" si="2"/>
        <v>PP_11</v>
      </c>
      <c r="E27" t="str">
        <f t="shared" ref="E27:P27" si="27">D27</f>
        <v>PP_11</v>
      </c>
      <c r="F27" t="str">
        <f t="shared" si="27"/>
        <v>PP_11</v>
      </c>
      <c r="G27" t="str">
        <f t="shared" si="27"/>
        <v>PP_11</v>
      </c>
      <c r="H27" t="str">
        <f t="shared" si="27"/>
        <v>PP_11</v>
      </c>
      <c r="I27" t="str">
        <f t="shared" si="27"/>
        <v>PP_11</v>
      </c>
      <c r="J27" t="str">
        <f t="shared" si="27"/>
        <v>PP_11</v>
      </c>
      <c r="K27" t="str">
        <f t="shared" si="27"/>
        <v>PP_11</v>
      </c>
      <c r="L27" t="str">
        <f t="shared" si="27"/>
        <v>PP_11</v>
      </c>
      <c r="M27" t="str">
        <f t="shared" si="27"/>
        <v>PP_11</v>
      </c>
      <c r="N27" t="str">
        <f t="shared" si="27"/>
        <v>PP_11</v>
      </c>
      <c r="O27" t="str">
        <f t="shared" si="27"/>
        <v>PP_11</v>
      </c>
      <c r="P27" t="str">
        <f t="shared" si="27"/>
        <v>PP_11</v>
      </c>
    </row>
    <row r="28" spans="4:16" x14ac:dyDescent="0.25">
      <c r="D28" t="str">
        <f t="shared" si="2"/>
        <v>PP_11</v>
      </c>
      <c r="E28" t="str">
        <f t="shared" ref="E28:P28" si="28">D28</f>
        <v>PP_11</v>
      </c>
      <c r="F28" t="str">
        <f t="shared" si="28"/>
        <v>PP_11</v>
      </c>
      <c r="G28" t="str">
        <f t="shared" si="28"/>
        <v>PP_11</v>
      </c>
      <c r="H28" t="str">
        <f t="shared" si="28"/>
        <v>PP_11</v>
      </c>
      <c r="I28" t="str">
        <f t="shared" si="28"/>
        <v>PP_11</v>
      </c>
      <c r="J28" t="str">
        <f t="shared" si="28"/>
        <v>PP_11</v>
      </c>
      <c r="K28" t="str">
        <f t="shared" si="28"/>
        <v>PP_11</v>
      </c>
      <c r="L28" t="str">
        <f t="shared" si="28"/>
        <v>PP_11</v>
      </c>
      <c r="M28" t="str">
        <f t="shared" si="28"/>
        <v>PP_11</v>
      </c>
      <c r="N28" t="str">
        <f t="shared" si="28"/>
        <v>PP_11</v>
      </c>
      <c r="O28" t="str">
        <f t="shared" si="28"/>
        <v>PP_11</v>
      </c>
      <c r="P28" t="str">
        <f t="shared" si="28"/>
        <v>PP_11</v>
      </c>
    </row>
    <row r="29" spans="4:16" x14ac:dyDescent="0.25">
      <c r="D29" t="str">
        <f t="shared" si="2"/>
        <v>PP_11</v>
      </c>
      <c r="E29" t="str">
        <f t="shared" ref="E29:P29" si="29">D29</f>
        <v>PP_11</v>
      </c>
      <c r="F29" t="str">
        <f t="shared" si="29"/>
        <v>PP_11</v>
      </c>
      <c r="G29" t="str">
        <f t="shared" si="29"/>
        <v>PP_11</v>
      </c>
      <c r="H29" t="str">
        <f t="shared" si="29"/>
        <v>PP_11</v>
      </c>
      <c r="I29" t="str">
        <f t="shared" si="29"/>
        <v>PP_11</v>
      </c>
      <c r="J29" t="str">
        <f t="shared" si="29"/>
        <v>PP_11</v>
      </c>
      <c r="K29" t="str">
        <f t="shared" si="29"/>
        <v>PP_11</v>
      </c>
      <c r="L29" t="str">
        <f t="shared" si="29"/>
        <v>PP_11</v>
      </c>
      <c r="M29" t="str">
        <f t="shared" si="29"/>
        <v>PP_11</v>
      </c>
      <c r="N29" t="str">
        <f t="shared" si="29"/>
        <v>PP_11</v>
      </c>
      <c r="O29" t="str">
        <f t="shared" si="29"/>
        <v>PP_11</v>
      </c>
      <c r="P29" t="str">
        <f t="shared" si="29"/>
        <v>PP_11</v>
      </c>
    </row>
    <row r="30" spans="4:16" x14ac:dyDescent="0.25">
      <c r="D30" t="str">
        <f t="shared" si="2"/>
        <v>PP_11</v>
      </c>
      <c r="E30" t="str">
        <f t="shared" ref="E30:P30" si="30">D30</f>
        <v>PP_11</v>
      </c>
      <c r="F30" t="str">
        <f t="shared" si="30"/>
        <v>PP_11</v>
      </c>
      <c r="G30" t="str">
        <f t="shared" si="30"/>
        <v>PP_11</v>
      </c>
      <c r="H30" t="str">
        <f t="shared" si="30"/>
        <v>PP_11</v>
      </c>
      <c r="I30" t="str">
        <f t="shared" si="30"/>
        <v>PP_11</v>
      </c>
      <c r="J30" t="str">
        <f t="shared" si="30"/>
        <v>PP_11</v>
      </c>
      <c r="K30" t="str">
        <f t="shared" si="30"/>
        <v>PP_11</v>
      </c>
      <c r="L30" t="str">
        <f t="shared" si="30"/>
        <v>PP_11</v>
      </c>
      <c r="M30" t="str">
        <f t="shared" si="30"/>
        <v>PP_11</v>
      </c>
      <c r="N30" t="str">
        <f t="shared" si="30"/>
        <v>PP_11</v>
      </c>
      <c r="O30" t="str">
        <f t="shared" si="30"/>
        <v>PP_11</v>
      </c>
      <c r="P30" t="str">
        <f t="shared" si="30"/>
        <v>PP_11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143</v>
      </c>
      <c r="E1" t="str">
        <f>D1</f>
        <v>PP_12</v>
      </c>
      <c r="F1" t="str">
        <f t="shared" ref="F1:P1" si="0">E1</f>
        <v>PP_12</v>
      </c>
      <c r="G1" t="str">
        <f t="shared" si="0"/>
        <v>PP_12</v>
      </c>
      <c r="H1" t="str">
        <f t="shared" si="0"/>
        <v>PP_12</v>
      </c>
      <c r="I1" t="str">
        <f t="shared" si="0"/>
        <v>PP_12</v>
      </c>
      <c r="J1" t="str">
        <f t="shared" si="0"/>
        <v>PP_12</v>
      </c>
      <c r="K1" t="str">
        <f t="shared" si="0"/>
        <v>PP_12</v>
      </c>
      <c r="L1" t="str">
        <f t="shared" si="0"/>
        <v>PP_12</v>
      </c>
      <c r="M1" t="str">
        <f t="shared" si="0"/>
        <v>PP_12</v>
      </c>
      <c r="N1" t="str">
        <f t="shared" si="0"/>
        <v>PP_12</v>
      </c>
      <c r="O1" t="str">
        <f t="shared" si="0"/>
        <v>PP_12</v>
      </c>
      <c r="P1" t="str">
        <f t="shared" si="0"/>
        <v>PP_12</v>
      </c>
    </row>
    <row r="2" spans="1:16" x14ac:dyDescent="0.25">
      <c r="A2" s="106" t="s">
        <v>177</v>
      </c>
      <c r="B2" s="107" t="s">
        <v>196</v>
      </c>
      <c r="D2" t="str">
        <f>D1</f>
        <v>PP_12</v>
      </c>
      <c r="E2" t="str">
        <f t="shared" ref="E2:P2" si="1">D2</f>
        <v>PP_12</v>
      </c>
      <c r="F2" t="str">
        <f t="shared" si="1"/>
        <v>PP_12</v>
      </c>
      <c r="G2" t="str">
        <f t="shared" si="1"/>
        <v>PP_12</v>
      </c>
      <c r="H2" t="str">
        <f t="shared" si="1"/>
        <v>PP_12</v>
      </c>
      <c r="I2" t="str">
        <f t="shared" si="1"/>
        <v>PP_12</v>
      </c>
      <c r="J2" t="str">
        <f t="shared" si="1"/>
        <v>PP_12</v>
      </c>
      <c r="K2" t="str">
        <f t="shared" si="1"/>
        <v>PP_12</v>
      </c>
      <c r="L2" t="str">
        <f t="shared" si="1"/>
        <v>PP_12</v>
      </c>
      <c r="M2" t="str">
        <f t="shared" si="1"/>
        <v>PP_12</v>
      </c>
      <c r="N2" t="str">
        <f t="shared" si="1"/>
        <v>PP_12</v>
      </c>
      <c r="O2" t="str">
        <f t="shared" si="1"/>
        <v>PP_12</v>
      </c>
      <c r="P2" t="str">
        <f t="shared" si="1"/>
        <v>PP_12</v>
      </c>
    </row>
    <row r="3" spans="1:16" x14ac:dyDescent="0.25">
      <c r="A3" s="74"/>
      <c r="B3" s="70"/>
      <c r="D3" t="str">
        <f t="shared" ref="D3:D30" si="2">D2</f>
        <v>PP_12</v>
      </c>
      <c r="E3" t="str">
        <f t="shared" ref="E3:P3" si="3">D3</f>
        <v>PP_12</v>
      </c>
      <c r="F3" t="str">
        <f t="shared" si="3"/>
        <v>PP_12</v>
      </c>
      <c r="G3" t="str">
        <f t="shared" si="3"/>
        <v>PP_12</v>
      </c>
      <c r="H3" t="str">
        <f t="shared" si="3"/>
        <v>PP_12</v>
      </c>
      <c r="I3" t="str">
        <f t="shared" si="3"/>
        <v>PP_12</v>
      </c>
      <c r="J3" t="str">
        <f t="shared" si="3"/>
        <v>PP_12</v>
      </c>
      <c r="K3" t="str">
        <f t="shared" si="3"/>
        <v>PP_12</v>
      </c>
      <c r="L3" t="str">
        <f t="shared" si="3"/>
        <v>PP_12</v>
      </c>
      <c r="M3" t="str">
        <f t="shared" si="3"/>
        <v>PP_12</v>
      </c>
      <c r="N3" t="str">
        <f t="shared" si="3"/>
        <v>PP_12</v>
      </c>
      <c r="O3" t="str">
        <f t="shared" si="3"/>
        <v>PP_12</v>
      </c>
      <c r="P3" t="str">
        <f t="shared" si="3"/>
        <v>PP_12</v>
      </c>
    </row>
    <row r="4" spans="1:16" x14ac:dyDescent="0.25">
      <c r="A4" s="75"/>
      <c r="B4" s="76"/>
      <c r="D4" t="str">
        <f t="shared" si="2"/>
        <v>PP_12</v>
      </c>
      <c r="E4" t="str">
        <f t="shared" ref="E4:P4" si="4">D4</f>
        <v>PP_12</v>
      </c>
      <c r="F4" t="str">
        <f t="shared" si="4"/>
        <v>PP_12</v>
      </c>
      <c r="G4" t="str">
        <f t="shared" si="4"/>
        <v>PP_12</v>
      </c>
      <c r="H4" t="str">
        <f t="shared" si="4"/>
        <v>PP_12</v>
      </c>
      <c r="I4" t="str">
        <f t="shared" si="4"/>
        <v>PP_12</v>
      </c>
      <c r="J4" t="str">
        <f t="shared" si="4"/>
        <v>PP_12</v>
      </c>
      <c r="K4" t="str">
        <f t="shared" si="4"/>
        <v>PP_12</v>
      </c>
      <c r="L4" t="str">
        <f t="shared" si="4"/>
        <v>PP_12</v>
      </c>
      <c r="M4" t="str">
        <f t="shared" si="4"/>
        <v>PP_12</v>
      </c>
      <c r="N4" t="str">
        <f t="shared" si="4"/>
        <v>PP_12</v>
      </c>
      <c r="O4" t="str">
        <f t="shared" si="4"/>
        <v>PP_12</v>
      </c>
      <c r="P4" t="str">
        <f t="shared" si="4"/>
        <v>PP_12</v>
      </c>
    </row>
    <row r="5" spans="1:16" x14ac:dyDescent="0.25">
      <c r="A5" s="74"/>
      <c r="B5" s="70"/>
      <c r="D5" t="str">
        <f t="shared" si="2"/>
        <v>PP_12</v>
      </c>
      <c r="E5" t="str">
        <f t="shared" ref="E5:P5" si="5">D5</f>
        <v>PP_12</v>
      </c>
      <c r="F5" t="str">
        <f t="shared" si="5"/>
        <v>PP_12</v>
      </c>
      <c r="G5" t="str">
        <f t="shared" si="5"/>
        <v>PP_12</v>
      </c>
      <c r="H5" t="str">
        <f t="shared" si="5"/>
        <v>PP_12</v>
      </c>
      <c r="I5" t="str">
        <f t="shared" si="5"/>
        <v>PP_12</v>
      </c>
      <c r="J5" t="str">
        <f t="shared" si="5"/>
        <v>PP_12</v>
      </c>
      <c r="K5" t="str">
        <f t="shared" si="5"/>
        <v>PP_12</v>
      </c>
      <c r="L5" t="str">
        <f t="shared" si="5"/>
        <v>PP_12</v>
      </c>
      <c r="M5" t="str">
        <f t="shared" si="5"/>
        <v>PP_12</v>
      </c>
      <c r="N5" t="str">
        <f t="shared" si="5"/>
        <v>PP_12</v>
      </c>
      <c r="O5" t="str">
        <f t="shared" si="5"/>
        <v>PP_12</v>
      </c>
      <c r="P5" t="str">
        <f t="shared" si="5"/>
        <v>PP_12</v>
      </c>
    </row>
    <row r="6" spans="1:16" x14ac:dyDescent="0.25">
      <c r="A6" s="74"/>
      <c r="B6" s="70"/>
      <c r="D6" t="str">
        <f t="shared" si="2"/>
        <v>PP_12</v>
      </c>
      <c r="E6" t="str">
        <f t="shared" ref="E6:P6" si="6">D6</f>
        <v>PP_12</v>
      </c>
      <c r="F6" t="str">
        <f t="shared" si="6"/>
        <v>PP_12</v>
      </c>
      <c r="G6" t="str">
        <f t="shared" si="6"/>
        <v>PP_12</v>
      </c>
      <c r="H6" t="str">
        <f t="shared" si="6"/>
        <v>PP_12</v>
      </c>
      <c r="I6" t="str">
        <f t="shared" si="6"/>
        <v>PP_12</v>
      </c>
      <c r="J6" t="str">
        <f t="shared" si="6"/>
        <v>PP_12</v>
      </c>
      <c r="K6" t="str">
        <f t="shared" si="6"/>
        <v>PP_12</v>
      </c>
      <c r="L6" t="str">
        <f t="shared" si="6"/>
        <v>PP_12</v>
      </c>
      <c r="M6" t="str">
        <f t="shared" si="6"/>
        <v>PP_12</v>
      </c>
      <c r="N6" t="str">
        <f t="shared" si="6"/>
        <v>PP_12</v>
      </c>
      <c r="O6" t="str">
        <f t="shared" si="6"/>
        <v>PP_12</v>
      </c>
      <c r="P6" t="str">
        <f t="shared" si="6"/>
        <v>PP_12</v>
      </c>
    </row>
    <row r="7" spans="1:16" x14ac:dyDescent="0.25">
      <c r="D7" t="str">
        <f t="shared" si="2"/>
        <v>PP_12</v>
      </c>
      <c r="E7" t="str">
        <f t="shared" ref="E7:P7" si="7">D7</f>
        <v>PP_12</v>
      </c>
      <c r="F7" t="str">
        <f t="shared" si="7"/>
        <v>PP_12</v>
      </c>
      <c r="G7" t="str">
        <f t="shared" si="7"/>
        <v>PP_12</v>
      </c>
      <c r="H7" t="str">
        <f t="shared" si="7"/>
        <v>PP_12</v>
      </c>
      <c r="I7" t="str">
        <f t="shared" si="7"/>
        <v>PP_12</v>
      </c>
      <c r="J7" t="str">
        <f t="shared" si="7"/>
        <v>PP_12</v>
      </c>
      <c r="K7" t="str">
        <f t="shared" si="7"/>
        <v>PP_12</v>
      </c>
      <c r="L7" t="str">
        <f t="shared" si="7"/>
        <v>PP_12</v>
      </c>
      <c r="M7" t="str">
        <f t="shared" si="7"/>
        <v>PP_12</v>
      </c>
      <c r="N7" t="str">
        <f t="shared" si="7"/>
        <v>PP_12</v>
      </c>
      <c r="O7" t="str">
        <f t="shared" si="7"/>
        <v>PP_12</v>
      </c>
      <c r="P7" t="str">
        <f t="shared" si="7"/>
        <v>PP_12</v>
      </c>
    </row>
    <row r="8" spans="1:16" x14ac:dyDescent="0.25">
      <c r="D8" t="str">
        <f t="shared" si="2"/>
        <v>PP_12</v>
      </c>
      <c r="E8" t="str">
        <f t="shared" ref="E8:P8" si="8">D8</f>
        <v>PP_12</v>
      </c>
      <c r="F8" t="str">
        <f t="shared" si="8"/>
        <v>PP_12</v>
      </c>
      <c r="G8" t="str">
        <f t="shared" si="8"/>
        <v>PP_12</v>
      </c>
      <c r="H8" t="str">
        <f t="shared" si="8"/>
        <v>PP_12</v>
      </c>
      <c r="I8" t="str">
        <f t="shared" si="8"/>
        <v>PP_12</v>
      </c>
      <c r="J8" t="str">
        <f t="shared" si="8"/>
        <v>PP_12</v>
      </c>
      <c r="K8" t="str">
        <f t="shared" si="8"/>
        <v>PP_12</v>
      </c>
      <c r="L8" t="str">
        <f t="shared" si="8"/>
        <v>PP_12</v>
      </c>
      <c r="M8" t="str">
        <f t="shared" si="8"/>
        <v>PP_12</v>
      </c>
      <c r="N8" t="str">
        <f t="shared" si="8"/>
        <v>PP_12</v>
      </c>
      <c r="O8" t="str">
        <f t="shared" si="8"/>
        <v>PP_12</v>
      </c>
      <c r="P8" t="str">
        <f t="shared" si="8"/>
        <v>PP_12</v>
      </c>
    </row>
    <row r="9" spans="1:16" x14ac:dyDescent="0.25">
      <c r="D9" t="str">
        <f t="shared" si="2"/>
        <v>PP_12</v>
      </c>
      <c r="E9" t="str">
        <f t="shared" ref="E9:P9" si="9">D9</f>
        <v>PP_12</v>
      </c>
      <c r="F9" t="str">
        <f t="shared" si="9"/>
        <v>PP_12</v>
      </c>
      <c r="G9" t="str">
        <f t="shared" si="9"/>
        <v>PP_12</v>
      </c>
      <c r="H9" t="str">
        <f t="shared" si="9"/>
        <v>PP_12</v>
      </c>
      <c r="I9" t="str">
        <f t="shared" si="9"/>
        <v>PP_12</v>
      </c>
      <c r="J9" t="str">
        <f t="shared" si="9"/>
        <v>PP_12</v>
      </c>
      <c r="K9" t="str">
        <f t="shared" si="9"/>
        <v>PP_12</v>
      </c>
      <c r="L9" t="str">
        <f t="shared" si="9"/>
        <v>PP_12</v>
      </c>
      <c r="M9" t="str">
        <f t="shared" si="9"/>
        <v>PP_12</v>
      </c>
      <c r="N9" t="str">
        <f t="shared" si="9"/>
        <v>PP_12</v>
      </c>
      <c r="O9" t="str">
        <f t="shared" si="9"/>
        <v>PP_12</v>
      </c>
      <c r="P9" t="str">
        <f t="shared" si="9"/>
        <v>PP_12</v>
      </c>
    </row>
    <row r="10" spans="1:16" x14ac:dyDescent="0.25">
      <c r="D10" t="str">
        <f t="shared" si="2"/>
        <v>PP_12</v>
      </c>
      <c r="E10" t="str">
        <f t="shared" ref="E10:P10" si="10">D10</f>
        <v>PP_12</v>
      </c>
      <c r="F10" t="str">
        <f t="shared" si="10"/>
        <v>PP_12</v>
      </c>
      <c r="G10" t="str">
        <f t="shared" si="10"/>
        <v>PP_12</v>
      </c>
      <c r="H10" t="str">
        <f t="shared" si="10"/>
        <v>PP_12</v>
      </c>
      <c r="I10" t="str">
        <f t="shared" si="10"/>
        <v>PP_12</v>
      </c>
      <c r="J10" t="str">
        <f t="shared" si="10"/>
        <v>PP_12</v>
      </c>
      <c r="K10" t="str">
        <f t="shared" si="10"/>
        <v>PP_12</v>
      </c>
      <c r="L10" t="str">
        <f t="shared" si="10"/>
        <v>PP_12</v>
      </c>
      <c r="M10" t="str">
        <f t="shared" si="10"/>
        <v>PP_12</v>
      </c>
      <c r="N10" t="str">
        <f t="shared" si="10"/>
        <v>PP_12</v>
      </c>
      <c r="O10" t="str">
        <f t="shared" si="10"/>
        <v>PP_12</v>
      </c>
      <c r="P10" t="str">
        <f t="shared" si="10"/>
        <v>PP_12</v>
      </c>
    </row>
    <row r="11" spans="1:16" x14ac:dyDescent="0.25">
      <c r="D11" t="str">
        <f t="shared" si="2"/>
        <v>PP_12</v>
      </c>
      <c r="E11" t="str">
        <f t="shared" ref="E11:P11" si="11">D11</f>
        <v>PP_12</v>
      </c>
      <c r="F11" t="str">
        <f t="shared" si="11"/>
        <v>PP_12</v>
      </c>
      <c r="G11" t="str">
        <f t="shared" si="11"/>
        <v>PP_12</v>
      </c>
      <c r="H11" t="str">
        <f t="shared" si="11"/>
        <v>PP_12</v>
      </c>
      <c r="I11" t="str">
        <f t="shared" si="11"/>
        <v>PP_12</v>
      </c>
      <c r="J11" t="str">
        <f t="shared" si="11"/>
        <v>PP_12</v>
      </c>
      <c r="K11" t="str">
        <f t="shared" si="11"/>
        <v>PP_12</v>
      </c>
      <c r="L11" t="str">
        <f t="shared" si="11"/>
        <v>PP_12</v>
      </c>
      <c r="M11" t="str">
        <f t="shared" si="11"/>
        <v>PP_12</v>
      </c>
      <c r="N11" t="str">
        <f t="shared" si="11"/>
        <v>PP_12</v>
      </c>
      <c r="O11" t="str">
        <f t="shared" si="11"/>
        <v>PP_12</v>
      </c>
      <c r="P11" t="str">
        <f t="shared" si="11"/>
        <v>PP_12</v>
      </c>
    </row>
    <row r="12" spans="1:16" x14ac:dyDescent="0.25">
      <c r="D12" t="str">
        <f t="shared" si="2"/>
        <v>PP_12</v>
      </c>
      <c r="E12" t="str">
        <f t="shared" ref="E12:P12" si="12">D12</f>
        <v>PP_12</v>
      </c>
      <c r="F12" t="str">
        <f t="shared" si="12"/>
        <v>PP_12</v>
      </c>
      <c r="G12" t="str">
        <f t="shared" si="12"/>
        <v>PP_12</v>
      </c>
      <c r="H12" t="str">
        <f t="shared" si="12"/>
        <v>PP_12</v>
      </c>
      <c r="I12" t="str">
        <f t="shared" si="12"/>
        <v>PP_12</v>
      </c>
      <c r="J12" t="str">
        <f t="shared" si="12"/>
        <v>PP_12</v>
      </c>
      <c r="K12" t="str">
        <f t="shared" si="12"/>
        <v>PP_12</v>
      </c>
      <c r="L12" t="str">
        <f t="shared" si="12"/>
        <v>PP_12</v>
      </c>
      <c r="M12" t="str">
        <f t="shared" si="12"/>
        <v>PP_12</v>
      </c>
      <c r="N12" t="str">
        <f t="shared" si="12"/>
        <v>PP_12</v>
      </c>
      <c r="O12" t="str">
        <f t="shared" si="12"/>
        <v>PP_12</v>
      </c>
      <c r="P12" t="str">
        <f t="shared" si="12"/>
        <v>PP_12</v>
      </c>
    </row>
    <row r="13" spans="1:16" x14ac:dyDescent="0.25">
      <c r="D13" t="str">
        <f t="shared" si="2"/>
        <v>PP_12</v>
      </c>
      <c r="E13" t="str">
        <f t="shared" ref="E13:P13" si="13">D13</f>
        <v>PP_12</v>
      </c>
      <c r="F13" t="str">
        <f t="shared" si="13"/>
        <v>PP_12</v>
      </c>
      <c r="G13" t="str">
        <f t="shared" si="13"/>
        <v>PP_12</v>
      </c>
      <c r="H13" t="str">
        <f t="shared" si="13"/>
        <v>PP_12</v>
      </c>
      <c r="I13" t="str">
        <f t="shared" si="13"/>
        <v>PP_12</v>
      </c>
      <c r="J13" t="str">
        <f t="shared" si="13"/>
        <v>PP_12</v>
      </c>
      <c r="K13" t="str">
        <f t="shared" si="13"/>
        <v>PP_12</v>
      </c>
      <c r="L13" t="str">
        <f t="shared" si="13"/>
        <v>PP_12</v>
      </c>
      <c r="M13" t="str">
        <f t="shared" si="13"/>
        <v>PP_12</v>
      </c>
      <c r="N13" t="str">
        <f t="shared" si="13"/>
        <v>PP_12</v>
      </c>
      <c r="O13" t="str">
        <f t="shared" si="13"/>
        <v>PP_12</v>
      </c>
      <c r="P13" t="str">
        <f t="shared" si="13"/>
        <v>PP_12</v>
      </c>
    </row>
    <row r="14" spans="1:16" x14ac:dyDescent="0.25">
      <c r="D14" t="str">
        <f t="shared" si="2"/>
        <v>PP_12</v>
      </c>
      <c r="E14" t="str">
        <f t="shared" ref="E14:P14" si="14">D14</f>
        <v>PP_12</v>
      </c>
      <c r="F14" t="str">
        <f t="shared" si="14"/>
        <v>PP_12</v>
      </c>
      <c r="G14" t="str">
        <f t="shared" si="14"/>
        <v>PP_12</v>
      </c>
      <c r="H14" t="str">
        <f t="shared" si="14"/>
        <v>PP_12</v>
      </c>
      <c r="I14" t="str">
        <f t="shared" si="14"/>
        <v>PP_12</v>
      </c>
      <c r="J14" t="str">
        <f t="shared" si="14"/>
        <v>PP_12</v>
      </c>
      <c r="K14" t="str">
        <f t="shared" si="14"/>
        <v>PP_12</v>
      </c>
      <c r="L14" t="str">
        <f t="shared" si="14"/>
        <v>PP_12</v>
      </c>
      <c r="M14" t="str">
        <f t="shared" si="14"/>
        <v>PP_12</v>
      </c>
      <c r="N14" t="str">
        <f t="shared" si="14"/>
        <v>PP_12</v>
      </c>
      <c r="O14" t="str">
        <f t="shared" si="14"/>
        <v>PP_12</v>
      </c>
      <c r="P14" t="str">
        <f t="shared" si="14"/>
        <v>PP_12</v>
      </c>
    </row>
    <row r="15" spans="1:16" x14ac:dyDescent="0.25">
      <c r="D15" t="str">
        <f t="shared" si="2"/>
        <v>PP_12</v>
      </c>
      <c r="E15" t="str">
        <f t="shared" ref="E15:P15" si="15">D15</f>
        <v>PP_12</v>
      </c>
      <c r="F15" t="str">
        <f t="shared" si="15"/>
        <v>PP_12</v>
      </c>
      <c r="G15" t="str">
        <f t="shared" si="15"/>
        <v>PP_12</v>
      </c>
      <c r="H15" t="str">
        <f t="shared" si="15"/>
        <v>PP_12</v>
      </c>
      <c r="I15" t="str">
        <f t="shared" si="15"/>
        <v>PP_12</v>
      </c>
      <c r="J15" t="str">
        <f t="shared" si="15"/>
        <v>PP_12</v>
      </c>
      <c r="K15" t="str">
        <f t="shared" si="15"/>
        <v>PP_12</v>
      </c>
      <c r="L15" t="str">
        <f t="shared" si="15"/>
        <v>PP_12</v>
      </c>
      <c r="M15" t="str">
        <f t="shared" si="15"/>
        <v>PP_12</v>
      </c>
      <c r="N15" t="str">
        <f t="shared" si="15"/>
        <v>PP_12</v>
      </c>
      <c r="O15" t="str">
        <f t="shared" si="15"/>
        <v>PP_12</v>
      </c>
      <c r="P15" t="str">
        <f t="shared" si="15"/>
        <v>PP_12</v>
      </c>
    </row>
    <row r="16" spans="1:16" x14ac:dyDescent="0.25">
      <c r="D16" t="str">
        <f t="shared" si="2"/>
        <v>PP_12</v>
      </c>
      <c r="E16" t="str">
        <f t="shared" ref="E16:P16" si="16">D16</f>
        <v>PP_12</v>
      </c>
      <c r="F16" t="str">
        <f t="shared" si="16"/>
        <v>PP_12</v>
      </c>
      <c r="G16" t="str">
        <f t="shared" si="16"/>
        <v>PP_12</v>
      </c>
      <c r="H16" t="str">
        <f t="shared" si="16"/>
        <v>PP_12</v>
      </c>
      <c r="I16" t="str">
        <f t="shared" si="16"/>
        <v>PP_12</v>
      </c>
      <c r="J16" t="str">
        <f t="shared" si="16"/>
        <v>PP_12</v>
      </c>
      <c r="K16" t="str">
        <f t="shared" si="16"/>
        <v>PP_12</v>
      </c>
      <c r="L16" t="str">
        <f t="shared" si="16"/>
        <v>PP_12</v>
      </c>
      <c r="M16" t="str">
        <f t="shared" si="16"/>
        <v>PP_12</v>
      </c>
      <c r="N16" t="str">
        <f t="shared" si="16"/>
        <v>PP_12</v>
      </c>
      <c r="O16" t="str">
        <f t="shared" si="16"/>
        <v>PP_12</v>
      </c>
      <c r="P16" t="str">
        <f t="shared" si="16"/>
        <v>PP_12</v>
      </c>
    </row>
    <row r="17" spans="4:16" x14ac:dyDescent="0.25">
      <c r="D17" t="str">
        <f t="shared" si="2"/>
        <v>PP_12</v>
      </c>
      <c r="E17" t="str">
        <f t="shared" ref="E17:P17" si="17">D17</f>
        <v>PP_12</v>
      </c>
      <c r="F17" t="str">
        <f t="shared" si="17"/>
        <v>PP_12</v>
      </c>
      <c r="G17" t="str">
        <f t="shared" si="17"/>
        <v>PP_12</v>
      </c>
      <c r="H17" t="str">
        <f t="shared" si="17"/>
        <v>PP_12</v>
      </c>
      <c r="I17" t="str">
        <f t="shared" si="17"/>
        <v>PP_12</v>
      </c>
      <c r="J17" t="str">
        <f t="shared" si="17"/>
        <v>PP_12</v>
      </c>
      <c r="K17" t="str">
        <f t="shared" si="17"/>
        <v>PP_12</v>
      </c>
      <c r="L17" t="str">
        <f t="shared" si="17"/>
        <v>PP_12</v>
      </c>
      <c r="M17" t="str">
        <f t="shared" si="17"/>
        <v>PP_12</v>
      </c>
      <c r="N17" t="str">
        <f t="shared" si="17"/>
        <v>PP_12</v>
      </c>
      <c r="O17" t="str">
        <f t="shared" si="17"/>
        <v>PP_12</v>
      </c>
      <c r="P17" t="str">
        <f t="shared" si="17"/>
        <v>PP_12</v>
      </c>
    </row>
    <row r="18" spans="4:16" x14ac:dyDescent="0.25">
      <c r="D18" t="str">
        <f t="shared" si="2"/>
        <v>PP_12</v>
      </c>
      <c r="E18" t="str">
        <f t="shared" ref="E18:P18" si="18">D18</f>
        <v>PP_12</v>
      </c>
      <c r="F18" t="str">
        <f t="shared" si="18"/>
        <v>PP_12</v>
      </c>
      <c r="G18" t="str">
        <f t="shared" si="18"/>
        <v>PP_12</v>
      </c>
      <c r="H18" t="str">
        <f t="shared" si="18"/>
        <v>PP_12</v>
      </c>
      <c r="I18" t="str">
        <f t="shared" si="18"/>
        <v>PP_12</v>
      </c>
      <c r="J18" t="str">
        <f t="shared" si="18"/>
        <v>PP_12</v>
      </c>
      <c r="K18" t="str">
        <f t="shared" si="18"/>
        <v>PP_12</v>
      </c>
      <c r="L18" t="str">
        <f t="shared" si="18"/>
        <v>PP_12</v>
      </c>
      <c r="M18" t="str">
        <f t="shared" si="18"/>
        <v>PP_12</v>
      </c>
      <c r="N18" t="str">
        <f t="shared" si="18"/>
        <v>PP_12</v>
      </c>
      <c r="O18" t="str">
        <f t="shared" si="18"/>
        <v>PP_12</v>
      </c>
      <c r="P18" t="str">
        <f t="shared" si="18"/>
        <v>PP_12</v>
      </c>
    </row>
    <row r="19" spans="4:16" x14ac:dyDescent="0.25">
      <c r="D19" t="str">
        <f t="shared" si="2"/>
        <v>PP_12</v>
      </c>
      <c r="E19" t="str">
        <f t="shared" ref="E19:P19" si="19">D19</f>
        <v>PP_12</v>
      </c>
      <c r="F19" t="str">
        <f t="shared" si="19"/>
        <v>PP_12</v>
      </c>
      <c r="G19" t="str">
        <f t="shared" si="19"/>
        <v>PP_12</v>
      </c>
      <c r="H19" t="str">
        <f t="shared" si="19"/>
        <v>PP_12</v>
      </c>
      <c r="I19" t="str">
        <f t="shared" si="19"/>
        <v>PP_12</v>
      </c>
      <c r="J19" t="str">
        <f t="shared" si="19"/>
        <v>PP_12</v>
      </c>
      <c r="K19" t="str">
        <f t="shared" si="19"/>
        <v>PP_12</v>
      </c>
      <c r="L19" t="str">
        <f t="shared" si="19"/>
        <v>PP_12</v>
      </c>
      <c r="M19" t="str">
        <f t="shared" si="19"/>
        <v>PP_12</v>
      </c>
      <c r="N19" t="str">
        <f t="shared" si="19"/>
        <v>PP_12</v>
      </c>
      <c r="O19" t="str">
        <f t="shared" si="19"/>
        <v>PP_12</v>
      </c>
      <c r="P19" t="str">
        <f t="shared" si="19"/>
        <v>PP_12</v>
      </c>
    </row>
    <row r="20" spans="4:16" x14ac:dyDescent="0.25">
      <c r="D20" t="str">
        <f t="shared" si="2"/>
        <v>PP_12</v>
      </c>
      <c r="E20" t="str">
        <f t="shared" ref="E20:P20" si="20">D20</f>
        <v>PP_12</v>
      </c>
      <c r="F20" t="str">
        <f t="shared" si="20"/>
        <v>PP_12</v>
      </c>
      <c r="G20" t="str">
        <f t="shared" si="20"/>
        <v>PP_12</v>
      </c>
      <c r="H20" t="str">
        <f t="shared" si="20"/>
        <v>PP_12</v>
      </c>
      <c r="I20" t="str">
        <f t="shared" si="20"/>
        <v>PP_12</v>
      </c>
      <c r="J20" t="str">
        <f t="shared" si="20"/>
        <v>PP_12</v>
      </c>
      <c r="K20" t="str">
        <f t="shared" si="20"/>
        <v>PP_12</v>
      </c>
      <c r="L20" t="str">
        <f t="shared" si="20"/>
        <v>PP_12</v>
      </c>
      <c r="M20" t="str">
        <f t="shared" si="20"/>
        <v>PP_12</v>
      </c>
      <c r="N20" t="str">
        <f t="shared" si="20"/>
        <v>PP_12</v>
      </c>
      <c r="O20" t="str">
        <f t="shared" si="20"/>
        <v>PP_12</v>
      </c>
      <c r="P20" t="str">
        <f t="shared" si="20"/>
        <v>PP_12</v>
      </c>
    </row>
    <row r="21" spans="4:16" x14ac:dyDescent="0.25">
      <c r="D21" t="str">
        <f t="shared" si="2"/>
        <v>PP_12</v>
      </c>
      <c r="E21" t="str">
        <f t="shared" ref="E21:P21" si="21">D21</f>
        <v>PP_12</v>
      </c>
      <c r="F21" t="str">
        <f t="shared" si="21"/>
        <v>PP_12</v>
      </c>
      <c r="G21" t="str">
        <f t="shared" si="21"/>
        <v>PP_12</v>
      </c>
      <c r="H21" t="str">
        <f t="shared" si="21"/>
        <v>PP_12</v>
      </c>
      <c r="I21" t="str">
        <f t="shared" si="21"/>
        <v>PP_12</v>
      </c>
      <c r="J21" t="str">
        <f t="shared" si="21"/>
        <v>PP_12</v>
      </c>
      <c r="K21" t="str">
        <f t="shared" si="21"/>
        <v>PP_12</v>
      </c>
      <c r="L21" t="str">
        <f t="shared" si="21"/>
        <v>PP_12</v>
      </c>
      <c r="M21" t="str">
        <f t="shared" si="21"/>
        <v>PP_12</v>
      </c>
      <c r="N21" t="str">
        <f t="shared" si="21"/>
        <v>PP_12</v>
      </c>
      <c r="O21" t="str">
        <f t="shared" si="21"/>
        <v>PP_12</v>
      </c>
      <c r="P21" t="str">
        <f t="shared" si="21"/>
        <v>PP_12</v>
      </c>
    </row>
    <row r="22" spans="4:16" x14ac:dyDescent="0.25">
      <c r="D22" t="str">
        <f t="shared" si="2"/>
        <v>PP_12</v>
      </c>
      <c r="E22" t="str">
        <f t="shared" ref="E22:P22" si="22">D22</f>
        <v>PP_12</v>
      </c>
      <c r="F22" t="str">
        <f t="shared" si="22"/>
        <v>PP_12</v>
      </c>
      <c r="G22" t="str">
        <f t="shared" si="22"/>
        <v>PP_12</v>
      </c>
      <c r="H22" t="str">
        <f t="shared" si="22"/>
        <v>PP_12</v>
      </c>
      <c r="I22" t="str">
        <f t="shared" si="22"/>
        <v>PP_12</v>
      </c>
      <c r="J22" t="str">
        <f t="shared" si="22"/>
        <v>PP_12</v>
      </c>
      <c r="K22" t="str">
        <f t="shared" si="22"/>
        <v>PP_12</v>
      </c>
      <c r="L22" t="str">
        <f t="shared" si="22"/>
        <v>PP_12</v>
      </c>
      <c r="M22" t="str">
        <f t="shared" si="22"/>
        <v>PP_12</v>
      </c>
      <c r="N22" t="str">
        <f t="shared" si="22"/>
        <v>PP_12</v>
      </c>
      <c r="O22" t="str">
        <f t="shared" si="22"/>
        <v>PP_12</v>
      </c>
      <c r="P22" t="str">
        <f t="shared" si="22"/>
        <v>PP_12</v>
      </c>
    </row>
    <row r="23" spans="4:16" x14ac:dyDescent="0.25">
      <c r="D23" t="str">
        <f t="shared" si="2"/>
        <v>PP_12</v>
      </c>
      <c r="E23" t="str">
        <f t="shared" ref="E23:P23" si="23">D23</f>
        <v>PP_12</v>
      </c>
      <c r="F23" t="str">
        <f t="shared" si="23"/>
        <v>PP_12</v>
      </c>
      <c r="G23" t="str">
        <f t="shared" si="23"/>
        <v>PP_12</v>
      </c>
      <c r="H23" t="str">
        <f t="shared" si="23"/>
        <v>PP_12</v>
      </c>
      <c r="I23" t="str">
        <f t="shared" si="23"/>
        <v>PP_12</v>
      </c>
      <c r="J23" t="str">
        <f t="shared" si="23"/>
        <v>PP_12</v>
      </c>
      <c r="K23" t="str">
        <f t="shared" si="23"/>
        <v>PP_12</v>
      </c>
      <c r="L23" t="str">
        <f t="shared" si="23"/>
        <v>PP_12</v>
      </c>
      <c r="M23" t="str">
        <f t="shared" si="23"/>
        <v>PP_12</v>
      </c>
      <c r="N23" t="str">
        <f t="shared" si="23"/>
        <v>PP_12</v>
      </c>
      <c r="O23" t="str">
        <f t="shared" si="23"/>
        <v>PP_12</v>
      </c>
      <c r="P23" t="str">
        <f t="shared" si="23"/>
        <v>PP_12</v>
      </c>
    </row>
    <row r="24" spans="4:16" x14ac:dyDescent="0.25">
      <c r="D24" t="str">
        <f t="shared" si="2"/>
        <v>PP_12</v>
      </c>
      <c r="E24" t="str">
        <f t="shared" ref="E24:P24" si="24">D24</f>
        <v>PP_12</v>
      </c>
      <c r="F24" t="str">
        <f t="shared" si="24"/>
        <v>PP_12</v>
      </c>
      <c r="G24" t="str">
        <f t="shared" si="24"/>
        <v>PP_12</v>
      </c>
      <c r="H24" t="str">
        <f t="shared" si="24"/>
        <v>PP_12</v>
      </c>
      <c r="I24" t="str">
        <f t="shared" si="24"/>
        <v>PP_12</v>
      </c>
      <c r="J24" t="str">
        <f t="shared" si="24"/>
        <v>PP_12</v>
      </c>
      <c r="K24" t="str">
        <f t="shared" si="24"/>
        <v>PP_12</v>
      </c>
      <c r="L24" t="str">
        <f t="shared" si="24"/>
        <v>PP_12</v>
      </c>
      <c r="M24" t="str">
        <f t="shared" si="24"/>
        <v>PP_12</v>
      </c>
      <c r="N24" t="str">
        <f t="shared" si="24"/>
        <v>PP_12</v>
      </c>
      <c r="O24" t="str">
        <f t="shared" si="24"/>
        <v>PP_12</v>
      </c>
      <c r="P24" t="str">
        <f t="shared" si="24"/>
        <v>PP_12</v>
      </c>
    </row>
    <row r="25" spans="4:16" x14ac:dyDescent="0.25">
      <c r="D25" t="str">
        <f t="shared" si="2"/>
        <v>PP_12</v>
      </c>
      <c r="E25" t="str">
        <f t="shared" ref="E25:P25" si="25">D25</f>
        <v>PP_12</v>
      </c>
      <c r="F25" t="str">
        <f t="shared" si="25"/>
        <v>PP_12</v>
      </c>
      <c r="G25" t="str">
        <f t="shared" si="25"/>
        <v>PP_12</v>
      </c>
      <c r="H25" t="str">
        <f t="shared" si="25"/>
        <v>PP_12</v>
      </c>
      <c r="I25" t="str">
        <f t="shared" si="25"/>
        <v>PP_12</v>
      </c>
      <c r="J25" t="str">
        <f t="shared" si="25"/>
        <v>PP_12</v>
      </c>
      <c r="K25" t="str">
        <f t="shared" si="25"/>
        <v>PP_12</v>
      </c>
      <c r="L25" t="str">
        <f t="shared" si="25"/>
        <v>PP_12</v>
      </c>
      <c r="M25" t="str">
        <f t="shared" si="25"/>
        <v>PP_12</v>
      </c>
      <c r="N25" t="str">
        <f t="shared" si="25"/>
        <v>PP_12</v>
      </c>
      <c r="O25" t="str">
        <f t="shared" si="25"/>
        <v>PP_12</v>
      </c>
      <c r="P25" t="str">
        <f t="shared" si="25"/>
        <v>PP_12</v>
      </c>
    </row>
    <row r="26" spans="4:16" x14ac:dyDescent="0.25">
      <c r="D26" t="str">
        <f t="shared" si="2"/>
        <v>PP_12</v>
      </c>
      <c r="E26" t="str">
        <f t="shared" ref="E26:P26" si="26">D26</f>
        <v>PP_12</v>
      </c>
      <c r="F26" t="str">
        <f t="shared" si="26"/>
        <v>PP_12</v>
      </c>
      <c r="G26" t="str">
        <f t="shared" si="26"/>
        <v>PP_12</v>
      </c>
      <c r="H26" t="str">
        <f t="shared" si="26"/>
        <v>PP_12</v>
      </c>
      <c r="I26" t="str">
        <f t="shared" si="26"/>
        <v>PP_12</v>
      </c>
      <c r="J26" t="str">
        <f t="shared" si="26"/>
        <v>PP_12</v>
      </c>
      <c r="K26" t="str">
        <f t="shared" si="26"/>
        <v>PP_12</v>
      </c>
      <c r="L26" t="str">
        <f t="shared" si="26"/>
        <v>PP_12</v>
      </c>
      <c r="M26" t="str">
        <f t="shared" si="26"/>
        <v>PP_12</v>
      </c>
      <c r="N26" t="str">
        <f t="shared" si="26"/>
        <v>PP_12</v>
      </c>
      <c r="O26" t="str">
        <f t="shared" si="26"/>
        <v>PP_12</v>
      </c>
      <c r="P26" t="str">
        <f t="shared" si="26"/>
        <v>PP_12</v>
      </c>
    </row>
    <row r="27" spans="4:16" x14ac:dyDescent="0.25">
      <c r="D27" t="str">
        <f t="shared" si="2"/>
        <v>PP_12</v>
      </c>
      <c r="E27" t="str">
        <f t="shared" ref="E27:P27" si="27">D27</f>
        <v>PP_12</v>
      </c>
      <c r="F27" t="str">
        <f t="shared" si="27"/>
        <v>PP_12</v>
      </c>
      <c r="G27" t="str">
        <f t="shared" si="27"/>
        <v>PP_12</v>
      </c>
      <c r="H27" t="str">
        <f t="shared" si="27"/>
        <v>PP_12</v>
      </c>
      <c r="I27" t="str">
        <f t="shared" si="27"/>
        <v>PP_12</v>
      </c>
      <c r="J27" t="str">
        <f t="shared" si="27"/>
        <v>PP_12</v>
      </c>
      <c r="K27" t="str">
        <f t="shared" si="27"/>
        <v>PP_12</v>
      </c>
      <c r="L27" t="str">
        <f t="shared" si="27"/>
        <v>PP_12</v>
      </c>
      <c r="M27" t="str">
        <f t="shared" si="27"/>
        <v>PP_12</v>
      </c>
      <c r="N27" t="str">
        <f t="shared" si="27"/>
        <v>PP_12</v>
      </c>
      <c r="O27" t="str">
        <f t="shared" si="27"/>
        <v>PP_12</v>
      </c>
      <c r="P27" t="str">
        <f t="shared" si="27"/>
        <v>PP_12</v>
      </c>
    </row>
    <row r="28" spans="4:16" x14ac:dyDescent="0.25">
      <c r="D28" t="str">
        <f t="shared" si="2"/>
        <v>PP_12</v>
      </c>
      <c r="E28" t="str">
        <f t="shared" ref="E28:P28" si="28">D28</f>
        <v>PP_12</v>
      </c>
      <c r="F28" t="str">
        <f t="shared" si="28"/>
        <v>PP_12</v>
      </c>
      <c r="G28" t="str">
        <f t="shared" si="28"/>
        <v>PP_12</v>
      </c>
      <c r="H28" t="str">
        <f t="shared" si="28"/>
        <v>PP_12</v>
      </c>
      <c r="I28" t="str">
        <f t="shared" si="28"/>
        <v>PP_12</v>
      </c>
      <c r="J28" t="str">
        <f t="shared" si="28"/>
        <v>PP_12</v>
      </c>
      <c r="K28" t="str">
        <f t="shared" si="28"/>
        <v>PP_12</v>
      </c>
      <c r="L28" t="str">
        <f t="shared" si="28"/>
        <v>PP_12</v>
      </c>
      <c r="M28" t="str">
        <f t="shared" si="28"/>
        <v>PP_12</v>
      </c>
      <c r="N28" t="str">
        <f t="shared" si="28"/>
        <v>PP_12</v>
      </c>
      <c r="O28" t="str">
        <f t="shared" si="28"/>
        <v>PP_12</v>
      </c>
      <c r="P28" t="str">
        <f t="shared" si="28"/>
        <v>PP_12</v>
      </c>
    </row>
    <row r="29" spans="4:16" x14ac:dyDescent="0.25">
      <c r="D29" t="str">
        <f t="shared" si="2"/>
        <v>PP_12</v>
      </c>
      <c r="E29" t="str">
        <f t="shared" ref="E29:P29" si="29">D29</f>
        <v>PP_12</v>
      </c>
      <c r="F29" t="str">
        <f t="shared" si="29"/>
        <v>PP_12</v>
      </c>
      <c r="G29" t="str">
        <f t="shared" si="29"/>
        <v>PP_12</v>
      </c>
      <c r="H29" t="str">
        <f t="shared" si="29"/>
        <v>PP_12</v>
      </c>
      <c r="I29" t="str">
        <f t="shared" si="29"/>
        <v>PP_12</v>
      </c>
      <c r="J29" t="str">
        <f t="shared" si="29"/>
        <v>PP_12</v>
      </c>
      <c r="K29" t="str">
        <f t="shared" si="29"/>
        <v>PP_12</v>
      </c>
      <c r="L29" t="str">
        <f t="shared" si="29"/>
        <v>PP_12</v>
      </c>
      <c r="M29" t="str">
        <f t="shared" si="29"/>
        <v>PP_12</v>
      </c>
      <c r="N29" t="str">
        <f t="shared" si="29"/>
        <v>PP_12</v>
      </c>
      <c r="O29" t="str">
        <f t="shared" si="29"/>
        <v>PP_12</v>
      </c>
      <c r="P29" t="str">
        <f t="shared" si="29"/>
        <v>PP_12</v>
      </c>
    </row>
    <row r="30" spans="4:16" x14ac:dyDescent="0.25">
      <c r="D30" t="str">
        <f t="shared" si="2"/>
        <v>PP_12</v>
      </c>
      <c r="E30" t="str">
        <f t="shared" ref="E30:P30" si="30">D30</f>
        <v>PP_12</v>
      </c>
      <c r="F30" t="str">
        <f t="shared" si="30"/>
        <v>PP_12</v>
      </c>
      <c r="G30" t="str">
        <f t="shared" si="30"/>
        <v>PP_12</v>
      </c>
      <c r="H30" t="str">
        <f t="shared" si="30"/>
        <v>PP_12</v>
      </c>
      <c r="I30" t="str">
        <f t="shared" si="30"/>
        <v>PP_12</v>
      </c>
      <c r="J30" t="str">
        <f t="shared" si="30"/>
        <v>PP_12</v>
      </c>
      <c r="K30" t="str">
        <f t="shared" si="30"/>
        <v>PP_12</v>
      </c>
      <c r="L30" t="str">
        <f t="shared" si="30"/>
        <v>PP_12</v>
      </c>
      <c r="M30" t="str">
        <f t="shared" si="30"/>
        <v>PP_12</v>
      </c>
      <c r="N30" t="str">
        <f t="shared" si="30"/>
        <v>PP_12</v>
      </c>
      <c r="O30" t="str">
        <f t="shared" si="30"/>
        <v>PP_12</v>
      </c>
      <c r="P30" t="str">
        <f t="shared" si="30"/>
        <v>PP_12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145</v>
      </c>
      <c r="E1" t="str">
        <f>D1</f>
        <v>PP_13</v>
      </c>
      <c r="F1" t="str">
        <f t="shared" ref="F1:P1" si="0">E1</f>
        <v>PP_13</v>
      </c>
      <c r="G1" t="str">
        <f t="shared" si="0"/>
        <v>PP_13</v>
      </c>
      <c r="H1" t="str">
        <f t="shared" si="0"/>
        <v>PP_13</v>
      </c>
      <c r="I1" t="str">
        <f t="shared" si="0"/>
        <v>PP_13</v>
      </c>
      <c r="J1" t="str">
        <f t="shared" si="0"/>
        <v>PP_13</v>
      </c>
      <c r="K1" t="str">
        <f t="shared" si="0"/>
        <v>PP_13</v>
      </c>
      <c r="L1" t="str">
        <f t="shared" si="0"/>
        <v>PP_13</v>
      </c>
      <c r="M1" t="str">
        <f t="shared" si="0"/>
        <v>PP_13</v>
      </c>
      <c r="N1" t="str">
        <f t="shared" si="0"/>
        <v>PP_13</v>
      </c>
      <c r="O1" t="str">
        <f t="shared" si="0"/>
        <v>PP_13</v>
      </c>
      <c r="P1" t="str">
        <f t="shared" si="0"/>
        <v>PP_13</v>
      </c>
    </row>
    <row r="2" spans="1:16" x14ac:dyDescent="0.25">
      <c r="A2" s="106" t="s">
        <v>177</v>
      </c>
      <c r="B2" s="107" t="s">
        <v>196</v>
      </c>
      <c r="D2" t="str">
        <f>D1</f>
        <v>PP_13</v>
      </c>
      <c r="E2" t="str">
        <f t="shared" ref="E2:P2" si="1">D2</f>
        <v>PP_13</v>
      </c>
      <c r="F2" t="str">
        <f t="shared" si="1"/>
        <v>PP_13</v>
      </c>
      <c r="G2" t="str">
        <f t="shared" si="1"/>
        <v>PP_13</v>
      </c>
      <c r="H2" t="str">
        <f t="shared" si="1"/>
        <v>PP_13</v>
      </c>
      <c r="I2" t="str">
        <f t="shared" si="1"/>
        <v>PP_13</v>
      </c>
      <c r="J2" t="str">
        <f t="shared" si="1"/>
        <v>PP_13</v>
      </c>
      <c r="K2" t="str">
        <f t="shared" si="1"/>
        <v>PP_13</v>
      </c>
      <c r="L2" t="str">
        <f t="shared" si="1"/>
        <v>PP_13</v>
      </c>
      <c r="M2" t="str">
        <f t="shared" si="1"/>
        <v>PP_13</v>
      </c>
      <c r="N2" t="str">
        <f t="shared" si="1"/>
        <v>PP_13</v>
      </c>
      <c r="O2" t="str">
        <f t="shared" si="1"/>
        <v>PP_13</v>
      </c>
      <c r="P2" t="str">
        <f t="shared" si="1"/>
        <v>PP_13</v>
      </c>
    </row>
    <row r="3" spans="1:16" x14ac:dyDescent="0.25">
      <c r="A3" s="74"/>
      <c r="B3" s="70"/>
      <c r="D3" t="str">
        <f t="shared" ref="D3:D30" si="2">D2</f>
        <v>PP_13</v>
      </c>
      <c r="E3" t="str">
        <f t="shared" ref="E3:P3" si="3">D3</f>
        <v>PP_13</v>
      </c>
      <c r="F3" t="str">
        <f t="shared" si="3"/>
        <v>PP_13</v>
      </c>
      <c r="G3" t="str">
        <f t="shared" si="3"/>
        <v>PP_13</v>
      </c>
      <c r="H3" t="str">
        <f t="shared" si="3"/>
        <v>PP_13</v>
      </c>
      <c r="I3" t="str">
        <f t="shared" si="3"/>
        <v>PP_13</v>
      </c>
      <c r="J3" t="str">
        <f t="shared" si="3"/>
        <v>PP_13</v>
      </c>
      <c r="K3" t="str">
        <f t="shared" si="3"/>
        <v>PP_13</v>
      </c>
      <c r="L3" t="str">
        <f t="shared" si="3"/>
        <v>PP_13</v>
      </c>
      <c r="M3" t="str">
        <f t="shared" si="3"/>
        <v>PP_13</v>
      </c>
      <c r="N3" t="str">
        <f t="shared" si="3"/>
        <v>PP_13</v>
      </c>
      <c r="O3" t="str">
        <f t="shared" si="3"/>
        <v>PP_13</v>
      </c>
      <c r="P3" t="str">
        <f t="shared" si="3"/>
        <v>PP_13</v>
      </c>
    </row>
    <row r="4" spans="1:16" x14ac:dyDescent="0.25">
      <c r="A4" s="75"/>
      <c r="B4" s="76"/>
      <c r="D4" t="str">
        <f t="shared" si="2"/>
        <v>PP_13</v>
      </c>
      <c r="E4" t="str">
        <f t="shared" ref="E4:P4" si="4">D4</f>
        <v>PP_13</v>
      </c>
      <c r="F4" t="str">
        <f t="shared" si="4"/>
        <v>PP_13</v>
      </c>
      <c r="G4" t="str">
        <f t="shared" si="4"/>
        <v>PP_13</v>
      </c>
      <c r="H4" t="str">
        <f t="shared" si="4"/>
        <v>PP_13</v>
      </c>
      <c r="I4" t="str">
        <f t="shared" si="4"/>
        <v>PP_13</v>
      </c>
      <c r="J4" t="str">
        <f t="shared" si="4"/>
        <v>PP_13</v>
      </c>
      <c r="K4" t="str">
        <f t="shared" si="4"/>
        <v>PP_13</v>
      </c>
      <c r="L4" t="str">
        <f t="shared" si="4"/>
        <v>PP_13</v>
      </c>
      <c r="M4" t="str">
        <f t="shared" si="4"/>
        <v>PP_13</v>
      </c>
      <c r="N4" t="str">
        <f t="shared" si="4"/>
        <v>PP_13</v>
      </c>
      <c r="O4" t="str">
        <f t="shared" si="4"/>
        <v>PP_13</v>
      </c>
      <c r="P4" t="str">
        <f t="shared" si="4"/>
        <v>PP_13</v>
      </c>
    </row>
    <row r="5" spans="1:16" x14ac:dyDescent="0.25">
      <c r="A5" s="74"/>
      <c r="B5" s="70"/>
      <c r="D5" t="str">
        <f t="shared" si="2"/>
        <v>PP_13</v>
      </c>
      <c r="E5" t="str">
        <f t="shared" ref="E5:P5" si="5">D5</f>
        <v>PP_13</v>
      </c>
      <c r="F5" t="str">
        <f t="shared" si="5"/>
        <v>PP_13</v>
      </c>
      <c r="G5" t="str">
        <f t="shared" si="5"/>
        <v>PP_13</v>
      </c>
      <c r="H5" t="str">
        <f t="shared" si="5"/>
        <v>PP_13</v>
      </c>
      <c r="I5" t="str">
        <f t="shared" si="5"/>
        <v>PP_13</v>
      </c>
      <c r="J5" t="str">
        <f t="shared" si="5"/>
        <v>PP_13</v>
      </c>
      <c r="K5" t="str">
        <f t="shared" si="5"/>
        <v>PP_13</v>
      </c>
      <c r="L5" t="str">
        <f t="shared" si="5"/>
        <v>PP_13</v>
      </c>
      <c r="M5" t="str">
        <f t="shared" si="5"/>
        <v>PP_13</v>
      </c>
      <c r="N5" t="str">
        <f t="shared" si="5"/>
        <v>PP_13</v>
      </c>
      <c r="O5" t="str">
        <f t="shared" si="5"/>
        <v>PP_13</v>
      </c>
      <c r="P5" t="str">
        <f t="shared" si="5"/>
        <v>PP_13</v>
      </c>
    </row>
    <row r="6" spans="1:16" x14ac:dyDescent="0.25">
      <c r="A6" s="74"/>
      <c r="B6" s="70"/>
      <c r="D6" t="str">
        <f t="shared" si="2"/>
        <v>PP_13</v>
      </c>
      <c r="E6" t="str">
        <f t="shared" ref="E6:P6" si="6">D6</f>
        <v>PP_13</v>
      </c>
      <c r="F6" t="str">
        <f t="shared" si="6"/>
        <v>PP_13</v>
      </c>
      <c r="G6" t="str">
        <f t="shared" si="6"/>
        <v>PP_13</v>
      </c>
      <c r="H6" t="str">
        <f t="shared" si="6"/>
        <v>PP_13</v>
      </c>
      <c r="I6" t="str">
        <f t="shared" si="6"/>
        <v>PP_13</v>
      </c>
      <c r="J6" t="str">
        <f t="shared" si="6"/>
        <v>PP_13</v>
      </c>
      <c r="K6" t="str">
        <f t="shared" si="6"/>
        <v>PP_13</v>
      </c>
      <c r="L6" t="str">
        <f t="shared" si="6"/>
        <v>PP_13</v>
      </c>
      <c r="M6" t="str">
        <f t="shared" si="6"/>
        <v>PP_13</v>
      </c>
      <c r="N6" t="str">
        <f t="shared" si="6"/>
        <v>PP_13</v>
      </c>
      <c r="O6" t="str">
        <f t="shared" si="6"/>
        <v>PP_13</v>
      </c>
      <c r="P6" t="str">
        <f t="shared" si="6"/>
        <v>PP_13</v>
      </c>
    </row>
    <row r="7" spans="1:16" x14ac:dyDescent="0.25">
      <c r="D7" t="str">
        <f t="shared" si="2"/>
        <v>PP_13</v>
      </c>
      <c r="E7" t="str">
        <f t="shared" ref="E7:P7" si="7">D7</f>
        <v>PP_13</v>
      </c>
      <c r="F7" t="str">
        <f t="shared" si="7"/>
        <v>PP_13</v>
      </c>
      <c r="G7" t="str">
        <f t="shared" si="7"/>
        <v>PP_13</v>
      </c>
      <c r="H7" t="str">
        <f t="shared" si="7"/>
        <v>PP_13</v>
      </c>
      <c r="I7" t="str">
        <f t="shared" si="7"/>
        <v>PP_13</v>
      </c>
      <c r="J7" t="str">
        <f t="shared" si="7"/>
        <v>PP_13</v>
      </c>
      <c r="K7" t="str">
        <f t="shared" si="7"/>
        <v>PP_13</v>
      </c>
      <c r="L7" t="str">
        <f t="shared" si="7"/>
        <v>PP_13</v>
      </c>
      <c r="M7" t="str">
        <f t="shared" si="7"/>
        <v>PP_13</v>
      </c>
      <c r="N7" t="str">
        <f t="shared" si="7"/>
        <v>PP_13</v>
      </c>
      <c r="O7" t="str">
        <f t="shared" si="7"/>
        <v>PP_13</v>
      </c>
      <c r="P7" t="str">
        <f t="shared" si="7"/>
        <v>PP_13</v>
      </c>
    </row>
    <row r="8" spans="1:16" x14ac:dyDescent="0.25">
      <c r="D8" t="str">
        <f t="shared" si="2"/>
        <v>PP_13</v>
      </c>
      <c r="E8" t="str">
        <f t="shared" ref="E8:P8" si="8">D8</f>
        <v>PP_13</v>
      </c>
      <c r="F8" t="str">
        <f t="shared" si="8"/>
        <v>PP_13</v>
      </c>
      <c r="G8" t="str">
        <f t="shared" si="8"/>
        <v>PP_13</v>
      </c>
      <c r="H8" t="str">
        <f t="shared" si="8"/>
        <v>PP_13</v>
      </c>
      <c r="I8" t="str">
        <f t="shared" si="8"/>
        <v>PP_13</v>
      </c>
      <c r="J8" t="str">
        <f t="shared" si="8"/>
        <v>PP_13</v>
      </c>
      <c r="K8" t="str">
        <f t="shared" si="8"/>
        <v>PP_13</v>
      </c>
      <c r="L8" t="str">
        <f t="shared" si="8"/>
        <v>PP_13</v>
      </c>
      <c r="M8" t="str">
        <f t="shared" si="8"/>
        <v>PP_13</v>
      </c>
      <c r="N8" t="str">
        <f t="shared" si="8"/>
        <v>PP_13</v>
      </c>
      <c r="O8" t="str">
        <f t="shared" si="8"/>
        <v>PP_13</v>
      </c>
      <c r="P8" t="str">
        <f t="shared" si="8"/>
        <v>PP_13</v>
      </c>
    </row>
    <row r="9" spans="1:16" x14ac:dyDescent="0.25">
      <c r="D9" t="str">
        <f t="shared" si="2"/>
        <v>PP_13</v>
      </c>
      <c r="E9" t="str">
        <f t="shared" ref="E9:P9" si="9">D9</f>
        <v>PP_13</v>
      </c>
      <c r="F9" t="str">
        <f t="shared" si="9"/>
        <v>PP_13</v>
      </c>
      <c r="G9" t="str">
        <f t="shared" si="9"/>
        <v>PP_13</v>
      </c>
      <c r="H9" t="str">
        <f t="shared" si="9"/>
        <v>PP_13</v>
      </c>
      <c r="I9" t="str">
        <f t="shared" si="9"/>
        <v>PP_13</v>
      </c>
      <c r="J9" t="str">
        <f t="shared" si="9"/>
        <v>PP_13</v>
      </c>
      <c r="K9" t="str">
        <f t="shared" si="9"/>
        <v>PP_13</v>
      </c>
      <c r="L9" t="str">
        <f t="shared" si="9"/>
        <v>PP_13</v>
      </c>
      <c r="M9" t="str">
        <f t="shared" si="9"/>
        <v>PP_13</v>
      </c>
      <c r="N9" t="str">
        <f t="shared" si="9"/>
        <v>PP_13</v>
      </c>
      <c r="O9" t="str">
        <f t="shared" si="9"/>
        <v>PP_13</v>
      </c>
      <c r="P9" t="str">
        <f t="shared" si="9"/>
        <v>PP_13</v>
      </c>
    </row>
    <row r="10" spans="1:16" x14ac:dyDescent="0.25">
      <c r="D10" t="str">
        <f t="shared" si="2"/>
        <v>PP_13</v>
      </c>
      <c r="E10" t="str">
        <f t="shared" ref="E10:P10" si="10">D10</f>
        <v>PP_13</v>
      </c>
      <c r="F10" t="str">
        <f t="shared" si="10"/>
        <v>PP_13</v>
      </c>
      <c r="G10" t="str">
        <f t="shared" si="10"/>
        <v>PP_13</v>
      </c>
      <c r="H10" t="str">
        <f t="shared" si="10"/>
        <v>PP_13</v>
      </c>
      <c r="I10" t="str">
        <f t="shared" si="10"/>
        <v>PP_13</v>
      </c>
      <c r="J10" t="str">
        <f t="shared" si="10"/>
        <v>PP_13</v>
      </c>
      <c r="K10" t="str">
        <f t="shared" si="10"/>
        <v>PP_13</v>
      </c>
      <c r="L10" t="str">
        <f t="shared" si="10"/>
        <v>PP_13</v>
      </c>
      <c r="M10" t="str">
        <f t="shared" si="10"/>
        <v>PP_13</v>
      </c>
      <c r="N10" t="str">
        <f t="shared" si="10"/>
        <v>PP_13</v>
      </c>
      <c r="O10" t="str">
        <f t="shared" si="10"/>
        <v>PP_13</v>
      </c>
      <c r="P10" t="str">
        <f t="shared" si="10"/>
        <v>PP_13</v>
      </c>
    </row>
    <row r="11" spans="1:16" x14ac:dyDescent="0.25">
      <c r="D11" t="str">
        <f t="shared" si="2"/>
        <v>PP_13</v>
      </c>
      <c r="E11" t="str">
        <f t="shared" ref="E11:P11" si="11">D11</f>
        <v>PP_13</v>
      </c>
      <c r="F11" t="str">
        <f t="shared" si="11"/>
        <v>PP_13</v>
      </c>
      <c r="G11" t="str">
        <f t="shared" si="11"/>
        <v>PP_13</v>
      </c>
      <c r="H11" t="str">
        <f t="shared" si="11"/>
        <v>PP_13</v>
      </c>
      <c r="I11" t="str">
        <f t="shared" si="11"/>
        <v>PP_13</v>
      </c>
      <c r="J11" t="str">
        <f t="shared" si="11"/>
        <v>PP_13</v>
      </c>
      <c r="K11" t="str">
        <f t="shared" si="11"/>
        <v>PP_13</v>
      </c>
      <c r="L11" t="str">
        <f t="shared" si="11"/>
        <v>PP_13</v>
      </c>
      <c r="M11" t="str">
        <f t="shared" si="11"/>
        <v>PP_13</v>
      </c>
      <c r="N11" t="str">
        <f t="shared" si="11"/>
        <v>PP_13</v>
      </c>
      <c r="O11" t="str">
        <f t="shared" si="11"/>
        <v>PP_13</v>
      </c>
      <c r="P11" t="str">
        <f t="shared" si="11"/>
        <v>PP_13</v>
      </c>
    </row>
    <row r="12" spans="1:16" x14ac:dyDescent="0.25">
      <c r="D12" t="str">
        <f t="shared" si="2"/>
        <v>PP_13</v>
      </c>
      <c r="E12" t="str">
        <f t="shared" ref="E12:P12" si="12">D12</f>
        <v>PP_13</v>
      </c>
      <c r="F12" t="str">
        <f t="shared" si="12"/>
        <v>PP_13</v>
      </c>
      <c r="G12" t="str">
        <f t="shared" si="12"/>
        <v>PP_13</v>
      </c>
      <c r="H12" t="str">
        <f t="shared" si="12"/>
        <v>PP_13</v>
      </c>
      <c r="I12" t="str">
        <f t="shared" si="12"/>
        <v>PP_13</v>
      </c>
      <c r="J12" t="str">
        <f t="shared" si="12"/>
        <v>PP_13</v>
      </c>
      <c r="K12" t="str">
        <f t="shared" si="12"/>
        <v>PP_13</v>
      </c>
      <c r="L12" t="str">
        <f t="shared" si="12"/>
        <v>PP_13</v>
      </c>
      <c r="M12" t="str">
        <f t="shared" si="12"/>
        <v>PP_13</v>
      </c>
      <c r="N12" t="str">
        <f t="shared" si="12"/>
        <v>PP_13</v>
      </c>
      <c r="O12" t="str">
        <f t="shared" si="12"/>
        <v>PP_13</v>
      </c>
      <c r="P12" t="str">
        <f t="shared" si="12"/>
        <v>PP_13</v>
      </c>
    </row>
    <row r="13" spans="1:16" x14ac:dyDescent="0.25">
      <c r="D13" t="str">
        <f t="shared" si="2"/>
        <v>PP_13</v>
      </c>
      <c r="E13" t="str">
        <f t="shared" ref="E13:P13" si="13">D13</f>
        <v>PP_13</v>
      </c>
      <c r="F13" t="str">
        <f t="shared" si="13"/>
        <v>PP_13</v>
      </c>
      <c r="G13" t="str">
        <f t="shared" si="13"/>
        <v>PP_13</v>
      </c>
      <c r="H13" t="str">
        <f t="shared" si="13"/>
        <v>PP_13</v>
      </c>
      <c r="I13" t="str">
        <f t="shared" si="13"/>
        <v>PP_13</v>
      </c>
      <c r="J13" t="str">
        <f t="shared" si="13"/>
        <v>PP_13</v>
      </c>
      <c r="K13" t="str">
        <f t="shared" si="13"/>
        <v>PP_13</v>
      </c>
      <c r="L13" t="str">
        <f t="shared" si="13"/>
        <v>PP_13</v>
      </c>
      <c r="M13" t="str">
        <f t="shared" si="13"/>
        <v>PP_13</v>
      </c>
      <c r="N13" t="str">
        <f t="shared" si="13"/>
        <v>PP_13</v>
      </c>
      <c r="O13" t="str">
        <f t="shared" si="13"/>
        <v>PP_13</v>
      </c>
      <c r="P13" t="str">
        <f t="shared" si="13"/>
        <v>PP_13</v>
      </c>
    </row>
    <row r="14" spans="1:16" x14ac:dyDescent="0.25">
      <c r="D14" t="str">
        <f t="shared" si="2"/>
        <v>PP_13</v>
      </c>
      <c r="E14" t="str">
        <f t="shared" ref="E14:P14" si="14">D14</f>
        <v>PP_13</v>
      </c>
      <c r="F14" t="str">
        <f t="shared" si="14"/>
        <v>PP_13</v>
      </c>
      <c r="G14" t="str">
        <f t="shared" si="14"/>
        <v>PP_13</v>
      </c>
      <c r="H14" t="str">
        <f t="shared" si="14"/>
        <v>PP_13</v>
      </c>
      <c r="I14" t="str">
        <f t="shared" si="14"/>
        <v>PP_13</v>
      </c>
      <c r="J14" t="str">
        <f t="shared" si="14"/>
        <v>PP_13</v>
      </c>
      <c r="K14" t="str">
        <f t="shared" si="14"/>
        <v>PP_13</v>
      </c>
      <c r="L14" t="str">
        <f t="shared" si="14"/>
        <v>PP_13</v>
      </c>
      <c r="M14" t="str">
        <f t="shared" si="14"/>
        <v>PP_13</v>
      </c>
      <c r="N14" t="str">
        <f t="shared" si="14"/>
        <v>PP_13</v>
      </c>
      <c r="O14" t="str">
        <f t="shared" si="14"/>
        <v>PP_13</v>
      </c>
      <c r="P14" t="str">
        <f t="shared" si="14"/>
        <v>PP_13</v>
      </c>
    </row>
    <row r="15" spans="1:16" x14ac:dyDescent="0.25">
      <c r="D15" t="str">
        <f t="shared" si="2"/>
        <v>PP_13</v>
      </c>
      <c r="E15" t="str">
        <f t="shared" ref="E15:P15" si="15">D15</f>
        <v>PP_13</v>
      </c>
      <c r="F15" t="str">
        <f t="shared" si="15"/>
        <v>PP_13</v>
      </c>
      <c r="G15" t="str">
        <f t="shared" si="15"/>
        <v>PP_13</v>
      </c>
      <c r="H15" t="str">
        <f t="shared" si="15"/>
        <v>PP_13</v>
      </c>
      <c r="I15" t="str">
        <f t="shared" si="15"/>
        <v>PP_13</v>
      </c>
      <c r="J15" t="str">
        <f t="shared" si="15"/>
        <v>PP_13</v>
      </c>
      <c r="K15" t="str">
        <f t="shared" si="15"/>
        <v>PP_13</v>
      </c>
      <c r="L15" t="str">
        <f t="shared" si="15"/>
        <v>PP_13</v>
      </c>
      <c r="M15" t="str">
        <f t="shared" si="15"/>
        <v>PP_13</v>
      </c>
      <c r="N15" t="str">
        <f t="shared" si="15"/>
        <v>PP_13</v>
      </c>
      <c r="O15" t="str">
        <f t="shared" si="15"/>
        <v>PP_13</v>
      </c>
      <c r="P15" t="str">
        <f t="shared" si="15"/>
        <v>PP_13</v>
      </c>
    </row>
    <row r="16" spans="1:16" x14ac:dyDescent="0.25">
      <c r="D16" t="str">
        <f t="shared" si="2"/>
        <v>PP_13</v>
      </c>
      <c r="E16" t="str">
        <f t="shared" ref="E16:P16" si="16">D16</f>
        <v>PP_13</v>
      </c>
      <c r="F16" t="str">
        <f t="shared" si="16"/>
        <v>PP_13</v>
      </c>
      <c r="G16" t="str">
        <f t="shared" si="16"/>
        <v>PP_13</v>
      </c>
      <c r="H16" t="str">
        <f t="shared" si="16"/>
        <v>PP_13</v>
      </c>
      <c r="I16" t="str">
        <f t="shared" si="16"/>
        <v>PP_13</v>
      </c>
      <c r="J16" t="str">
        <f t="shared" si="16"/>
        <v>PP_13</v>
      </c>
      <c r="K16" t="str">
        <f t="shared" si="16"/>
        <v>PP_13</v>
      </c>
      <c r="L16" t="str">
        <f t="shared" si="16"/>
        <v>PP_13</v>
      </c>
      <c r="M16" t="str">
        <f t="shared" si="16"/>
        <v>PP_13</v>
      </c>
      <c r="N16" t="str">
        <f t="shared" si="16"/>
        <v>PP_13</v>
      </c>
      <c r="O16" t="str">
        <f t="shared" si="16"/>
        <v>PP_13</v>
      </c>
      <c r="P16" t="str">
        <f t="shared" si="16"/>
        <v>PP_13</v>
      </c>
    </row>
    <row r="17" spans="4:16" x14ac:dyDescent="0.25">
      <c r="D17" t="str">
        <f t="shared" si="2"/>
        <v>PP_13</v>
      </c>
      <c r="E17" t="str">
        <f t="shared" ref="E17:P17" si="17">D17</f>
        <v>PP_13</v>
      </c>
      <c r="F17" t="str">
        <f t="shared" si="17"/>
        <v>PP_13</v>
      </c>
      <c r="G17" t="str">
        <f t="shared" si="17"/>
        <v>PP_13</v>
      </c>
      <c r="H17" t="str">
        <f t="shared" si="17"/>
        <v>PP_13</v>
      </c>
      <c r="I17" t="str">
        <f t="shared" si="17"/>
        <v>PP_13</v>
      </c>
      <c r="J17" t="str">
        <f t="shared" si="17"/>
        <v>PP_13</v>
      </c>
      <c r="K17" t="str">
        <f t="shared" si="17"/>
        <v>PP_13</v>
      </c>
      <c r="L17" t="str">
        <f t="shared" si="17"/>
        <v>PP_13</v>
      </c>
      <c r="M17" t="str">
        <f t="shared" si="17"/>
        <v>PP_13</v>
      </c>
      <c r="N17" t="str">
        <f t="shared" si="17"/>
        <v>PP_13</v>
      </c>
      <c r="O17" t="str">
        <f t="shared" si="17"/>
        <v>PP_13</v>
      </c>
      <c r="P17" t="str">
        <f t="shared" si="17"/>
        <v>PP_13</v>
      </c>
    </row>
    <row r="18" spans="4:16" x14ac:dyDescent="0.25">
      <c r="D18" t="str">
        <f t="shared" si="2"/>
        <v>PP_13</v>
      </c>
      <c r="E18" t="str">
        <f t="shared" ref="E18:P18" si="18">D18</f>
        <v>PP_13</v>
      </c>
      <c r="F18" t="str">
        <f t="shared" si="18"/>
        <v>PP_13</v>
      </c>
      <c r="G18" t="str">
        <f t="shared" si="18"/>
        <v>PP_13</v>
      </c>
      <c r="H18" t="str">
        <f t="shared" si="18"/>
        <v>PP_13</v>
      </c>
      <c r="I18" t="str">
        <f t="shared" si="18"/>
        <v>PP_13</v>
      </c>
      <c r="J18" t="str">
        <f t="shared" si="18"/>
        <v>PP_13</v>
      </c>
      <c r="K18" t="str">
        <f t="shared" si="18"/>
        <v>PP_13</v>
      </c>
      <c r="L18" t="str">
        <f t="shared" si="18"/>
        <v>PP_13</v>
      </c>
      <c r="M18" t="str">
        <f t="shared" si="18"/>
        <v>PP_13</v>
      </c>
      <c r="N18" t="str">
        <f t="shared" si="18"/>
        <v>PP_13</v>
      </c>
      <c r="O18" t="str">
        <f t="shared" si="18"/>
        <v>PP_13</v>
      </c>
      <c r="P18" t="str">
        <f t="shared" si="18"/>
        <v>PP_13</v>
      </c>
    </row>
    <row r="19" spans="4:16" x14ac:dyDescent="0.25">
      <c r="D19" t="str">
        <f t="shared" si="2"/>
        <v>PP_13</v>
      </c>
      <c r="E19" t="str">
        <f t="shared" ref="E19:P19" si="19">D19</f>
        <v>PP_13</v>
      </c>
      <c r="F19" t="str">
        <f t="shared" si="19"/>
        <v>PP_13</v>
      </c>
      <c r="G19" t="str">
        <f t="shared" si="19"/>
        <v>PP_13</v>
      </c>
      <c r="H19" t="str">
        <f t="shared" si="19"/>
        <v>PP_13</v>
      </c>
      <c r="I19" t="str">
        <f t="shared" si="19"/>
        <v>PP_13</v>
      </c>
      <c r="J19" t="str">
        <f t="shared" si="19"/>
        <v>PP_13</v>
      </c>
      <c r="K19" t="str">
        <f t="shared" si="19"/>
        <v>PP_13</v>
      </c>
      <c r="L19" t="str">
        <f t="shared" si="19"/>
        <v>PP_13</v>
      </c>
      <c r="M19" t="str">
        <f t="shared" si="19"/>
        <v>PP_13</v>
      </c>
      <c r="N19" t="str">
        <f t="shared" si="19"/>
        <v>PP_13</v>
      </c>
      <c r="O19" t="str">
        <f t="shared" si="19"/>
        <v>PP_13</v>
      </c>
      <c r="P19" t="str">
        <f t="shared" si="19"/>
        <v>PP_13</v>
      </c>
    </row>
    <row r="20" spans="4:16" x14ac:dyDescent="0.25">
      <c r="D20" t="str">
        <f t="shared" si="2"/>
        <v>PP_13</v>
      </c>
      <c r="E20" t="str">
        <f t="shared" ref="E20:P20" si="20">D20</f>
        <v>PP_13</v>
      </c>
      <c r="F20" t="str">
        <f t="shared" si="20"/>
        <v>PP_13</v>
      </c>
      <c r="G20" t="str">
        <f t="shared" si="20"/>
        <v>PP_13</v>
      </c>
      <c r="H20" t="str">
        <f t="shared" si="20"/>
        <v>PP_13</v>
      </c>
      <c r="I20" t="str">
        <f t="shared" si="20"/>
        <v>PP_13</v>
      </c>
      <c r="J20" t="str">
        <f t="shared" si="20"/>
        <v>PP_13</v>
      </c>
      <c r="K20" t="str">
        <f t="shared" si="20"/>
        <v>PP_13</v>
      </c>
      <c r="L20" t="str">
        <f t="shared" si="20"/>
        <v>PP_13</v>
      </c>
      <c r="M20" t="str">
        <f t="shared" si="20"/>
        <v>PP_13</v>
      </c>
      <c r="N20" t="str">
        <f t="shared" si="20"/>
        <v>PP_13</v>
      </c>
      <c r="O20" t="str">
        <f t="shared" si="20"/>
        <v>PP_13</v>
      </c>
      <c r="P20" t="str">
        <f t="shared" si="20"/>
        <v>PP_13</v>
      </c>
    </row>
    <row r="21" spans="4:16" x14ac:dyDescent="0.25">
      <c r="D21" t="str">
        <f t="shared" si="2"/>
        <v>PP_13</v>
      </c>
      <c r="E21" t="str">
        <f t="shared" ref="E21:P21" si="21">D21</f>
        <v>PP_13</v>
      </c>
      <c r="F21" t="str">
        <f t="shared" si="21"/>
        <v>PP_13</v>
      </c>
      <c r="G21" t="str">
        <f t="shared" si="21"/>
        <v>PP_13</v>
      </c>
      <c r="H21" t="str">
        <f t="shared" si="21"/>
        <v>PP_13</v>
      </c>
      <c r="I21" t="str">
        <f t="shared" si="21"/>
        <v>PP_13</v>
      </c>
      <c r="J21" t="str">
        <f t="shared" si="21"/>
        <v>PP_13</v>
      </c>
      <c r="K21" t="str">
        <f t="shared" si="21"/>
        <v>PP_13</v>
      </c>
      <c r="L21" t="str">
        <f t="shared" si="21"/>
        <v>PP_13</v>
      </c>
      <c r="M21" t="str">
        <f t="shared" si="21"/>
        <v>PP_13</v>
      </c>
      <c r="N21" t="str">
        <f t="shared" si="21"/>
        <v>PP_13</v>
      </c>
      <c r="O21" t="str">
        <f t="shared" si="21"/>
        <v>PP_13</v>
      </c>
      <c r="P21" t="str">
        <f t="shared" si="21"/>
        <v>PP_13</v>
      </c>
    </row>
    <row r="22" spans="4:16" x14ac:dyDescent="0.25">
      <c r="D22" t="str">
        <f t="shared" si="2"/>
        <v>PP_13</v>
      </c>
      <c r="E22" t="str">
        <f t="shared" ref="E22:P22" si="22">D22</f>
        <v>PP_13</v>
      </c>
      <c r="F22" t="str">
        <f t="shared" si="22"/>
        <v>PP_13</v>
      </c>
      <c r="G22" t="str">
        <f t="shared" si="22"/>
        <v>PP_13</v>
      </c>
      <c r="H22" t="str">
        <f t="shared" si="22"/>
        <v>PP_13</v>
      </c>
      <c r="I22" t="str">
        <f t="shared" si="22"/>
        <v>PP_13</v>
      </c>
      <c r="J22" t="str">
        <f t="shared" si="22"/>
        <v>PP_13</v>
      </c>
      <c r="K22" t="str">
        <f t="shared" si="22"/>
        <v>PP_13</v>
      </c>
      <c r="L22" t="str">
        <f t="shared" si="22"/>
        <v>PP_13</v>
      </c>
      <c r="M22" t="str">
        <f t="shared" si="22"/>
        <v>PP_13</v>
      </c>
      <c r="N22" t="str">
        <f t="shared" si="22"/>
        <v>PP_13</v>
      </c>
      <c r="O22" t="str">
        <f t="shared" si="22"/>
        <v>PP_13</v>
      </c>
      <c r="P22" t="str">
        <f t="shared" si="22"/>
        <v>PP_13</v>
      </c>
    </row>
    <row r="23" spans="4:16" x14ac:dyDescent="0.25">
      <c r="D23" t="str">
        <f t="shared" si="2"/>
        <v>PP_13</v>
      </c>
      <c r="E23" t="str">
        <f t="shared" ref="E23:P23" si="23">D23</f>
        <v>PP_13</v>
      </c>
      <c r="F23" t="str">
        <f t="shared" si="23"/>
        <v>PP_13</v>
      </c>
      <c r="G23" t="str">
        <f t="shared" si="23"/>
        <v>PP_13</v>
      </c>
      <c r="H23" t="str">
        <f t="shared" si="23"/>
        <v>PP_13</v>
      </c>
      <c r="I23" t="str">
        <f t="shared" si="23"/>
        <v>PP_13</v>
      </c>
      <c r="J23" t="str">
        <f t="shared" si="23"/>
        <v>PP_13</v>
      </c>
      <c r="K23" t="str">
        <f t="shared" si="23"/>
        <v>PP_13</v>
      </c>
      <c r="L23" t="str">
        <f t="shared" si="23"/>
        <v>PP_13</v>
      </c>
      <c r="M23" t="str">
        <f t="shared" si="23"/>
        <v>PP_13</v>
      </c>
      <c r="N23" t="str">
        <f t="shared" si="23"/>
        <v>PP_13</v>
      </c>
      <c r="O23" t="str">
        <f t="shared" si="23"/>
        <v>PP_13</v>
      </c>
      <c r="P23" t="str">
        <f t="shared" si="23"/>
        <v>PP_13</v>
      </c>
    </row>
    <row r="24" spans="4:16" x14ac:dyDescent="0.25">
      <c r="D24" t="str">
        <f t="shared" si="2"/>
        <v>PP_13</v>
      </c>
      <c r="E24" t="str">
        <f t="shared" ref="E24:P24" si="24">D24</f>
        <v>PP_13</v>
      </c>
      <c r="F24" t="str">
        <f t="shared" si="24"/>
        <v>PP_13</v>
      </c>
      <c r="G24" t="str">
        <f t="shared" si="24"/>
        <v>PP_13</v>
      </c>
      <c r="H24" t="str">
        <f t="shared" si="24"/>
        <v>PP_13</v>
      </c>
      <c r="I24" t="str">
        <f t="shared" si="24"/>
        <v>PP_13</v>
      </c>
      <c r="J24" t="str">
        <f t="shared" si="24"/>
        <v>PP_13</v>
      </c>
      <c r="K24" t="str">
        <f t="shared" si="24"/>
        <v>PP_13</v>
      </c>
      <c r="L24" t="str">
        <f t="shared" si="24"/>
        <v>PP_13</v>
      </c>
      <c r="M24" t="str">
        <f t="shared" si="24"/>
        <v>PP_13</v>
      </c>
      <c r="N24" t="str">
        <f t="shared" si="24"/>
        <v>PP_13</v>
      </c>
      <c r="O24" t="str">
        <f t="shared" si="24"/>
        <v>PP_13</v>
      </c>
      <c r="P24" t="str">
        <f t="shared" si="24"/>
        <v>PP_13</v>
      </c>
    </row>
    <row r="25" spans="4:16" x14ac:dyDescent="0.25">
      <c r="D25" t="str">
        <f t="shared" si="2"/>
        <v>PP_13</v>
      </c>
      <c r="E25" t="str">
        <f t="shared" ref="E25:P25" si="25">D25</f>
        <v>PP_13</v>
      </c>
      <c r="F25" t="str">
        <f t="shared" si="25"/>
        <v>PP_13</v>
      </c>
      <c r="G25" t="str">
        <f t="shared" si="25"/>
        <v>PP_13</v>
      </c>
      <c r="H25" t="str">
        <f t="shared" si="25"/>
        <v>PP_13</v>
      </c>
      <c r="I25" t="str">
        <f t="shared" si="25"/>
        <v>PP_13</v>
      </c>
      <c r="J25" t="str">
        <f t="shared" si="25"/>
        <v>PP_13</v>
      </c>
      <c r="K25" t="str">
        <f t="shared" si="25"/>
        <v>PP_13</v>
      </c>
      <c r="L25" t="str">
        <f t="shared" si="25"/>
        <v>PP_13</v>
      </c>
      <c r="M25" t="str">
        <f t="shared" si="25"/>
        <v>PP_13</v>
      </c>
      <c r="N25" t="str">
        <f t="shared" si="25"/>
        <v>PP_13</v>
      </c>
      <c r="O25" t="str">
        <f t="shared" si="25"/>
        <v>PP_13</v>
      </c>
      <c r="P25" t="str">
        <f t="shared" si="25"/>
        <v>PP_13</v>
      </c>
    </row>
    <row r="26" spans="4:16" x14ac:dyDescent="0.25">
      <c r="D26" t="str">
        <f t="shared" si="2"/>
        <v>PP_13</v>
      </c>
      <c r="E26" t="str">
        <f t="shared" ref="E26:P26" si="26">D26</f>
        <v>PP_13</v>
      </c>
      <c r="F26" t="str">
        <f t="shared" si="26"/>
        <v>PP_13</v>
      </c>
      <c r="G26" t="str">
        <f t="shared" si="26"/>
        <v>PP_13</v>
      </c>
      <c r="H26" t="str">
        <f t="shared" si="26"/>
        <v>PP_13</v>
      </c>
      <c r="I26" t="str">
        <f t="shared" si="26"/>
        <v>PP_13</v>
      </c>
      <c r="J26" t="str">
        <f t="shared" si="26"/>
        <v>PP_13</v>
      </c>
      <c r="K26" t="str">
        <f t="shared" si="26"/>
        <v>PP_13</v>
      </c>
      <c r="L26" t="str">
        <f t="shared" si="26"/>
        <v>PP_13</v>
      </c>
      <c r="M26" t="str">
        <f t="shared" si="26"/>
        <v>PP_13</v>
      </c>
      <c r="N26" t="str">
        <f t="shared" si="26"/>
        <v>PP_13</v>
      </c>
      <c r="O26" t="str">
        <f t="shared" si="26"/>
        <v>PP_13</v>
      </c>
      <c r="P26" t="str">
        <f t="shared" si="26"/>
        <v>PP_13</v>
      </c>
    </row>
    <row r="27" spans="4:16" x14ac:dyDescent="0.25">
      <c r="D27" t="str">
        <f t="shared" si="2"/>
        <v>PP_13</v>
      </c>
      <c r="E27" t="str">
        <f t="shared" ref="E27:P27" si="27">D27</f>
        <v>PP_13</v>
      </c>
      <c r="F27" t="str">
        <f t="shared" si="27"/>
        <v>PP_13</v>
      </c>
      <c r="G27" t="str">
        <f t="shared" si="27"/>
        <v>PP_13</v>
      </c>
      <c r="H27" t="str">
        <f t="shared" si="27"/>
        <v>PP_13</v>
      </c>
      <c r="I27" t="str">
        <f t="shared" si="27"/>
        <v>PP_13</v>
      </c>
      <c r="J27" t="str">
        <f t="shared" si="27"/>
        <v>PP_13</v>
      </c>
      <c r="K27" t="str">
        <f t="shared" si="27"/>
        <v>PP_13</v>
      </c>
      <c r="L27" t="str">
        <f t="shared" si="27"/>
        <v>PP_13</v>
      </c>
      <c r="M27" t="str">
        <f t="shared" si="27"/>
        <v>PP_13</v>
      </c>
      <c r="N27" t="str">
        <f t="shared" si="27"/>
        <v>PP_13</v>
      </c>
      <c r="O27" t="str">
        <f t="shared" si="27"/>
        <v>PP_13</v>
      </c>
      <c r="P27" t="str">
        <f t="shared" si="27"/>
        <v>PP_13</v>
      </c>
    </row>
    <row r="28" spans="4:16" x14ac:dyDescent="0.25">
      <c r="D28" t="str">
        <f t="shared" si="2"/>
        <v>PP_13</v>
      </c>
      <c r="E28" t="str">
        <f t="shared" ref="E28:P28" si="28">D28</f>
        <v>PP_13</v>
      </c>
      <c r="F28" t="str">
        <f t="shared" si="28"/>
        <v>PP_13</v>
      </c>
      <c r="G28" t="str">
        <f t="shared" si="28"/>
        <v>PP_13</v>
      </c>
      <c r="H28" t="str">
        <f t="shared" si="28"/>
        <v>PP_13</v>
      </c>
      <c r="I28" t="str">
        <f t="shared" si="28"/>
        <v>PP_13</v>
      </c>
      <c r="J28" t="str">
        <f t="shared" si="28"/>
        <v>PP_13</v>
      </c>
      <c r="K28" t="str">
        <f t="shared" si="28"/>
        <v>PP_13</v>
      </c>
      <c r="L28" t="str">
        <f t="shared" si="28"/>
        <v>PP_13</v>
      </c>
      <c r="M28" t="str">
        <f t="shared" si="28"/>
        <v>PP_13</v>
      </c>
      <c r="N28" t="str">
        <f t="shared" si="28"/>
        <v>PP_13</v>
      </c>
      <c r="O28" t="str">
        <f t="shared" si="28"/>
        <v>PP_13</v>
      </c>
      <c r="P28" t="str">
        <f t="shared" si="28"/>
        <v>PP_13</v>
      </c>
    </row>
    <row r="29" spans="4:16" x14ac:dyDescent="0.25">
      <c r="D29" t="str">
        <f t="shared" si="2"/>
        <v>PP_13</v>
      </c>
      <c r="E29" t="str">
        <f t="shared" ref="E29:P29" si="29">D29</f>
        <v>PP_13</v>
      </c>
      <c r="F29" t="str">
        <f t="shared" si="29"/>
        <v>PP_13</v>
      </c>
      <c r="G29" t="str">
        <f t="shared" si="29"/>
        <v>PP_13</v>
      </c>
      <c r="H29" t="str">
        <f t="shared" si="29"/>
        <v>PP_13</v>
      </c>
      <c r="I29" t="str">
        <f t="shared" si="29"/>
        <v>PP_13</v>
      </c>
      <c r="J29" t="str">
        <f t="shared" si="29"/>
        <v>PP_13</v>
      </c>
      <c r="K29" t="str">
        <f t="shared" si="29"/>
        <v>PP_13</v>
      </c>
      <c r="L29" t="str">
        <f t="shared" si="29"/>
        <v>PP_13</v>
      </c>
      <c r="M29" t="str">
        <f t="shared" si="29"/>
        <v>PP_13</v>
      </c>
      <c r="N29" t="str">
        <f t="shared" si="29"/>
        <v>PP_13</v>
      </c>
      <c r="O29" t="str">
        <f t="shared" si="29"/>
        <v>PP_13</v>
      </c>
      <c r="P29" t="str">
        <f t="shared" si="29"/>
        <v>PP_13</v>
      </c>
    </row>
    <row r="30" spans="4:16" x14ac:dyDescent="0.25">
      <c r="D30" t="str">
        <f t="shared" si="2"/>
        <v>PP_13</v>
      </c>
      <c r="E30" t="str">
        <f t="shared" ref="E30:P30" si="30">D30</f>
        <v>PP_13</v>
      </c>
      <c r="F30" t="str">
        <f t="shared" si="30"/>
        <v>PP_13</v>
      </c>
      <c r="G30" t="str">
        <f t="shared" si="30"/>
        <v>PP_13</v>
      </c>
      <c r="H30" t="str">
        <f t="shared" si="30"/>
        <v>PP_13</v>
      </c>
      <c r="I30" t="str">
        <f t="shared" si="30"/>
        <v>PP_13</v>
      </c>
      <c r="J30" t="str">
        <f t="shared" si="30"/>
        <v>PP_13</v>
      </c>
      <c r="K30" t="str">
        <f t="shared" si="30"/>
        <v>PP_13</v>
      </c>
      <c r="L30" t="str">
        <f t="shared" si="30"/>
        <v>PP_13</v>
      </c>
      <c r="M30" t="str">
        <f t="shared" si="30"/>
        <v>PP_13</v>
      </c>
      <c r="N30" t="str">
        <f t="shared" si="30"/>
        <v>PP_13</v>
      </c>
      <c r="O30" t="str">
        <f t="shared" si="30"/>
        <v>PP_13</v>
      </c>
      <c r="P30" t="str">
        <f t="shared" si="30"/>
        <v>PP_13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147</v>
      </c>
      <c r="E1" t="str">
        <f>D1</f>
        <v>PP_14</v>
      </c>
      <c r="F1" t="str">
        <f t="shared" ref="F1:P1" si="0">E1</f>
        <v>PP_14</v>
      </c>
      <c r="G1" t="str">
        <f t="shared" si="0"/>
        <v>PP_14</v>
      </c>
      <c r="H1" t="str">
        <f t="shared" si="0"/>
        <v>PP_14</v>
      </c>
      <c r="I1" t="str">
        <f t="shared" si="0"/>
        <v>PP_14</v>
      </c>
      <c r="J1" t="str">
        <f t="shared" si="0"/>
        <v>PP_14</v>
      </c>
      <c r="K1" t="str">
        <f t="shared" si="0"/>
        <v>PP_14</v>
      </c>
      <c r="L1" t="str">
        <f t="shared" si="0"/>
        <v>PP_14</v>
      </c>
      <c r="M1" t="str">
        <f t="shared" si="0"/>
        <v>PP_14</v>
      </c>
      <c r="N1" t="str">
        <f t="shared" si="0"/>
        <v>PP_14</v>
      </c>
      <c r="O1" t="str">
        <f t="shared" si="0"/>
        <v>PP_14</v>
      </c>
      <c r="P1" t="str">
        <f t="shared" si="0"/>
        <v>PP_14</v>
      </c>
    </row>
    <row r="2" spans="1:16" x14ac:dyDescent="0.25">
      <c r="A2" s="106" t="s">
        <v>177</v>
      </c>
      <c r="B2" s="107" t="s">
        <v>196</v>
      </c>
      <c r="D2" t="str">
        <f>D1</f>
        <v>PP_14</v>
      </c>
      <c r="E2" t="str">
        <f t="shared" ref="E2:P2" si="1">D2</f>
        <v>PP_14</v>
      </c>
      <c r="F2" t="str">
        <f t="shared" si="1"/>
        <v>PP_14</v>
      </c>
      <c r="G2" t="str">
        <f t="shared" si="1"/>
        <v>PP_14</v>
      </c>
      <c r="H2" t="str">
        <f t="shared" si="1"/>
        <v>PP_14</v>
      </c>
      <c r="I2" t="str">
        <f t="shared" si="1"/>
        <v>PP_14</v>
      </c>
      <c r="J2" t="str">
        <f t="shared" si="1"/>
        <v>PP_14</v>
      </c>
      <c r="K2" t="str">
        <f t="shared" si="1"/>
        <v>PP_14</v>
      </c>
      <c r="L2" t="str">
        <f t="shared" si="1"/>
        <v>PP_14</v>
      </c>
      <c r="M2" t="str">
        <f t="shared" si="1"/>
        <v>PP_14</v>
      </c>
      <c r="N2" t="str">
        <f t="shared" si="1"/>
        <v>PP_14</v>
      </c>
      <c r="O2" t="str">
        <f t="shared" si="1"/>
        <v>PP_14</v>
      </c>
      <c r="P2" t="str">
        <f t="shared" si="1"/>
        <v>PP_14</v>
      </c>
    </row>
    <row r="3" spans="1:16" x14ac:dyDescent="0.25">
      <c r="A3" s="74"/>
      <c r="B3" s="70"/>
      <c r="D3" t="str">
        <f t="shared" ref="D3:D30" si="2">D2</f>
        <v>PP_14</v>
      </c>
      <c r="E3" t="str">
        <f t="shared" ref="E3:P3" si="3">D3</f>
        <v>PP_14</v>
      </c>
      <c r="F3" t="str">
        <f t="shared" si="3"/>
        <v>PP_14</v>
      </c>
      <c r="G3" t="str">
        <f t="shared" si="3"/>
        <v>PP_14</v>
      </c>
      <c r="H3" t="str">
        <f t="shared" si="3"/>
        <v>PP_14</v>
      </c>
      <c r="I3" t="str">
        <f t="shared" si="3"/>
        <v>PP_14</v>
      </c>
      <c r="J3" t="str">
        <f t="shared" si="3"/>
        <v>PP_14</v>
      </c>
      <c r="K3" t="str">
        <f t="shared" si="3"/>
        <v>PP_14</v>
      </c>
      <c r="L3" t="str">
        <f t="shared" si="3"/>
        <v>PP_14</v>
      </c>
      <c r="M3" t="str">
        <f t="shared" si="3"/>
        <v>PP_14</v>
      </c>
      <c r="N3" t="str">
        <f t="shared" si="3"/>
        <v>PP_14</v>
      </c>
      <c r="O3" t="str">
        <f t="shared" si="3"/>
        <v>PP_14</v>
      </c>
      <c r="P3" t="str">
        <f t="shared" si="3"/>
        <v>PP_14</v>
      </c>
    </row>
    <row r="4" spans="1:16" x14ac:dyDescent="0.25">
      <c r="A4" s="75"/>
      <c r="B4" s="76"/>
      <c r="D4" t="str">
        <f t="shared" si="2"/>
        <v>PP_14</v>
      </c>
      <c r="E4" t="str">
        <f t="shared" ref="E4:P4" si="4">D4</f>
        <v>PP_14</v>
      </c>
      <c r="F4" t="str">
        <f t="shared" si="4"/>
        <v>PP_14</v>
      </c>
      <c r="G4" t="str">
        <f t="shared" si="4"/>
        <v>PP_14</v>
      </c>
      <c r="H4" t="str">
        <f t="shared" si="4"/>
        <v>PP_14</v>
      </c>
      <c r="I4" t="str">
        <f t="shared" si="4"/>
        <v>PP_14</v>
      </c>
      <c r="J4" t="str">
        <f t="shared" si="4"/>
        <v>PP_14</v>
      </c>
      <c r="K4" t="str">
        <f t="shared" si="4"/>
        <v>PP_14</v>
      </c>
      <c r="L4" t="str">
        <f t="shared" si="4"/>
        <v>PP_14</v>
      </c>
      <c r="M4" t="str">
        <f t="shared" si="4"/>
        <v>PP_14</v>
      </c>
      <c r="N4" t="str">
        <f t="shared" si="4"/>
        <v>PP_14</v>
      </c>
      <c r="O4" t="str">
        <f t="shared" si="4"/>
        <v>PP_14</v>
      </c>
      <c r="P4" t="str">
        <f t="shared" si="4"/>
        <v>PP_14</v>
      </c>
    </row>
    <row r="5" spans="1:16" x14ac:dyDescent="0.25">
      <c r="A5" s="74"/>
      <c r="B5" s="70"/>
      <c r="D5" t="str">
        <f t="shared" si="2"/>
        <v>PP_14</v>
      </c>
      <c r="E5" t="str">
        <f t="shared" ref="E5:P5" si="5">D5</f>
        <v>PP_14</v>
      </c>
      <c r="F5" t="str">
        <f t="shared" si="5"/>
        <v>PP_14</v>
      </c>
      <c r="G5" t="str">
        <f t="shared" si="5"/>
        <v>PP_14</v>
      </c>
      <c r="H5" t="str">
        <f t="shared" si="5"/>
        <v>PP_14</v>
      </c>
      <c r="I5" t="str">
        <f t="shared" si="5"/>
        <v>PP_14</v>
      </c>
      <c r="J5" t="str">
        <f t="shared" si="5"/>
        <v>PP_14</v>
      </c>
      <c r="K5" t="str">
        <f t="shared" si="5"/>
        <v>PP_14</v>
      </c>
      <c r="L5" t="str">
        <f t="shared" si="5"/>
        <v>PP_14</v>
      </c>
      <c r="M5" t="str">
        <f t="shared" si="5"/>
        <v>PP_14</v>
      </c>
      <c r="N5" t="str">
        <f t="shared" si="5"/>
        <v>PP_14</v>
      </c>
      <c r="O5" t="str">
        <f t="shared" si="5"/>
        <v>PP_14</v>
      </c>
      <c r="P5" t="str">
        <f t="shared" si="5"/>
        <v>PP_14</v>
      </c>
    </row>
    <row r="6" spans="1:16" x14ac:dyDescent="0.25">
      <c r="A6" s="74"/>
      <c r="B6" s="70"/>
      <c r="D6" t="str">
        <f t="shared" si="2"/>
        <v>PP_14</v>
      </c>
      <c r="E6" t="str">
        <f t="shared" ref="E6:P6" si="6">D6</f>
        <v>PP_14</v>
      </c>
      <c r="F6" t="str">
        <f t="shared" si="6"/>
        <v>PP_14</v>
      </c>
      <c r="G6" t="str">
        <f t="shared" si="6"/>
        <v>PP_14</v>
      </c>
      <c r="H6" t="str">
        <f t="shared" si="6"/>
        <v>PP_14</v>
      </c>
      <c r="I6" t="str">
        <f t="shared" si="6"/>
        <v>PP_14</v>
      </c>
      <c r="J6" t="str">
        <f t="shared" si="6"/>
        <v>PP_14</v>
      </c>
      <c r="K6" t="str">
        <f t="shared" si="6"/>
        <v>PP_14</v>
      </c>
      <c r="L6" t="str">
        <f t="shared" si="6"/>
        <v>PP_14</v>
      </c>
      <c r="M6" t="str">
        <f t="shared" si="6"/>
        <v>PP_14</v>
      </c>
      <c r="N6" t="str">
        <f t="shared" si="6"/>
        <v>PP_14</v>
      </c>
      <c r="O6" t="str">
        <f t="shared" si="6"/>
        <v>PP_14</v>
      </c>
      <c r="P6" t="str">
        <f t="shared" si="6"/>
        <v>PP_14</v>
      </c>
    </row>
    <row r="7" spans="1:16" x14ac:dyDescent="0.25">
      <c r="D7" t="str">
        <f t="shared" si="2"/>
        <v>PP_14</v>
      </c>
      <c r="E7" t="str">
        <f t="shared" ref="E7:P7" si="7">D7</f>
        <v>PP_14</v>
      </c>
      <c r="F7" t="str">
        <f t="shared" si="7"/>
        <v>PP_14</v>
      </c>
      <c r="G7" t="str">
        <f t="shared" si="7"/>
        <v>PP_14</v>
      </c>
      <c r="H7" t="str">
        <f t="shared" si="7"/>
        <v>PP_14</v>
      </c>
      <c r="I7" t="str">
        <f t="shared" si="7"/>
        <v>PP_14</v>
      </c>
      <c r="J7" t="str">
        <f t="shared" si="7"/>
        <v>PP_14</v>
      </c>
      <c r="K7" t="str">
        <f t="shared" si="7"/>
        <v>PP_14</v>
      </c>
      <c r="L7" t="str">
        <f t="shared" si="7"/>
        <v>PP_14</v>
      </c>
      <c r="M7" t="str">
        <f t="shared" si="7"/>
        <v>PP_14</v>
      </c>
      <c r="N7" t="str">
        <f t="shared" si="7"/>
        <v>PP_14</v>
      </c>
      <c r="O7" t="str">
        <f t="shared" si="7"/>
        <v>PP_14</v>
      </c>
      <c r="P7" t="str">
        <f t="shared" si="7"/>
        <v>PP_14</v>
      </c>
    </row>
    <row r="8" spans="1:16" x14ac:dyDescent="0.25">
      <c r="D8" t="str">
        <f t="shared" si="2"/>
        <v>PP_14</v>
      </c>
      <c r="E8" t="str">
        <f t="shared" ref="E8:P8" si="8">D8</f>
        <v>PP_14</v>
      </c>
      <c r="F8" t="str">
        <f t="shared" si="8"/>
        <v>PP_14</v>
      </c>
      <c r="G8" t="str">
        <f t="shared" si="8"/>
        <v>PP_14</v>
      </c>
      <c r="H8" t="str">
        <f t="shared" si="8"/>
        <v>PP_14</v>
      </c>
      <c r="I8" t="str">
        <f t="shared" si="8"/>
        <v>PP_14</v>
      </c>
      <c r="J8" t="str">
        <f t="shared" si="8"/>
        <v>PP_14</v>
      </c>
      <c r="K8" t="str">
        <f t="shared" si="8"/>
        <v>PP_14</v>
      </c>
      <c r="L8" t="str">
        <f t="shared" si="8"/>
        <v>PP_14</v>
      </c>
      <c r="M8" t="str">
        <f t="shared" si="8"/>
        <v>PP_14</v>
      </c>
      <c r="N8" t="str">
        <f t="shared" si="8"/>
        <v>PP_14</v>
      </c>
      <c r="O8" t="str">
        <f t="shared" si="8"/>
        <v>PP_14</v>
      </c>
      <c r="P8" t="str">
        <f t="shared" si="8"/>
        <v>PP_14</v>
      </c>
    </row>
    <row r="9" spans="1:16" x14ac:dyDescent="0.25">
      <c r="D9" t="str">
        <f t="shared" si="2"/>
        <v>PP_14</v>
      </c>
      <c r="E9" t="str">
        <f t="shared" ref="E9:P9" si="9">D9</f>
        <v>PP_14</v>
      </c>
      <c r="F9" t="str">
        <f t="shared" si="9"/>
        <v>PP_14</v>
      </c>
      <c r="G9" t="str">
        <f t="shared" si="9"/>
        <v>PP_14</v>
      </c>
      <c r="H9" t="str">
        <f t="shared" si="9"/>
        <v>PP_14</v>
      </c>
      <c r="I9" t="str">
        <f t="shared" si="9"/>
        <v>PP_14</v>
      </c>
      <c r="J9" t="str">
        <f t="shared" si="9"/>
        <v>PP_14</v>
      </c>
      <c r="K9" t="str">
        <f t="shared" si="9"/>
        <v>PP_14</v>
      </c>
      <c r="L9" t="str">
        <f t="shared" si="9"/>
        <v>PP_14</v>
      </c>
      <c r="M9" t="str">
        <f t="shared" si="9"/>
        <v>PP_14</v>
      </c>
      <c r="N9" t="str">
        <f t="shared" si="9"/>
        <v>PP_14</v>
      </c>
      <c r="O9" t="str">
        <f t="shared" si="9"/>
        <v>PP_14</v>
      </c>
      <c r="P9" t="str">
        <f t="shared" si="9"/>
        <v>PP_14</v>
      </c>
    </row>
    <row r="10" spans="1:16" x14ac:dyDescent="0.25">
      <c r="D10" t="str">
        <f t="shared" si="2"/>
        <v>PP_14</v>
      </c>
      <c r="E10" t="str">
        <f t="shared" ref="E10:P10" si="10">D10</f>
        <v>PP_14</v>
      </c>
      <c r="F10" t="str">
        <f t="shared" si="10"/>
        <v>PP_14</v>
      </c>
      <c r="G10" t="str">
        <f t="shared" si="10"/>
        <v>PP_14</v>
      </c>
      <c r="H10" t="str">
        <f t="shared" si="10"/>
        <v>PP_14</v>
      </c>
      <c r="I10" t="str">
        <f t="shared" si="10"/>
        <v>PP_14</v>
      </c>
      <c r="J10" t="str">
        <f t="shared" si="10"/>
        <v>PP_14</v>
      </c>
      <c r="K10" t="str">
        <f t="shared" si="10"/>
        <v>PP_14</v>
      </c>
      <c r="L10" t="str">
        <f t="shared" si="10"/>
        <v>PP_14</v>
      </c>
      <c r="M10" t="str">
        <f t="shared" si="10"/>
        <v>PP_14</v>
      </c>
      <c r="N10" t="str">
        <f t="shared" si="10"/>
        <v>PP_14</v>
      </c>
      <c r="O10" t="str">
        <f t="shared" si="10"/>
        <v>PP_14</v>
      </c>
      <c r="P10" t="str">
        <f t="shared" si="10"/>
        <v>PP_14</v>
      </c>
    </row>
    <row r="11" spans="1:16" x14ac:dyDescent="0.25">
      <c r="D11" t="str">
        <f t="shared" si="2"/>
        <v>PP_14</v>
      </c>
      <c r="E11" t="str">
        <f t="shared" ref="E11:P11" si="11">D11</f>
        <v>PP_14</v>
      </c>
      <c r="F11" t="str">
        <f t="shared" si="11"/>
        <v>PP_14</v>
      </c>
      <c r="G11" t="str">
        <f t="shared" si="11"/>
        <v>PP_14</v>
      </c>
      <c r="H11" t="str">
        <f t="shared" si="11"/>
        <v>PP_14</v>
      </c>
      <c r="I11" t="str">
        <f t="shared" si="11"/>
        <v>PP_14</v>
      </c>
      <c r="J11" t="str">
        <f t="shared" si="11"/>
        <v>PP_14</v>
      </c>
      <c r="K11" t="str">
        <f t="shared" si="11"/>
        <v>PP_14</v>
      </c>
      <c r="L11" t="str">
        <f t="shared" si="11"/>
        <v>PP_14</v>
      </c>
      <c r="M11" t="str">
        <f t="shared" si="11"/>
        <v>PP_14</v>
      </c>
      <c r="N11" t="str">
        <f t="shared" si="11"/>
        <v>PP_14</v>
      </c>
      <c r="O11" t="str">
        <f t="shared" si="11"/>
        <v>PP_14</v>
      </c>
      <c r="P11" t="str">
        <f t="shared" si="11"/>
        <v>PP_14</v>
      </c>
    </row>
    <row r="12" spans="1:16" x14ac:dyDescent="0.25">
      <c r="D12" t="str">
        <f t="shared" si="2"/>
        <v>PP_14</v>
      </c>
      <c r="E12" t="str">
        <f t="shared" ref="E12:P12" si="12">D12</f>
        <v>PP_14</v>
      </c>
      <c r="F12" t="str">
        <f t="shared" si="12"/>
        <v>PP_14</v>
      </c>
      <c r="G12" t="str">
        <f t="shared" si="12"/>
        <v>PP_14</v>
      </c>
      <c r="H12" t="str">
        <f t="shared" si="12"/>
        <v>PP_14</v>
      </c>
      <c r="I12" t="str">
        <f t="shared" si="12"/>
        <v>PP_14</v>
      </c>
      <c r="J12" t="str">
        <f t="shared" si="12"/>
        <v>PP_14</v>
      </c>
      <c r="K12" t="str">
        <f t="shared" si="12"/>
        <v>PP_14</v>
      </c>
      <c r="L12" t="str">
        <f t="shared" si="12"/>
        <v>PP_14</v>
      </c>
      <c r="M12" t="str">
        <f t="shared" si="12"/>
        <v>PP_14</v>
      </c>
      <c r="N12" t="str">
        <f t="shared" si="12"/>
        <v>PP_14</v>
      </c>
      <c r="O12" t="str">
        <f t="shared" si="12"/>
        <v>PP_14</v>
      </c>
      <c r="P12" t="str">
        <f t="shared" si="12"/>
        <v>PP_14</v>
      </c>
    </row>
    <row r="13" spans="1:16" x14ac:dyDescent="0.25">
      <c r="D13" t="str">
        <f t="shared" si="2"/>
        <v>PP_14</v>
      </c>
      <c r="E13" t="str">
        <f t="shared" ref="E13:P13" si="13">D13</f>
        <v>PP_14</v>
      </c>
      <c r="F13" t="str">
        <f t="shared" si="13"/>
        <v>PP_14</v>
      </c>
      <c r="G13" t="str">
        <f t="shared" si="13"/>
        <v>PP_14</v>
      </c>
      <c r="H13" t="str">
        <f t="shared" si="13"/>
        <v>PP_14</v>
      </c>
      <c r="I13" t="str">
        <f t="shared" si="13"/>
        <v>PP_14</v>
      </c>
      <c r="J13" t="str">
        <f t="shared" si="13"/>
        <v>PP_14</v>
      </c>
      <c r="K13" t="str">
        <f t="shared" si="13"/>
        <v>PP_14</v>
      </c>
      <c r="L13" t="str">
        <f t="shared" si="13"/>
        <v>PP_14</v>
      </c>
      <c r="M13" t="str">
        <f t="shared" si="13"/>
        <v>PP_14</v>
      </c>
      <c r="N13" t="str">
        <f t="shared" si="13"/>
        <v>PP_14</v>
      </c>
      <c r="O13" t="str">
        <f t="shared" si="13"/>
        <v>PP_14</v>
      </c>
      <c r="P13" t="str">
        <f t="shared" si="13"/>
        <v>PP_14</v>
      </c>
    </row>
    <row r="14" spans="1:16" x14ac:dyDescent="0.25">
      <c r="D14" t="str">
        <f t="shared" si="2"/>
        <v>PP_14</v>
      </c>
      <c r="E14" t="str">
        <f t="shared" ref="E14:P14" si="14">D14</f>
        <v>PP_14</v>
      </c>
      <c r="F14" t="str">
        <f t="shared" si="14"/>
        <v>PP_14</v>
      </c>
      <c r="G14" t="str">
        <f t="shared" si="14"/>
        <v>PP_14</v>
      </c>
      <c r="H14" t="str">
        <f t="shared" si="14"/>
        <v>PP_14</v>
      </c>
      <c r="I14" t="str">
        <f t="shared" si="14"/>
        <v>PP_14</v>
      </c>
      <c r="J14" t="str">
        <f t="shared" si="14"/>
        <v>PP_14</v>
      </c>
      <c r="K14" t="str">
        <f t="shared" si="14"/>
        <v>PP_14</v>
      </c>
      <c r="L14" t="str">
        <f t="shared" si="14"/>
        <v>PP_14</v>
      </c>
      <c r="M14" t="str">
        <f t="shared" si="14"/>
        <v>PP_14</v>
      </c>
      <c r="N14" t="str">
        <f t="shared" si="14"/>
        <v>PP_14</v>
      </c>
      <c r="O14" t="str">
        <f t="shared" si="14"/>
        <v>PP_14</v>
      </c>
      <c r="P14" t="str">
        <f t="shared" si="14"/>
        <v>PP_14</v>
      </c>
    </row>
    <row r="15" spans="1:16" x14ac:dyDescent="0.25">
      <c r="D15" t="str">
        <f t="shared" si="2"/>
        <v>PP_14</v>
      </c>
      <c r="E15" t="str">
        <f t="shared" ref="E15:P15" si="15">D15</f>
        <v>PP_14</v>
      </c>
      <c r="F15" t="str">
        <f t="shared" si="15"/>
        <v>PP_14</v>
      </c>
      <c r="G15" t="str">
        <f t="shared" si="15"/>
        <v>PP_14</v>
      </c>
      <c r="H15" t="str">
        <f t="shared" si="15"/>
        <v>PP_14</v>
      </c>
      <c r="I15" t="str">
        <f t="shared" si="15"/>
        <v>PP_14</v>
      </c>
      <c r="J15" t="str">
        <f t="shared" si="15"/>
        <v>PP_14</v>
      </c>
      <c r="K15" t="str">
        <f t="shared" si="15"/>
        <v>PP_14</v>
      </c>
      <c r="L15" t="str">
        <f t="shared" si="15"/>
        <v>PP_14</v>
      </c>
      <c r="M15" t="str">
        <f t="shared" si="15"/>
        <v>PP_14</v>
      </c>
      <c r="N15" t="str">
        <f t="shared" si="15"/>
        <v>PP_14</v>
      </c>
      <c r="O15" t="str">
        <f t="shared" si="15"/>
        <v>PP_14</v>
      </c>
      <c r="P15" t="str">
        <f t="shared" si="15"/>
        <v>PP_14</v>
      </c>
    </row>
    <row r="16" spans="1:16" x14ac:dyDescent="0.25">
      <c r="D16" t="str">
        <f t="shared" si="2"/>
        <v>PP_14</v>
      </c>
      <c r="E16" t="str">
        <f t="shared" ref="E16:P16" si="16">D16</f>
        <v>PP_14</v>
      </c>
      <c r="F16" t="str">
        <f t="shared" si="16"/>
        <v>PP_14</v>
      </c>
      <c r="G16" t="str">
        <f t="shared" si="16"/>
        <v>PP_14</v>
      </c>
      <c r="H16" t="str">
        <f t="shared" si="16"/>
        <v>PP_14</v>
      </c>
      <c r="I16" t="str">
        <f t="shared" si="16"/>
        <v>PP_14</v>
      </c>
      <c r="J16" t="str">
        <f t="shared" si="16"/>
        <v>PP_14</v>
      </c>
      <c r="K16" t="str">
        <f t="shared" si="16"/>
        <v>PP_14</v>
      </c>
      <c r="L16" t="str">
        <f t="shared" si="16"/>
        <v>PP_14</v>
      </c>
      <c r="M16" t="str">
        <f t="shared" si="16"/>
        <v>PP_14</v>
      </c>
      <c r="N16" t="str">
        <f t="shared" si="16"/>
        <v>PP_14</v>
      </c>
      <c r="O16" t="str">
        <f t="shared" si="16"/>
        <v>PP_14</v>
      </c>
      <c r="P16" t="str">
        <f t="shared" si="16"/>
        <v>PP_14</v>
      </c>
    </row>
    <row r="17" spans="4:16" x14ac:dyDescent="0.25">
      <c r="D17" t="str">
        <f t="shared" si="2"/>
        <v>PP_14</v>
      </c>
      <c r="E17" t="str">
        <f t="shared" ref="E17:P17" si="17">D17</f>
        <v>PP_14</v>
      </c>
      <c r="F17" t="str">
        <f t="shared" si="17"/>
        <v>PP_14</v>
      </c>
      <c r="G17" t="str">
        <f t="shared" si="17"/>
        <v>PP_14</v>
      </c>
      <c r="H17" t="str">
        <f t="shared" si="17"/>
        <v>PP_14</v>
      </c>
      <c r="I17" t="str">
        <f t="shared" si="17"/>
        <v>PP_14</v>
      </c>
      <c r="J17" t="str">
        <f t="shared" si="17"/>
        <v>PP_14</v>
      </c>
      <c r="K17" t="str">
        <f t="shared" si="17"/>
        <v>PP_14</v>
      </c>
      <c r="L17" t="str">
        <f t="shared" si="17"/>
        <v>PP_14</v>
      </c>
      <c r="M17" t="str">
        <f t="shared" si="17"/>
        <v>PP_14</v>
      </c>
      <c r="N17" t="str">
        <f t="shared" si="17"/>
        <v>PP_14</v>
      </c>
      <c r="O17" t="str">
        <f t="shared" si="17"/>
        <v>PP_14</v>
      </c>
      <c r="P17" t="str">
        <f t="shared" si="17"/>
        <v>PP_14</v>
      </c>
    </row>
    <row r="18" spans="4:16" x14ac:dyDescent="0.25">
      <c r="D18" t="str">
        <f t="shared" si="2"/>
        <v>PP_14</v>
      </c>
      <c r="E18" t="str">
        <f t="shared" ref="E18:P18" si="18">D18</f>
        <v>PP_14</v>
      </c>
      <c r="F18" t="str">
        <f t="shared" si="18"/>
        <v>PP_14</v>
      </c>
      <c r="G18" t="str">
        <f t="shared" si="18"/>
        <v>PP_14</v>
      </c>
      <c r="H18" t="str">
        <f t="shared" si="18"/>
        <v>PP_14</v>
      </c>
      <c r="I18" t="str">
        <f t="shared" si="18"/>
        <v>PP_14</v>
      </c>
      <c r="J18" t="str">
        <f t="shared" si="18"/>
        <v>PP_14</v>
      </c>
      <c r="K18" t="str">
        <f t="shared" si="18"/>
        <v>PP_14</v>
      </c>
      <c r="L18" t="str">
        <f t="shared" si="18"/>
        <v>PP_14</v>
      </c>
      <c r="M18" t="str">
        <f t="shared" si="18"/>
        <v>PP_14</v>
      </c>
      <c r="N18" t="str">
        <f t="shared" si="18"/>
        <v>PP_14</v>
      </c>
      <c r="O18" t="str">
        <f t="shared" si="18"/>
        <v>PP_14</v>
      </c>
      <c r="P18" t="str">
        <f t="shared" si="18"/>
        <v>PP_14</v>
      </c>
    </row>
    <row r="19" spans="4:16" x14ac:dyDescent="0.25">
      <c r="D19" t="str">
        <f t="shared" si="2"/>
        <v>PP_14</v>
      </c>
      <c r="E19" t="str">
        <f t="shared" ref="E19:P19" si="19">D19</f>
        <v>PP_14</v>
      </c>
      <c r="F19" t="str">
        <f t="shared" si="19"/>
        <v>PP_14</v>
      </c>
      <c r="G19" t="str">
        <f t="shared" si="19"/>
        <v>PP_14</v>
      </c>
      <c r="H19" t="str">
        <f t="shared" si="19"/>
        <v>PP_14</v>
      </c>
      <c r="I19" t="str">
        <f t="shared" si="19"/>
        <v>PP_14</v>
      </c>
      <c r="J19" t="str">
        <f t="shared" si="19"/>
        <v>PP_14</v>
      </c>
      <c r="K19" t="str">
        <f t="shared" si="19"/>
        <v>PP_14</v>
      </c>
      <c r="L19" t="str">
        <f t="shared" si="19"/>
        <v>PP_14</v>
      </c>
      <c r="M19" t="str">
        <f t="shared" si="19"/>
        <v>PP_14</v>
      </c>
      <c r="N19" t="str">
        <f t="shared" si="19"/>
        <v>PP_14</v>
      </c>
      <c r="O19" t="str">
        <f t="shared" si="19"/>
        <v>PP_14</v>
      </c>
      <c r="P19" t="str">
        <f t="shared" si="19"/>
        <v>PP_14</v>
      </c>
    </row>
    <row r="20" spans="4:16" x14ac:dyDescent="0.25">
      <c r="D20" t="str">
        <f t="shared" si="2"/>
        <v>PP_14</v>
      </c>
      <c r="E20" t="str">
        <f t="shared" ref="E20:P20" si="20">D20</f>
        <v>PP_14</v>
      </c>
      <c r="F20" t="str">
        <f t="shared" si="20"/>
        <v>PP_14</v>
      </c>
      <c r="G20" t="str">
        <f t="shared" si="20"/>
        <v>PP_14</v>
      </c>
      <c r="H20" t="str">
        <f t="shared" si="20"/>
        <v>PP_14</v>
      </c>
      <c r="I20" t="str">
        <f t="shared" si="20"/>
        <v>PP_14</v>
      </c>
      <c r="J20" t="str">
        <f t="shared" si="20"/>
        <v>PP_14</v>
      </c>
      <c r="K20" t="str">
        <f t="shared" si="20"/>
        <v>PP_14</v>
      </c>
      <c r="L20" t="str">
        <f t="shared" si="20"/>
        <v>PP_14</v>
      </c>
      <c r="M20" t="str">
        <f t="shared" si="20"/>
        <v>PP_14</v>
      </c>
      <c r="N20" t="str">
        <f t="shared" si="20"/>
        <v>PP_14</v>
      </c>
      <c r="O20" t="str">
        <f t="shared" si="20"/>
        <v>PP_14</v>
      </c>
      <c r="P20" t="str">
        <f t="shared" si="20"/>
        <v>PP_14</v>
      </c>
    </row>
    <row r="21" spans="4:16" x14ac:dyDescent="0.25">
      <c r="D21" t="str">
        <f t="shared" si="2"/>
        <v>PP_14</v>
      </c>
      <c r="E21" t="str">
        <f t="shared" ref="E21:P21" si="21">D21</f>
        <v>PP_14</v>
      </c>
      <c r="F21" t="str">
        <f t="shared" si="21"/>
        <v>PP_14</v>
      </c>
      <c r="G21" t="str">
        <f t="shared" si="21"/>
        <v>PP_14</v>
      </c>
      <c r="H21" t="str">
        <f t="shared" si="21"/>
        <v>PP_14</v>
      </c>
      <c r="I21" t="str">
        <f t="shared" si="21"/>
        <v>PP_14</v>
      </c>
      <c r="J21" t="str">
        <f t="shared" si="21"/>
        <v>PP_14</v>
      </c>
      <c r="K21" t="str">
        <f t="shared" si="21"/>
        <v>PP_14</v>
      </c>
      <c r="L21" t="str">
        <f t="shared" si="21"/>
        <v>PP_14</v>
      </c>
      <c r="M21" t="str">
        <f t="shared" si="21"/>
        <v>PP_14</v>
      </c>
      <c r="N21" t="str">
        <f t="shared" si="21"/>
        <v>PP_14</v>
      </c>
      <c r="O21" t="str">
        <f t="shared" si="21"/>
        <v>PP_14</v>
      </c>
      <c r="P21" t="str">
        <f t="shared" si="21"/>
        <v>PP_14</v>
      </c>
    </row>
    <row r="22" spans="4:16" x14ac:dyDescent="0.25">
      <c r="D22" t="str">
        <f t="shared" si="2"/>
        <v>PP_14</v>
      </c>
      <c r="E22" t="str">
        <f t="shared" ref="E22:P22" si="22">D22</f>
        <v>PP_14</v>
      </c>
      <c r="F22" t="str">
        <f t="shared" si="22"/>
        <v>PP_14</v>
      </c>
      <c r="G22" t="str">
        <f t="shared" si="22"/>
        <v>PP_14</v>
      </c>
      <c r="H22" t="str">
        <f t="shared" si="22"/>
        <v>PP_14</v>
      </c>
      <c r="I22" t="str">
        <f t="shared" si="22"/>
        <v>PP_14</v>
      </c>
      <c r="J22" t="str">
        <f t="shared" si="22"/>
        <v>PP_14</v>
      </c>
      <c r="K22" t="str">
        <f t="shared" si="22"/>
        <v>PP_14</v>
      </c>
      <c r="L22" t="str">
        <f t="shared" si="22"/>
        <v>PP_14</v>
      </c>
      <c r="M22" t="str">
        <f t="shared" si="22"/>
        <v>PP_14</v>
      </c>
      <c r="N22" t="str">
        <f t="shared" si="22"/>
        <v>PP_14</v>
      </c>
      <c r="O22" t="str">
        <f t="shared" si="22"/>
        <v>PP_14</v>
      </c>
      <c r="P22" t="str">
        <f t="shared" si="22"/>
        <v>PP_14</v>
      </c>
    </row>
    <row r="23" spans="4:16" x14ac:dyDescent="0.25">
      <c r="D23" t="str">
        <f t="shared" si="2"/>
        <v>PP_14</v>
      </c>
      <c r="E23" t="str">
        <f t="shared" ref="E23:P23" si="23">D23</f>
        <v>PP_14</v>
      </c>
      <c r="F23" t="str">
        <f t="shared" si="23"/>
        <v>PP_14</v>
      </c>
      <c r="G23" t="str">
        <f t="shared" si="23"/>
        <v>PP_14</v>
      </c>
      <c r="H23" t="str">
        <f t="shared" si="23"/>
        <v>PP_14</v>
      </c>
      <c r="I23" t="str">
        <f t="shared" si="23"/>
        <v>PP_14</v>
      </c>
      <c r="J23" t="str">
        <f t="shared" si="23"/>
        <v>PP_14</v>
      </c>
      <c r="K23" t="str">
        <f t="shared" si="23"/>
        <v>PP_14</v>
      </c>
      <c r="L23" t="str">
        <f t="shared" si="23"/>
        <v>PP_14</v>
      </c>
      <c r="M23" t="str">
        <f t="shared" si="23"/>
        <v>PP_14</v>
      </c>
      <c r="N23" t="str">
        <f t="shared" si="23"/>
        <v>PP_14</v>
      </c>
      <c r="O23" t="str">
        <f t="shared" si="23"/>
        <v>PP_14</v>
      </c>
      <c r="P23" t="str">
        <f t="shared" si="23"/>
        <v>PP_14</v>
      </c>
    </row>
    <row r="24" spans="4:16" x14ac:dyDescent="0.25">
      <c r="D24" t="str">
        <f t="shared" si="2"/>
        <v>PP_14</v>
      </c>
      <c r="E24" t="str">
        <f t="shared" ref="E24:P24" si="24">D24</f>
        <v>PP_14</v>
      </c>
      <c r="F24" t="str">
        <f t="shared" si="24"/>
        <v>PP_14</v>
      </c>
      <c r="G24" t="str">
        <f t="shared" si="24"/>
        <v>PP_14</v>
      </c>
      <c r="H24" t="str">
        <f t="shared" si="24"/>
        <v>PP_14</v>
      </c>
      <c r="I24" t="str">
        <f t="shared" si="24"/>
        <v>PP_14</v>
      </c>
      <c r="J24" t="str">
        <f t="shared" si="24"/>
        <v>PP_14</v>
      </c>
      <c r="K24" t="str">
        <f t="shared" si="24"/>
        <v>PP_14</v>
      </c>
      <c r="L24" t="str">
        <f t="shared" si="24"/>
        <v>PP_14</v>
      </c>
      <c r="M24" t="str">
        <f t="shared" si="24"/>
        <v>PP_14</v>
      </c>
      <c r="N24" t="str">
        <f t="shared" si="24"/>
        <v>PP_14</v>
      </c>
      <c r="O24" t="str">
        <f t="shared" si="24"/>
        <v>PP_14</v>
      </c>
      <c r="P24" t="str">
        <f t="shared" si="24"/>
        <v>PP_14</v>
      </c>
    </row>
    <row r="25" spans="4:16" x14ac:dyDescent="0.25">
      <c r="D25" t="str">
        <f t="shared" si="2"/>
        <v>PP_14</v>
      </c>
      <c r="E25" t="str">
        <f t="shared" ref="E25:P25" si="25">D25</f>
        <v>PP_14</v>
      </c>
      <c r="F25" t="str">
        <f t="shared" si="25"/>
        <v>PP_14</v>
      </c>
      <c r="G25" t="str">
        <f t="shared" si="25"/>
        <v>PP_14</v>
      </c>
      <c r="H25" t="str">
        <f t="shared" si="25"/>
        <v>PP_14</v>
      </c>
      <c r="I25" t="str">
        <f t="shared" si="25"/>
        <v>PP_14</v>
      </c>
      <c r="J25" t="str">
        <f t="shared" si="25"/>
        <v>PP_14</v>
      </c>
      <c r="K25" t="str">
        <f t="shared" si="25"/>
        <v>PP_14</v>
      </c>
      <c r="L25" t="str">
        <f t="shared" si="25"/>
        <v>PP_14</v>
      </c>
      <c r="M25" t="str">
        <f t="shared" si="25"/>
        <v>PP_14</v>
      </c>
      <c r="N25" t="str">
        <f t="shared" si="25"/>
        <v>PP_14</v>
      </c>
      <c r="O25" t="str">
        <f t="shared" si="25"/>
        <v>PP_14</v>
      </c>
      <c r="P25" t="str">
        <f t="shared" si="25"/>
        <v>PP_14</v>
      </c>
    </row>
    <row r="26" spans="4:16" x14ac:dyDescent="0.25">
      <c r="D26" t="str">
        <f t="shared" si="2"/>
        <v>PP_14</v>
      </c>
      <c r="E26" t="str">
        <f t="shared" ref="E26:P26" si="26">D26</f>
        <v>PP_14</v>
      </c>
      <c r="F26" t="str">
        <f t="shared" si="26"/>
        <v>PP_14</v>
      </c>
      <c r="G26" t="str">
        <f t="shared" si="26"/>
        <v>PP_14</v>
      </c>
      <c r="H26" t="str">
        <f t="shared" si="26"/>
        <v>PP_14</v>
      </c>
      <c r="I26" t="str">
        <f t="shared" si="26"/>
        <v>PP_14</v>
      </c>
      <c r="J26" t="str">
        <f t="shared" si="26"/>
        <v>PP_14</v>
      </c>
      <c r="K26" t="str">
        <f t="shared" si="26"/>
        <v>PP_14</v>
      </c>
      <c r="L26" t="str">
        <f t="shared" si="26"/>
        <v>PP_14</v>
      </c>
      <c r="M26" t="str">
        <f t="shared" si="26"/>
        <v>PP_14</v>
      </c>
      <c r="N26" t="str">
        <f t="shared" si="26"/>
        <v>PP_14</v>
      </c>
      <c r="O26" t="str">
        <f t="shared" si="26"/>
        <v>PP_14</v>
      </c>
      <c r="P26" t="str">
        <f t="shared" si="26"/>
        <v>PP_14</v>
      </c>
    </row>
    <row r="27" spans="4:16" x14ac:dyDescent="0.25">
      <c r="D27" t="str">
        <f t="shared" si="2"/>
        <v>PP_14</v>
      </c>
      <c r="E27" t="str">
        <f t="shared" ref="E27:P27" si="27">D27</f>
        <v>PP_14</v>
      </c>
      <c r="F27" t="str">
        <f t="shared" si="27"/>
        <v>PP_14</v>
      </c>
      <c r="G27" t="str">
        <f t="shared" si="27"/>
        <v>PP_14</v>
      </c>
      <c r="H27" t="str">
        <f t="shared" si="27"/>
        <v>PP_14</v>
      </c>
      <c r="I27" t="str">
        <f t="shared" si="27"/>
        <v>PP_14</v>
      </c>
      <c r="J27" t="str">
        <f t="shared" si="27"/>
        <v>PP_14</v>
      </c>
      <c r="K27" t="str">
        <f t="shared" si="27"/>
        <v>PP_14</v>
      </c>
      <c r="L27" t="str">
        <f t="shared" si="27"/>
        <v>PP_14</v>
      </c>
      <c r="M27" t="str">
        <f t="shared" si="27"/>
        <v>PP_14</v>
      </c>
      <c r="N27" t="str">
        <f t="shared" si="27"/>
        <v>PP_14</v>
      </c>
      <c r="O27" t="str">
        <f t="shared" si="27"/>
        <v>PP_14</v>
      </c>
      <c r="P27" t="str">
        <f t="shared" si="27"/>
        <v>PP_14</v>
      </c>
    </row>
    <row r="28" spans="4:16" x14ac:dyDescent="0.25">
      <c r="D28" t="str">
        <f t="shared" si="2"/>
        <v>PP_14</v>
      </c>
      <c r="E28" t="str">
        <f t="shared" ref="E28:P28" si="28">D28</f>
        <v>PP_14</v>
      </c>
      <c r="F28" t="str">
        <f t="shared" si="28"/>
        <v>PP_14</v>
      </c>
      <c r="G28" t="str">
        <f t="shared" si="28"/>
        <v>PP_14</v>
      </c>
      <c r="H28" t="str">
        <f t="shared" si="28"/>
        <v>PP_14</v>
      </c>
      <c r="I28" t="str">
        <f t="shared" si="28"/>
        <v>PP_14</v>
      </c>
      <c r="J28" t="str">
        <f t="shared" si="28"/>
        <v>PP_14</v>
      </c>
      <c r="K28" t="str">
        <f t="shared" si="28"/>
        <v>PP_14</v>
      </c>
      <c r="L28" t="str">
        <f t="shared" si="28"/>
        <v>PP_14</v>
      </c>
      <c r="M28" t="str">
        <f t="shared" si="28"/>
        <v>PP_14</v>
      </c>
      <c r="N28" t="str">
        <f t="shared" si="28"/>
        <v>PP_14</v>
      </c>
      <c r="O28" t="str">
        <f t="shared" si="28"/>
        <v>PP_14</v>
      </c>
      <c r="P28" t="str">
        <f t="shared" si="28"/>
        <v>PP_14</v>
      </c>
    </row>
    <row r="29" spans="4:16" x14ac:dyDescent="0.25">
      <c r="D29" t="str">
        <f t="shared" si="2"/>
        <v>PP_14</v>
      </c>
      <c r="E29" t="str">
        <f t="shared" ref="E29:P29" si="29">D29</f>
        <v>PP_14</v>
      </c>
      <c r="F29" t="str">
        <f t="shared" si="29"/>
        <v>PP_14</v>
      </c>
      <c r="G29" t="str">
        <f t="shared" si="29"/>
        <v>PP_14</v>
      </c>
      <c r="H29" t="str">
        <f t="shared" si="29"/>
        <v>PP_14</v>
      </c>
      <c r="I29" t="str">
        <f t="shared" si="29"/>
        <v>PP_14</v>
      </c>
      <c r="J29" t="str">
        <f t="shared" si="29"/>
        <v>PP_14</v>
      </c>
      <c r="K29" t="str">
        <f t="shared" si="29"/>
        <v>PP_14</v>
      </c>
      <c r="L29" t="str">
        <f t="shared" si="29"/>
        <v>PP_14</v>
      </c>
      <c r="M29" t="str">
        <f t="shared" si="29"/>
        <v>PP_14</v>
      </c>
      <c r="N29" t="str">
        <f t="shared" si="29"/>
        <v>PP_14</v>
      </c>
      <c r="O29" t="str">
        <f t="shared" si="29"/>
        <v>PP_14</v>
      </c>
      <c r="P29" t="str">
        <f t="shared" si="29"/>
        <v>PP_14</v>
      </c>
    </row>
    <row r="30" spans="4:16" x14ac:dyDescent="0.25">
      <c r="D30" t="str">
        <f t="shared" si="2"/>
        <v>PP_14</v>
      </c>
      <c r="E30" t="str">
        <f t="shared" ref="E30:P30" si="30">D30</f>
        <v>PP_14</v>
      </c>
      <c r="F30" t="str">
        <f t="shared" si="30"/>
        <v>PP_14</v>
      </c>
      <c r="G30" t="str">
        <f t="shared" si="30"/>
        <v>PP_14</v>
      </c>
      <c r="H30" t="str">
        <f t="shared" si="30"/>
        <v>PP_14</v>
      </c>
      <c r="I30" t="str">
        <f t="shared" si="30"/>
        <v>PP_14</v>
      </c>
      <c r="J30" t="str">
        <f t="shared" si="30"/>
        <v>PP_14</v>
      </c>
      <c r="K30" t="str">
        <f t="shared" si="30"/>
        <v>PP_14</v>
      </c>
      <c r="L30" t="str">
        <f t="shared" si="30"/>
        <v>PP_14</v>
      </c>
      <c r="M30" t="str">
        <f t="shared" si="30"/>
        <v>PP_14</v>
      </c>
      <c r="N30" t="str">
        <f t="shared" si="30"/>
        <v>PP_14</v>
      </c>
      <c r="O30" t="str">
        <f t="shared" si="30"/>
        <v>PP_14</v>
      </c>
      <c r="P30" t="str">
        <f t="shared" si="30"/>
        <v>PP_14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199</v>
      </c>
      <c r="E1" t="str">
        <f>D1</f>
        <v>PP_15</v>
      </c>
      <c r="F1" t="str">
        <f t="shared" ref="F1:P1" si="0">E1</f>
        <v>PP_15</v>
      </c>
      <c r="G1" t="str">
        <f t="shared" si="0"/>
        <v>PP_15</v>
      </c>
      <c r="H1" t="str">
        <f t="shared" si="0"/>
        <v>PP_15</v>
      </c>
      <c r="I1" t="str">
        <f t="shared" si="0"/>
        <v>PP_15</v>
      </c>
      <c r="J1" t="str">
        <f t="shared" si="0"/>
        <v>PP_15</v>
      </c>
      <c r="K1" t="str">
        <f t="shared" si="0"/>
        <v>PP_15</v>
      </c>
      <c r="L1" t="str">
        <f t="shared" si="0"/>
        <v>PP_15</v>
      </c>
      <c r="M1" t="str">
        <f t="shared" si="0"/>
        <v>PP_15</v>
      </c>
      <c r="N1" t="str">
        <f t="shared" si="0"/>
        <v>PP_15</v>
      </c>
      <c r="O1" t="str">
        <f t="shared" si="0"/>
        <v>PP_15</v>
      </c>
      <c r="P1" t="str">
        <f t="shared" si="0"/>
        <v>PP_15</v>
      </c>
    </row>
    <row r="2" spans="1:16" x14ac:dyDescent="0.25">
      <c r="A2" s="106" t="s">
        <v>177</v>
      </c>
      <c r="B2" s="107" t="s">
        <v>196</v>
      </c>
      <c r="D2" t="str">
        <f>D1</f>
        <v>PP_15</v>
      </c>
      <c r="E2" t="str">
        <f t="shared" ref="E2:P2" si="1">D2</f>
        <v>PP_15</v>
      </c>
      <c r="F2" t="str">
        <f t="shared" si="1"/>
        <v>PP_15</v>
      </c>
      <c r="G2" t="str">
        <f t="shared" si="1"/>
        <v>PP_15</v>
      </c>
      <c r="H2" t="str">
        <f t="shared" si="1"/>
        <v>PP_15</v>
      </c>
      <c r="I2" t="str">
        <f t="shared" si="1"/>
        <v>PP_15</v>
      </c>
      <c r="J2" t="str">
        <f t="shared" si="1"/>
        <v>PP_15</v>
      </c>
      <c r="K2" t="str">
        <f t="shared" si="1"/>
        <v>PP_15</v>
      </c>
      <c r="L2" t="str">
        <f t="shared" si="1"/>
        <v>PP_15</v>
      </c>
      <c r="M2" t="str">
        <f t="shared" si="1"/>
        <v>PP_15</v>
      </c>
      <c r="N2" t="str">
        <f t="shared" si="1"/>
        <v>PP_15</v>
      </c>
      <c r="O2" t="str">
        <f t="shared" si="1"/>
        <v>PP_15</v>
      </c>
      <c r="P2" t="str">
        <f t="shared" si="1"/>
        <v>PP_15</v>
      </c>
    </row>
    <row r="3" spans="1:16" x14ac:dyDescent="0.25">
      <c r="A3" s="74"/>
      <c r="B3" s="70"/>
      <c r="D3" t="str">
        <f t="shared" ref="D3:D30" si="2">D2</f>
        <v>PP_15</v>
      </c>
      <c r="E3" t="str">
        <f t="shared" ref="E3:P3" si="3">D3</f>
        <v>PP_15</v>
      </c>
      <c r="F3" t="str">
        <f t="shared" si="3"/>
        <v>PP_15</v>
      </c>
      <c r="G3" t="str">
        <f t="shared" si="3"/>
        <v>PP_15</v>
      </c>
      <c r="H3" t="str">
        <f t="shared" si="3"/>
        <v>PP_15</v>
      </c>
      <c r="I3" t="str">
        <f t="shared" si="3"/>
        <v>PP_15</v>
      </c>
      <c r="J3" t="str">
        <f t="shared" si="3"/>
        <v>PP_15</v>
      </c>
      <c r="K3" t="str">
        <f t="shared" si="3"/>
        <v>PP_15</v>
      </c>
      <c r="L3" t="str">
        <f t="shared" si="3"/>
        <v>PP_15</v>
      </c>
      <c r="M3" t="str">
        <f t="shared" si="3"/>
        <v>PP_15</v>
      </c>
      <c r="N3" t="str">
        <f t="shared" si="3"/>
        <v>PP_15</v>
      </c>
      <c r="O3" t="str">
        <f t="shared" si="3"/>
        <v>PP_15</v>
      </c>
      <c r="P3" t="str">
        <f t="shared" si="3"/>
        <v>PP_15</v>
      </c>
    </row>
    <row r="4" spans="1:16" x14ac:dyDescent="0.25">
      <c r="A4" s="75"/>
      <c r="B4" s="76"/>
      <c r="D4" t="str">
        <f t="shared" si="2"/>
        <v>PP_15</v>
      </c>
      <c r="E4" t="str">
        <f t="shared" ref="E4:P4" si="4">D4</f>
        <v>PP_15</v>
      </c>
      <c r="F4" t="str">
        <f t="shared" si="4"/>
        <v>PP_15</v>
      </c>
      <c r="G4" t="str">
        <f t="shared" si="4"/>
        <v>PP_15</v>
      </c>
      <c r="H4" t="str">
        <f t="shared" si="4"/>
        <v>PP_15</v>
      </c>
      <c r="I4" t="str">
        <f t="shared" si="4"/>
        <v>PP_15</v>
      </c>
      <c r="J4" t="str">
        <f t="shared" si="4"/>
        <v>PP_15</v>
      </c>
      <c r="K4" t="str">
        <f t="shared" si="4"/>
        <v>PP_15</v>
      </c>
      <c r="L4" t="str">
        <f t="shared" si="4"/>
        <v>PP_15</v>
      </c>
      <c r="M4" t="str">
        <f t="shared" si="4"/>
        <v>PP_15</v>
      </c>
      <c r="N4" t="str">
        <f t="shared" si="4"/>
        <v>PP_15</v>
      </c>
      <c r="O4" t="str">
        <f t="shared" si="4"/>
        <v>PP_15</v>
      </c>
      <c r="P4" t="str">
        <f t="shared" si="4"/>
        <v>PP_15</v>
      </c>
    </row>
    <row r="5" spans="1:16" x14ac:dyDescent="0.25">
      <c r="A5" s="74"/>
      <c r="B5" s="70"/>
      <c r="D5" t="str">
        <f t="shared" si="2"/>
        <v>PP_15</v>
      </c>
      <c r="E5" t="str">
        <f t="shared" ref="E5:P5" si="5">D5</f>
        <v>PP_15</v>
      </c>
      <c r="F5" t="str">
        <f t="shared" si="5"/>
        <v>PP_15</v>
      </c>
      <c r="G5" t="str">
        <f t="shared" si="5"/>
        <v>PP_15</v>
      </c>
      <c r="H5" t="str">
        <f t="shared" si="5"/>
        <v>PP_15</v>
      </c>
      <c r="I5" t="str">
        <f t="shared" si="5"/>
        <v>PP_15</v>
      </c>
      <c r="J5" t="str">
        <f t="shared" si="5"/>
        <v>PP_15</v>
      </c>
      <c r="K5" t="str">
        <f t="shared" si="5"/>
        <v>PP_15</v>
      </c>
      <c r="L5" t="str">
        <f t="shared" si="5"/>
        <v>PP_15</v>
      </c>
      <c r="M5" t="str">
        <f t="shared" si="5"/>
        <v>PP_15</v>
      </c>
      <c r="N5" t="str">
        <f t="shared" si="5"/>
        <v>PP_15</v>
      </c>
      <c r="O5" t="str">
        <f t="shared" si="5"/>
        <v>PP_15</v>
      </c>
      <c r="P5" t="str">
        <f t="shared" si="5"/>
        <v>PP_15</v>
      </c>
    </row>
    <row r="6" spans="1:16" x14ac:dyDescent="0.25">
      <c r="A6" s="74"/>
      <c r="B6" s="70"/>
      <c r="D6" t="str">
        <f t="shared" si="2"/>
        <v>PP_15</v>
      </c>
      <c r="E6" t="str">
        <f t="shared" ref="E6:P6" si="6">D6</f>
        <v>PP_15</v>
      </c>
      <c r="F6" t="str">
        <f t="shared" si="6"/>
        <v>PP_15</v>
      </c>
      <c r="G6" t="str">
        <f t="shared" si="6"/>
        <v>PP_15</v>
      </c>
      <c r="H6" t="str">
        <f t="shared" si="6"/>
        <v>PP_15</v>
      </c>
      <c r="I6" t="str">
        <f t="shared" si="6"/>
        <v>PP_15</v>
      </c>
      <c r="J6" t="str">
        <f t="shared" si="6"/>
        <v>PP_15</v>
      </c>
      <c r="K6" t="str">
        <f t="shared" si="6"/>
        <v>PP_15</v>
      </c>
      <c r="L6" t="str">
        <f t="shared" si="6"/>
        <v>PP_15</v>
      </c>
      <c r="M6" t="str">
        <f t="shared" si="6"/>
        <v>PP_15</v>
      </c>
      <c r="N6" t="str">
        <f t="shared" si="6"/>
        <v>PP_15</v>
      </c>
      <c r="O6" t="str">
        <f t="shared" si="6"/>
        <v>PP_15</v>
      </c>
      <c r="P6" t="str">
        <f t="shared" si="6"/>
        <v>PP_15</v>
      </c>
    </row>
    <row r="7" spans="1:16" x14ac:dyDescent="0.25">
      <c r="D7" t="str">
        <f t="shared" si="2"/>
        <v>PP_15</v>
      </c>
      <c r="E7" t="str">
        <f t="shared" ref="E7:P7" si="7">D7</f>
        <v>PP_15</v>
      </c>
      <c r="F7" t="str">
        <f t="shared" si="7"/>
        <v>PP_15</v>
      </c>
      <c r="G7" t="str">
        <f t="shared" si="7"/>
        <v>PP_15</v>
      </c>
      <c r="H7" t="str">
        <f t="shared" si="7"/>
        <v>PP_15</v>
      </c>
      <c r="I7" t="str">
        <f t="shared" si="7"/>
        <v>PP_15</v>
      </c>
      <c r="J7" t="str">
        <f t="shared" si="7"/>
        <v>PP_15</v>
      </c>
      <c r="K7" t="str">
        <f t="shared" si="7"/>
        <v>PP_15</v>
      </c>
      <c r="L7" t="str">
        <f t="shared" si="7"/>
        <v>PP_15</v>
      </c>
      <c r="M7" t="str">
        <f t="shared" si="7"/>
        <v>PP_15</v>
      </c>
      <c r="N7" t="str">
        <f t="shared" si="7"/>
        <v>PP_15</v>
      </c>
      <c r="O7" t="str">
        <f t="shared" si="7"/>
        <v>PP_15</v>
      </c>
      <c r="P7" t="str">
        <f t="shared" si="7"/>
        <v>PP_15</v>
      </c>
    </row>
    <row r="8" spans="1:16" x14ac:dyDescent="0.25">
      <c r="D8" t="str">
        <f t="shared" si="2"/>
        <v>PP_15</v>
      </c>
      <c r="E8" t="str">
        <f t="shared" ref="E8:P8" si="8">D8</f>
        <v>PP_15</v>
      </c>
      <c r="F8" t="str">
        <f t="shared" si="8"/>
        <v>PP_15</v>
      </c>
      <c r="G8" t="str">
        <f t="shared" si="8"/>
        <v>PP_15</v>
      </c>
      <c r="H8" t="str">
        <f t="shared" si="8"/>
        <v>PP_15</v>
      </c>
      <c r="I8" t="str">
        <f t="shared" si="8"/>
        <v>PP_15</v>
      </c>
      <c r="J8" t="str">
        <f t="shared" si="8"/>
        <v>PP_15</v>
      </c>
      <c r="K8" t="str">
        <f t="shared" si="8"/>
        <v>PP_15</v>
      </c>
      <c r="L8" t="str">
        <f t="shared" si="8"/>
        <v>PP_15</v>
      </c>
      <c r="M8" t="str">
        <f t="shared" si="8"/>
        <v>PP_15</v>
      </c>
      <c r="N8" t="str">
        <f t="shared" si="8"/>
        <v>PP_15</v>
      </c>
      <c r="O8" t="str">
        <f t="shared" si="8"/>
        <v>PP_15</v>
      </c>
      <c r="P8" t="str">
        <f t="shared" si="8"/>
        <v>PP_15</v>
      </c>
    </row>
    <row r="9" spans="1:16" x14ac:dyDescent="0.25">
      <c r="D9" t="str">
        <f t="shared" si="2"/>
        <v>PP_15</v>
      </c>
      <c r="E9" t="str">
        <f t="shared" ref="E9:P9" si="9">D9</f>
        <v>PP_15</v>
      </c>
      <c r="F9" t="str">
        <f t="shared" si="9"/>
        <v>PP_15</v>
      </c>
      <c r="G9" t="str">
        <f t="shared" si="9"/>
        <v>PP_15</v>
      </c>
      <c r="H9" t="str">
        <f t="shared" si="9"/>
        <v>PP_15</v>
      </c>
      <c r="I9" t="str">
        <f t="shared" si="9"/>
        <v>PP_15</v>
      </c>
      <c r="J9" t="str">
        <f t="shared" si="9"/>
        <v>PP_15</v>
      </c>
      <c r="K9" t="str">
        <f t="shared" si="9"/>
        <v>PP_15</v>
      </c>
      <c r="L9" t="str">
        <f t="shared" si="9"/>
        <v>PP_15</v>
      </c>
      <c r="M9" t="str">
        <f t="shared" si="9"/>
        <v>PP_15</v>
      </c>
      <c r="N9" t="str">
        <f t="shared" si="9"/>
        <v>PP_15</v>
      </c>
      <c r="O9" t="str">
        <f t="shared" si="9"/>
        <v>PP_15</v>
      </c>
      <c r="P9" t="str">
        <f t="shared" si="9"/>
        <v>PP_15</v>
      </c>
    </row>
    <row r="10" spans="1:16" x14ac:dyDescent="0.25">
      <c r="D10" t="str">
        <f t="shared" si="2"/>
        <v>PP_15</v>
      </c>
      <c r="E10" t="str">
        <f t="shared" ref="E10:P10" si="10">D10</f>
        <v>PP_15</v>
      </c>
      <c r="F10" t="str">
        <f t="shared" si="10"/>
        <v>PP_15</v>
      </c>
      <c r="G10" t="str">
        <f t="shared" si="10"/>
        <v>PP_15</v>
      </c>
      <c r="H10" t="str">
        <f t="shared" si="10"/>
        <v>PP_15</v>
      </c>
      <c r="I10" t="str">
        <f t="shared" si="10"/>
        <v>PP_15</v>
      </c>
      <c r="J10" t="str">
        <f t="shared" si="10"/>
        <v>PP_15</v>
      </c>
      <c r="K10" t="str">
        <f t="shared" si="10"/>
        <v>PP_15</v>
      </c>
      <c r="L10" t="str">
        <f t="shared" si="10"/>
        <v>PP_15</v>
      </c>
      <c r="M10" t="str">
        <f t="shared" si="10"/>
        <v>PP_15</v>
      </c>
      <c r="N10" t="str">
        <f t="shared" si="10"/>
        <v>PP_15</v>
      </c>
      <c r="O10" t="str">
        <f t="shared" si="10"/>
        <v>PP_15</v>
      </c>
      <c r="P10" t="str">
        <f t="shared" si="10"/>
        <v>PP_15</v>
      </c>
    </row>
    <row r="11" spans="1:16" x14ac:dyDescent="0.25">
      <c r="D11" t="str">
        <f t="shared" si="2"/>
        <v>PP_15</v>
      </c>
      <c r="E11" t="str">
        <f t="shared" ref="E11:P11" si="11">D11</f>
        <v>PP_15</v>
      </c>
      <c r="F11" t="str">
        <f t="shared" si="11"/>
        <v>PP_15</v>
      </c>
      <c r="G11" t="str">
        <f t="shared" si="11"/>
        <v>PP_15</v>
      </c>
      <c r="H11" t="str">
        <f t="shared" si="11"/>
        <v>PP_15</v>
      </c>
      <c r="I11" t="str">
        <f t="shared" si="11"/>
        <v>PP_15</v>
      </c>
      <c r="J11" t="str">
        <f t="shared" si="11"/>
        <v>PP_15</v>
      </c>
      <c r="K11" t="str">
        <f t="shared" si="11"/>
        <v>PP_15</v>
      </c>
      <c r="L11" t="str">
        <f t="shared" si="11"/>
        <v>PP_15</v>
      </c>
      <c r="M11" t="str">
        <f t="shared" si="11"/>
        <v>PP_15</v>
      </c>
      <c r="N11" t="str">
        <f t="shared" si="11"/>
        <v>PP_15</v>
      </c>
      <c r="O11" t="str">
        <f t="shared" si="11"/>
        <v>PP_15</v>
      </c>
      <c r="P11" t="str">
        <f t="shared" si="11"/>
        <v>PP_15</v>
      </c>
    </row>
    <row r="12" spans="1:16" x14ac:dyDescent="0.25">
      <c r="D12" t="str">
        <f t="shared" si="2"/>
        <v>PP_15</v>
      </c>
      <c r="E12" t="str">
        <f t="shared" ref="E12:P12" si="12">D12</f>
        <v>PP_15</v>
      </c>
      <c r="F12" t="str">
        <f t="shared" si="12"/>
        <v>PP_15</v>
      </c>
      <c r="G12" t="str">
        <f t="shared" si="12"/>
        <v>PP_15</v>
      </c>
      <c r="H12" t="str">
        <f t="shared" si="12"/>
        <v>PP_15</v>
      </c>
      <c r="I12" t="str">
        <f t="shared" si="12"/>
        <v>PP_15</v>
      </c>
      <c r="J12" t="str">
        <f t="shared" si="12"/>
        <v>PP_15</v>
      </c>
      <c r="K12" t="str">
        <f t="shared" si="12"/>
        <v>PP_15</v>
      </c>
      <c r="L12" t="str">
        <f t="shared" si="12"/>
        <v>PP_15</v>
      </c>
      <c r="M12" t="str">
        <f t="shared" si="12"/>
        <v>PP_15</v>
      </c>
      <c r="N12" t="str">
        <f t="shared" si="12"/>
        <v>PP_15</v>
      </c>
      <c r="O12" t="str">
        <f t="shared" si="12"/>
        <v>PP_15</v>
      </c>
      <c r="P12" t="str">
        <f t="shared" si="12"/>
        <v>PP_15</v>
      </c>
    </row>
    <row r="13" spans="1:16" x14ac:dyDescent="0.25">
      <c r="D13" t="str">
        <f t="shared" si="2"/>
        <v>PP_15</v>
      </c>
      <c r="E13" t="str">
        <f t="shared" ref="E13:P13" si="13">D13</f>
        <v>PP_15</v>
      </c>
      <c r="F13" t="str">
        <f t="shared" si="13"/>
        <v>PP_15</v>
      </c>
      <c r="G13" t="str">
        <f t="shared" si="13"/>
        <v>PP_15</v>
      </c>
      <c r="H13" t="str">
        <f t="shared" si="13"/>
        <v>PP_15</v>
      </c>
      <c r="I13" t="str">
        <f t="shared" si="13"/>
        <v>PP_15</v>
      </c>
      <c r="J13" t="str">
        <f t="shared" si="13"/>
        <v>PP_15</v>
      </c>
      <c r="K13" t="str">
        <f t="shared" si="13"/>
        <v>PP_15</v>
      </c>
      <c r="L13" t="str">
        <f t="shared" si="13"/>
        <v>PP_15</v>
      </c>
      <c r="M13" t="str">
        <f t="shared" si="13"/>
        <v>PP_15</v>
      </c>
      <c r="N13" t="str">
        <f t="shared" si="13"/>
        <v>PP_15</v>
      </c>
      <c r="O13" t="str">
        <f t="shared" si="13"/>
        <v>PP_15</v>
      </c>
      <c r="P13" t="str">
        <f t="shared" si="13"/>
        <v>PP_15</v>
      </c>
    </row>
    <row r="14" spans="1:16" x14ac:dyDescent="0.25">
      <c r="D14" t="str">
        <f t="shared" si="2"/>
        <v>PP_15</v>
      </c>
      <c r="E14" t="str">
        <f t="shared" ref="E14:P14" si="14">D14</f>
        <v>PP_15</v>
      </c>
      <c r="F14" t="str">
        <f t="shared" si="14"/>
        <v>PP_15</v>
      </c>
      <c r="G14" t="str">
        <f t="shared" si="14"/>
        <v>PP_15</v>
      </c>
      <c r="H14" t="str">
        <f t="shared" si="14"/>
        <v>PP_15</v>
      </c>
      <c r="I14" t="str">
        <f t="shared" si="14"/>
        <v>PP_15</v>
      </c>
      <c r="J14" t="str">
        <f t="shared" si="14"/>
        <v>PP_15</v>
      </c>
      <c r="K14" t="str">
        <f t="shared" si="14"/>
        <v>PP_15</v>
      </c>
      <c r="L14" t="str">
        <f t="shared" si="14"/>
        <v>PP_15</v>
      </c>
      <c r="M14" t="str">
        <f t="shared" si="14"/>
        <v>PP_15</v>
      </c>
      <c r="N14" t="str">
        <f t="shared" si="14"/>
        <v>PP_15</v>
      </c>
      <c r="O14" t="str">
        <f t="shared" si="14"/>
        <v>PP_15</v>
      </c>
      <c r="P14" t="str">
        <f t="shared" si="14"/>
        <v>PP_15</v>
      </c>
    </row>
    <row r="15" spans="1:16" x14ac:dyDescent="0.25">
      <c r="D15" t="str">
        <f t="shared" si="2"/>
        <v>PP_15</v>
      </c>
      <c r="E15" t="str">
        <f t="shared" ref="E15:P15" si="15">D15</f>
        <v>PP_15</v>
      </c>
      <c r="F15" t="str">
        <f t="shared" si="15"/>
        <v>PP_15</v>
      </c>
      <c r="G15" t="str">
        <f t="shared" si="15"/>
        <v>PP_15</v>
      </c>
      <c r="H15" t="str">
        <f t="shared" si="15"/>
        <v>PP_15</v>
      </c>
      <c r="I15" t="str">
        <f t="shared" si="15"/>
        <v>PP_15</v>
      </c>
      <c r="J15" t="str">
        <f t="shared" si="15"/>
        <v>PP_15</v>
      </c>
      <c r="K15" t="str">
        <f t="shared" si="15"/>
        <v>PP_15</v>
      </c>
      <c r="L15" t="str">
        <f t="shared" si="15"/>
        <v>PP_15</v>
      </c>
      <c r="M15" t="str">
        <f t="shared" si="15"/>
        <v>PP_15</v>
      </c>
      <c r="N15" t="str">
        <f t="shared" si="15"/>
        <v>PP_15</v>
      </c>
      <c r="O15" t="str">
        <f t="shared" si="15"/>
        <v>PP_15</v>
      </c>
      <c r="P15" t="str">
        <f t="shared" si="15"/>
        <v>PP_15</v>
      </c>
    </row>
    <row r="16" spans="1:16" x14ac:dyDescent="0.25">
      <c r="D16" t="str">
        <f t="shared" si="2"/>
        <v>PP_15</v>
      </c>
      <c r="E16" t="str">
        <f t="shared" ref="E16:P16" si="16">D16</f>
        <v>PP_15</v>
      </c>
      <c r="F16" t="str">
        <f t="shared" si="16"/>
        <v>PP_15</v>
      </c>
      <c r="G16" t="str">
        <f t="shared" si="16"/>
        <v>PP_15</v>
      </c>
      <c r="H16" t="str">
        <f t="shared" si="16"/>
        <v>PP_15</v>
      </c>
      <c r="I16" t="str">
        <f t="shared" si="16"/>
        <v>PP_15</v>
      </c>
      <c r="J16" t="str">
        <f t="shared" si="16"/>
        <v>PP_15</v>
      </c>
      <c r="K16" t="str">
        <f t="shared" si="16"/>
        <v>PP_15</v>
      </c>
      <c r="L16" t="str">
        <f t="shared" si="16"/>
        <v>PP_15</v>
      </c>
      <c r="M16" t="str">
        <f t="shared" si="16"/>
        <v>PP_15</v>
      </c>
      <c r="N16" t="str">
        <f t="shared" si="16"/>
        <v>PP_15</v>
      </c>
      <c r="O16" t="str">
        <f t="shared" si="16"/>
        <v>PP_15</v>
      </c>
      <c r="P16" t="str">
        <f t="shared" si="16"/>
        <v>PP_15</v>
      </c>
    </row>
    <row r="17" spans="4:16" x14ac:dyDescent="0.25">
      <c r="D17" t="str">
        <f t="shared" si="2"/>
        <v>PP_15</v>
      </c>
      <c r="E17" t="str">
        <f t="shared" ref="E17:P17" si="17">D17</f>
        <v>PP_15</v>
      </c>
      <c r="F17" t="str">
        <f t="shared" si="17"/>
        <v>PP_15</v>
      </c>
      <c r="G17" t="str">
        <f t="shared" si="17"/>
        <v>PP_15</v>
      </c>
      <c r="H17" t="str">
        <f t="shared" si="17"/>
        <v>PP_15</v>
      </c>
      <c r="I17" t="str">
        <f t="shared" si="17"/>
        <v>PP_15</v>
      </c>
      <c r="J17" t="str">
        <f t="shared" si="17"/>
        <v>PP_15</v>
      </c>
      <c r="K17" t="str">
        <f t="shared" si="17"/>
        <v>PP_15</v>
      </c>
      <c r="L17" t="str">
        <f t="shared" si="17"/>
        <v>PP_15</v>
      </c>
      <c r="M17" t="str">
        <f t="shared" si="17"/>
        <v>PP_15</v>
      </c>
      <c r="N17" t="str">
        <f t="shared" si="17"/>
        <v>PP_15</v>
      </c>
      <c r="O17" t="str">
        <f t="shared" si="17"/>
        <v>PP_15</v>
      </c>
      <c r="P17" t="str">
        <f t="shared" si="17"/>
        <v>PP_15</v>
      </c>
    </row>
    <row r="18" spans="4:16" x14ac:dyDescent="0.25">
      <c r="D18" t="str">
        <f t="shared" si="2"/>
        <v>PP_15</v>
      </c>
      <c r="E18" t="str">
        <f t="shared" ref="E18:P18" si="18">D18</f>
        <v>PP_15</v>
      </c>
      <c r="F18" t="str">
        <f t="shared" si="18"/>
        <v>PP_15</v>
      </c>
      <c r="G18" t="str">
        <f t="shared" si="18"/>
        <v>PP_15</v>
      </c>
      <c r="H18" t="str">
        <f t="shared" si="18"/>
        <v>PP_15</v>
      </c>
      <c r="I18" t="str">
        <f t="shared" si="18"/>
        <v>PP_15</v>
      </c>
      <c r="J18" t="str">
        <f t="shared" si="18"/>
        <v>PP_15</v>
      </c>
      <c r="K18" t="str">
        <f t="shared" si="18"/>
        <v>PP_15</v>
      </c>
      <c r="L18" t="str">
        <f t="shared" si="18"/>
        <v>PP_15</v>
      </c>
      <c r="M18" t="str">
        <f t="shared" si="18"/>
        <v>PP_15</v>
      </c>
      <c r="N18" t="str">
        <f t="shared" si="18"/>
        <v>PP_15</v>
      </c>
      <c r="O18" t="str">
        <f t="shared" si="18"/>
        <v>PP_15</v>
      </c>
      <c r="P18" t="str">
        <f t="shared" si="18"/>
        <v>PP_15</v>
      </c>
    </row>
    <row r="19" spans="4:16" x14ac:dyDescent="0.25">
      <c r="D19" t="str">
        <f t="shared" si="2"/>
        <v>PP_15</v>
      </c>
      <c r="E19" t="str">
        <f t="shared" ref="E19:P19" si="19">D19</f>
        <v>PP_15</v>
      </c>
      <c r="F19" t="str">
        <f t="shared" si="19"/>
        <v>PP_15</v>
      </c>
      <c r="G19" t="str">
        <f t="shared" si="19"/>
        <v>PP_15</v>
      </c>
      <c r="H19" t="str">
        <f t="shared" si="19"/>
        <v>PP_15</v>
      </c>
      <c r="I19" t="str">
        <f t="shared" si="19"/>
        <v>PP_15</v>
      </c>
      <c r="J19" t="str">
        <f t="shared" si="19"/>
        <v>PP_15</v>
      </c>
      <c r="K19" t="str">
        <f t="shared" si="19"/>
        <v>PP_15</v>
      </c>
      <c r="L19" t="str">
        <f t="shared" si="19"/>
        <v>PP_15</v>
      </c>
      <c r="M19" t="str">
        <f t="shared" si="19"/>
        <v>PP_15</v>
      </c>
      <c r="N19" t="str">
        <f t="shared" si="19"/>
        <v>PP_15</v>
      </c>
      <c r="O19" t="str">
        <f t="shared" si="19"/>
        <v>PP_15</v>
      </c>
      <c r="P19" t="str">
        <f t="shared" si="19"/>
        <v>PP_15</v>
      </c>
    </row>
    <row r="20" spans="4:16" x14ac:dyDescent="0.25">
      <c r="D20" t="str">
        <f t="shared" si="2"/>
        <v>PP_15</v>
      </c>
      <c r="E20" t="str">
        <f t="shared" ref="E20:P20" si="20">D20</f>
        <v>PP_15</v>
      </c>
      <c r="F20" t="str">
        <f t="shared" si="20"/>
        <v>PP_15</v>
      </c>
      <c r="G20" t="str">
        <f t="shared" si="20"/>
        <v>PP_15</v>
      </c>
      <c r="H20" t="str">
        <f t="shared" si="20"/>
        <v>PP_15</v>
      </c>
      <c r="I20" t="str">
        <f t="shared" si="20"/>
        <v>PP_15</v>
      </c>
      <c r="J20" t="str">
        <f t="shared" si="20"/>
        <v>PP_15</v>
      </c>
      <c r="K20" t="str">
        <f t="shared" si="20"/>
        <v>PP_15</v>
      </c>
      <c r="L20" t="str">
        <f t="shared" si="20"/>
        <v>PP_15</v>
      </c>
      <c r="M20" t="str">
        <f t="shared" si="20"/>
        <v>PP_15</v>
      </c>
      <c r="N20" t="str">
        <f t="shared" si="20"/>
        <v>PP_15</v>
      </c>
      <c r="O20" t="str">
        <f t="shared" si="20"/>
        <v>PP_15</v>
      </c>
      <c r="P20" t="str">
        <f t="shared" si="20"/>
        <v>PP_15</v>
      </c>
    </row>
    <row r="21" spans="4:16" x14ac:dyDescent="0.25">
      <c r="D21" t="str">
        <f t="shared" si="2"/>
        <v>PP_15</v>
      </c>
      <c r="E21" t="str">
        <f t="shared" ref="E21:P21" si="21">D21</f>
        <v>PP_15</v>
      </c>
      <c r="F21" t="str">
        <f t="shared" si="21"/>
        <v>PP_15</v>
      </c>
      <c r="G21" t="str">
        <f t="shared" si="21"/>
        <v>PP_15</v>
      </c>
      <c r="H21" t="str">
        <f t="shared" si="21"/>
        <v>PP_15</v>
      </c>
      <c r="I21" t="str">
        <f t="shared" si="21"/>
        <v>PP_15</v>
      </c>
      <c r="J21" t="str">
        <f t="shared" si="21"/>
        <v>PP_15</v>
      </c>
      <c r="K21" t="str">
        <f t="shared" si="21"/>
        <v>PP_15</v>
      </c>
      <c r="L21" t="str">
        <f t="shared" si="21"/>
        <v>PP_15</v>
      </c>
      <c r="M21" t="str">
        <f t="shared" si="21"/>
        <v>PP_15</v>
      </c>
      <c r="N21" t="str">
        <f t="shared" si="21"/>
        <v>PP_15</v>
      </c>
      <c r="O21" t="str">
        <f t="shared" si="21"/>
        <v>PP_15</v>
      </c>
      <c r="P21" t="str">
        <f t="shared" si="21"/>
        <v>PP_15</v>
      </c>
    </row>
    <row r="22" spans="4:16" x14ac:dyDescent="0.25">
      <c r="D22" t="str">
        <f t="shared" si="2"/>
        <v>PP_15</v>
      </c>
      <c r="E22" t="str">
        <f t="shared" ref="E22:P22" si="22">D22</f>
        <v>PP_15</v>
      </c>
      <c r="F22" t="str">
        <f t="shared" si="22"/>
        <v>PP_15</v>
      </c>
      <c r="G22" t="str">
        <f t="shared" si="22"/>
        <v>PP_15</v>
      </c>
      <c r="H22" t="str">
        <f t="shared" si="22"/>
        <v>PP_15</v>
      </c>
      <c r="I22" t="str">
        <f t="shared" si="22"/>
        <v>PP_15</v>
      </c>
      <c r="J22" t="str">
        <f t="shared" si="22"/>
        <v>PP_15</v>
      </c>
      <c r="K22" t="str">
        <f t="shared" si="22"/>
        <v>PP_15</v>
      </c>
      <c r="L22" t="str">
        <f t="shared" si="22"/>
        <v>PP_15</v>
      </c>
      <c r="M22" t="str">
        <f t="shared" si="22"/>
        <v>PP_15</v>
      </c>
      <c r="N22" t="str">
        <f t="shared" si="22"/>
        <v>PP_15</v>
      </c>
      <c r="O22" t="str">
        <f t="shared" si="22"/>
        <v>PP_15</v>
      </c>
      <c r="P22" t="str">
        <f t="shared" si="22"/>
        <v>PP_15</v>
      </c>
    </row>
    <row r="23" spans="4:16" x14ac:dyDescent="0.25">
      <c r="D23" t="str">
        <f t="shared" si="2"/>
        <v>PP_15</v>
      </c>
      <c r="E23" t="str">
        <f t="shared" ref="E23:P23" si="23">D23</f>
        <v>PP_15</v>
      </c>
      <c r="F23" t="str">
        <f t="shared" si="23"/>
        <v>PP_15</v>
      </c>
      <c r="G23" t="str">
        <f t="shared" si="23"/>
        <v>PP_15</v>
      </c>
      <c r="H23" t="str">
        <f t="shared" si="23"/>
        <v>PP_15</v>
      </c>
      <c r="I23" t="str">
        <f t="shared" si="23"/>
        <v>PP_15</v>
      </c>
      <c r="J23" t="str">
        <f t="shared" si="23"/>
        <v>PP_15</v>
      </c>
      <c r="K23" t="str">
        <f t="shared" si="23"/>
        <v>PP_15</v>
      </c>
      <c r="L23" t="str">
        <f t="shared" si="23"/>
        <v>PP_15</v>
      </c>
      <c r="M23" t="str">
        <f t="shared" si="23"/>
        <v>PP_15</v>
      </c>
      <c r="N23" t="str">
        <f t="shared" si="23"/>
        <v>PP_15</v>
      </c>
      <c r="O23" t="str">
        <f t="shared" si="23"/>
        <v>PP_15</v>
      </c>
      <c r="P23" t="str">
        <f t="shared" si="23"/>
        <v>PP_15</v>
      </c>
    </row>
    <row r="24" spans="4:16" x14ac:dyDescent="0.25">
      <c r="D24" t="str">
        <f t="shared" si="2"/>
        <v>PP_15</v>
      </c>
      <c r="E24" t="str">
        <f t="shared" ref="E24:P24" si="24">D24</f>
        <v>PP_15</v>
      </c>
      <c r="F24" t="str">
        <f t="shared" si="24"/>
        <v>PP_15</v>
      </c>
      <c r="G24" t="str">
        <f t="shared" si="24"/>
        <v>PP_15</v>
      </c>
      <c r="H24" t="str">
        <f t="shared" si="24"/>
        <v>PP_15</v>
      </c>
      <c r="I24" t="str">
        <f t="shared" si="24"/>
        <v>PP_15</v>
      </c>
      <c r="J24" t="str">
        <f t="shared" si="24"/>
        <v>PP_15</v>
      </c>
      <c r="K24" t="str">
        <f t="shared" si="24"/>
        <v>PP_15</v>
      </c>
      <c r="L24" t="str">
        <f t="shared" si="24"/>
        <v>PP_15</v>
      </c>
      <c r="M24" t="str">
        <f t="shared" si="24"/>
        <v>PP_15</v>
      </c>
      <c r="N24" t="str">
        <f t="shared" si="24"/>
        <v>PP_15</v>
      </c>
      <c r="O24" t="str">
        <f t="shared" si="24"/>
        <v>PP_15</v>
      </c>
      <c r="P24" t="str">
        <f t="shared" si="24"/>
        <v>PP_15</v>
      </c>
    </row>
    <row r="25" spans="4:16" x14ac:dyDescent="0.25">
      <c r="D25" t="str">
        <f t="shared" si="2"/>
        <v>PP_15</v>
      </c>
      <c r="E25" t="str">
        <f t="shared" ref="E25:P25" si="25">D25</f>
        <v>PP_15</v>
      </c>
      <c r="F25" t="str">
        <f t="shared" si="25"/>
        <v>PP_15</v>
      </c>
      <c r="G25" t="str">
        <f t="shared" si="25"/>
        <v>PP_15</v>
      </c>
      <c r="H25" t="str">
        <f t="shared" si="25"/>
        <v>PP_15</v>
      </c>
      <c r="I25" t="str">
        <f t="shared" si="25"/>
        <v>PP_15</v>
      </c>
      <c r="J25" t="str">
        <f t="shared" si="25"/>
        <v>PP_15</v>
      </c>
      <c r="K25" t="str">
        <f t="shared" si="25"/>
        <v>PP_15</v>
      </c>
      <c r="L25" t="str">
        <f t="shared" si="25"/>
        <v>PP_15</v>
      </c>
      <c r="M25" t="str">
        <f t="shared" si="25"/>
        <v>PP_15</v>
      </c>
      <c r="N25" t="str">
        <f t="shared" si="25"/>
        <v>PP_15</v>
      </c>
      <c r="O25" t="str">
        <f t="shared" si="25"/>
        <v>PP_15</v>
      </c>
      <c r="P25" t="str">
        <f t="shared" si="25"/>
        <v>PP_15</v>
      </c>
    </row>
    <row r="26" spans="4:16" x14ac:dyDescent="0.25">
      <c r="D26" t="str">
        <f t="shared" si="2"/>
        <v>PP_15</v>
      </c>
      <c r="E26" t="str">
        <f t="shared" ref="E26:P26" si="26">D26</f>
        <v>PP_15</v>
      </c>
      <c r="F26" t="str">
        <f t="shared" si="26"/>
        <v>PP_15</v>
      </c>
      <c r="G26" t="str">
        <f t="shared" si="26"/>
        <v>PP_15</v>
      </c>
      <c r="H26" t="str">
        <f t="shared" si="26"/>
        <v>PP_15</v>
      </c>
      <c r="I26" t="str">
        <f t="shared" si="26"/>
        <v>PP_15</v>
      </c>
      <c r="J26" t="str">
        <f t="shared" si="26"/>
        <v>PP_15</v>
      </c>
      <c r="K26" t="str">
        <f t="shared" si="26"/>
        <v>PP_15</v>
      </c>
      <c r="L26" t="str">
        <f t="shared" si="26"/>
        <v>PP_15</v>
      </c>
      <c r="M26" t="str">
        <f t="shared" si="26"/>
        <v>PP_15</v>
      </c>
      <c r="N26" t="str">
        <f t="shared" si="26"/>
        <v>PP_15</v>
      </c>
      <c r="O26" t="str">
        <f t="shared" si="26"/>
        <v>PP_15</v>
      </c>
      <c r="P26" t="str">
        <f t="shared" si="26"/>
        <v>PP_15</v>
      </c>
    </row>
    <row r="27" spans="4:16" x14ac:dyDescent="0.25">
      <c r="D27" t="str">
        <f t="shared" si="2"/>
        <v>PP_15</v>
      </c>
      <c r="E27" t="str">
        <f t="shared" ref="E27:P27" si="27">D27</f>
        <v>PP_15</v>
      </c>
      <c r="F27" t="str">
        <f t="shared" si="27"/>
        <v>PP_15</v>
      </c>
      <c r="G27" t="str">
        <f t="shared" si="27"/>
        <v>PP_15</v>
      </c>
      <c r="H27" t="str">
        <f t="shared" si="27"/>
        <v>PP_15</v>
      </c>
      <c r="I27" t="str">
        <f t="shared" si="27"/>
        <v>PP_15</v>
      </c>
      <c r="J27" t="str">
        <f t="shared" si="27"/>
        <v>PP_15</v>
      </c>
      <c r="K27" t="str">
        <f t="shared" si="27"/>
        <v>PP_15</v>
      </c>
      <c r="L27" t="str">
        <f t="shared" si="27"/>
        <v>PP_15</v>
      </c>
      <c r="M27" t="str">
        <f t="shared" si="27"/>
        <v>PP_15</v>
      </c>
      <c r="N27" t="str">
        <f t="shared" si="27"/>
        <v>PP_15</v>
      </c>
      <c r="O27" t="str">
        <f t="shared" si="27"/>
        <v>PP_15</v>
      </c>
      <c r="P27" t="str">
        <f t="shared" si="27"/>
        <v>PP_15</v>
      </c>
    </row>
    <row r="28" spans="4:16" x14ac:dyDescent="0.25">
      <c r="D28" t="str">
        <f t="shared" si="2"/>
        <v>PP_15</v>
      </c>
      <c r="E28" t="str">
        <f t="shared" ref="E28:P28" si="28">D28</f>
        <v>PP_15</v>
      </c>
      <c r="F28" t="str">
        <f t="shared" si="28"/>
        <v>PP_15</v>
      </c>
      <c r="G28" t="str">
        <f t="shared" si="28"/>
        <v>PP_15</v>
      </c>
      <c r="H28" t="str">
        <f t="shared" si="28"/>
        <v>PP_15</v>
      </c>
      <c r="I28" t="str">
        <f t="shared" si="28"/>
        <v>PP_15</v>
      </c>
      <c r="J28" t="str">
        <f t="shared" si="28"/>
        <v>PP_15</v>
      </c>
      <c r="K28" t="str">
        <f t="shared" si="28"/>
        <v>PP_15</v>
      </c>
      <c r="L28" t="str">
        <f t="shared" si="28"/>
        <v>PP_15</v>
      </c>
      <c r="M28" t="str">
        <f t="shared" si="28"/>
        <v>PP_15</v>
      </c>
      <c r="N28" t="str">
        <f t="shared" si="28"/>
        <v>PP_15</v>
      </c>
      <c r="O28" t="str">
        <f t="shared" si="28"/>
        <v>PP_15</v>
      </c>
      <c r="P28" t="str">
        <f t="shared" si="28"/>
        <v>PP_15</v>
      </c>
    </row>
    <row r="29" spans="4:16" x14ac:dyDescent="0.25">
      <c r="D29" t="str">
        <f t="shared" si="2"/>
        <v>PP_15</v>
      </c>
      <c r="E29" t="str">
        <f t="shared" ref="E29:P29" si="29">D29</f>
        <v>PP_15</v>
      </c>
      <c r="F29" t="str">
        <f t="shared" si="29"/>
        <v>PP_15</v>
      </c>
      <c r="G29" t="str">
        <f t="shared" si="29"/>
        <v>PP_15</v>
      </c>
      <c r="H29" t="str">
        <f t="shared" si="29"/>
        <v>PP_15</v>
      </c>
      <c r="I29" t="str">
        <f t="shared" si="29"/>
        <v>PP_15</v>
      </c>
      <c r="J29" t="str">
        <f t="shared" si="29"/>
        <v>PP_15</v>
      </c>
      <c r="K29" t="str">
        <f t="shared" si="29"/>
        <v>PP_15</v>
      </c>
      <c r="L29" t="str">
        <f t="shared" si="29"/>
        <v>PP_15</v>
      </c>
      <c r="M29" t="str">
        <f t="shared" si="29"/>
        <v>PP_15</v>
      </c>
      <c r="N29" t="str">
        <f t="shared" si="29"/>
        <v>PP_15</v>
      </c>
      <c r="O29" t="str">
        <f t="shared" si="29"/>
        <v>PP_15</v>
      </c>
      <c r="P29" t="str">
        <f t="shared" si="29"/>
        <v>PP_15</v>
      </c>
    </row>
    <row r="30" spans="4:16" x14ac:dyDescent="0.25">
      <c r="D30" t="str">
        <f t="shared" si="2"/>
        <v>PP_15</v>
      </c>
      <c r="E30" t="str">
        <f t="shared" ref="E30:P30" si="30">D30</f>
        <v>PP_15</v>
      </c>
      <c r="F30" t="str">
        <f t="shared" si="30"/>
        <v>PP_15</v>
      </c>
      <c r="G30" t="str">
        <f t="shared" si="30"/>
        <v>PP_15</v>
      </c>
      <c r="H30" t="str">
        <f t="shared" si="30"/>
        <v>PP_15</v>
      </c>
      <c r="I30" t="str">
        <f t="shared" si="30"/>
        <v>PP_15</v>
      </c>
      <c r="J30" t="str">
        <f t="shared" si="30"/>
        <v>PP_15</v>
      </c>
      <c r="K30" t="str">
        <f t="shared" si="30"/>
        <v>PP_15</v>
      </c>
      <c r="L30" t="str">
        <f t="shared" si="30"/>
        <v>PP_15</v>
      </c>
      <c r="M30" t="str">
        <f t="shared" si="30"/>
        <v>PP_15</v>
      </c>
      <c r="N30" t="str">
        <f t="shared" si="30"/>
        <v>PP_15</v>
      </c>
      <c r="O30" t="str">
        <f t="shared" si="30"/>
        <v>PP_15</v>
      </c>
      <c r="P30" t="str">
        <f t="shared" si="30"/>
        <v>PP_15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200</v>
      </c>
      <c r="E1" t="str">
        <f>D1</f>
        <v>PP_16</v>
      </c>
      <c r="F1" t="str">
        <f t="shared" ref="F1:P1" si="0">E1</f>
        <v>PP_16</v>
      </c>
      <c r="G1" t="str">
        <f t="shared" si="0"/>
        <v>PP_16</v>
      </c>
      <c r="H1" t="str">
        <f t="shared" si="0"/>
        <v>PP_16</v>
      </c>
      <c r="I1" t="str">
        <f t="shared" si="0"/>
        <v>PP_16</v>
      </c>
      <c r="J1" t="str">
        <f t="shared" si="0"/>
        <v>PP_16</v>
      </c>
      <c r="K1" t="str">
        <f t="shared" si="0"/>
        <v>PP_16</v>
      </c>
      <c r="L1" t="str">
        <f t="shared" si="0"/>
        <v>PP_16</v>
      </c>
      <c r="M1" t="str">
        <f t="shared" si="0"/>
        <v>PP_16</v>
      </c>
      <c r="N1" t="str">
        <f t="shared" si="0"/>
        <v>PP_16</v>
      </c>
      <c r="O1" t="str">
        <f t="shared" si="0"/>
        <v>PP_16</v>
      </c>
      <c r="P1" t="str">
        <f t="shared" si="0"/>
        <v>PP_16</v>
      </c>
    </row>
    <row r="2" spans="1:16" x14ac:dyDescent="0.25">
      <c r="A2" s="106" t="s">
        <v>177</v>
      </c>
      <c r="B2" s="107" t="s">
        <v>196</v>
      </c>
      <c r="D2" t="str">
        <f>D1</f>
        <v>PP_16</v>
      </c>
      <c r="E2" t="str">
        <f t="shared" ref="E2:P2" si="1">D2</f>
        <v>PP_16</v>
      </c>
      <c r="F2" t="str">
        <f t="shared" si="1"/>
        <v>PP_16</v>
      </c>
      <c r="G2" t="str">
        <f t="shared" si="1"/>
        <v>PP_16</v>
      </c>
      <c r="H2" t="str">
        <f t="shared" si="1"/>
        <v>PP_16</v>
      </c>
      <c r="I2" t="str">
        <f t="shared" si="1"/>
        <v>PP_16</v>
      </c>
      <c r="J2" t="str">
        <f t="shared" si="1"/>
        <v>PP_16</v>
      </c>
      <c r="K2" t="str">
        <f t="shared" si="1"/>
        <v>PP_16</v>
      </c>
      <c r="L2" t="str">
        <f t="shared" si="1"/>
        <v>PP_16</v>
      </c>
      <c r="M2" t="str">
        <f t="shared" si="1"/>
        <v>PP_16</v>
      </c>
      <c r="N2" t="str">
        <f t="shared" si="1"/>
        <v>PP_16</v>
      </c>
      <c r="O2" t="str">
        <f t="shared" si="1"/>
        <v>PP_16</v>
      </c>
      <c r="P2" t="str">
        <f t="shared" si="1"/>
        <v>PP_16</v>
      </c>
    </row>
    <row r="3" spans="1:16" x14ac:dyDescent="0.25">
      <c r="A3" s="74"/>
      <c r="B3" s="70"/>
      <c r="D3" t="str">
        <f t="shared" ref="D3:D30" si="2">D2</f>
        <v>PP_16</v>
      </c>
      <c r="E3" t="str">
        <f t="shared" ref="E3:P3" si="3">D3</f>
        <v>PP_16</v>
      </c>
      <c r="F3" t="str">
        <f t="shared" si="3"/>
        <v>PP_16</v>
      </c>
      <c r="G3" t="str">
        <f t="shared" si="3"/>
        <v>PP_16</v>
      </c>
      <c r="H3" t="str">
        <f t="shared" si="3"/>
        <v>PP_16</v>
      </c>
      <c r="I3" t="str">
        <f t="shared" si="3"/>
        <v>PP_16</v>
      </c>
      <c r="J3" t="str">
        <f t="shared" si="3"/>
        <v>PP_16</v>
      </c>
      <c r="K3" t="str">
        <f t="shared" si="3"/>
        <v>PP_16</v>
      </c>
      <c r="L3" t="str">
        <f t="shared" si="3"/>
        <v>PP_16</v>
      </c>
      <c r="M3" t="str">
        <f t="shared" si="3"/>
        <v>PP_16</v>
      </c>
      <c r="N3" t="str">
        <f t="shared" si="3"/>
        <v>PP_16</v>
      </c>
      <c r="O3" t="str">
        <f t="shared" si="3"/>
        <v>PP_16</v>
      </c>
      <c r="P3" t="str">
        <f t="shared" si="3"/>
        <v>PP_16</v>
      </c>
    </row>
    <row r="4" spans="1:16" x14ac:dyDescent="0.25">
      <c r="A4" s="75"/>
      <c r="B4" s="76"/>
      <c r="D4" t="str">
        <f t="shared" si="2"/>
        <v>PP_16</v>
      </c>
      <c r="E4" t="str">
        <f t="shared" ref="E4:P4" si="4">D4</f>
        <v>PP_16</v>
      </c>
      <c r="F4" t="str">
        <f t="shared" si="4"/>
        <v>PP_16</v>
      </c>
      <c r="G4" t="str">
        <f t="shared" si="4"/>
        <v>PP_16</v>
      </c>
      <c r="H4" t="str">
        <f t="shared" si="4"/>
        <v>PP_16</v>
      </c>
      <c r="I4" t="str">
        <f t="shared" si="4"/>
        <v>PP_16</v>
      </c>
      <c r="J4" t="str">
        <f t="shared" si="4"/>
        <v>PP_16</v>
      </c>
      <c r="K4" t="str">
        <f t="shared" si="4"/>
        <v>PP_16</v>
      </c>
      <c r="L4" t="str">
        <f t="shared" si="4"/>
        <v>PP_16</v>
      </c>
      <c r="M4" t="str">
        <f t="shared" si="4"/>
        <v>PP_16</v>
      </c>
      <c r="N4" t="str">
        <f t="shared" si="4"/>
        <v>PP_16</v>
      </c>
      <c r="O4" t="str">
        <f t="shared" si="4"/>
        <v>PP_16</v>
      </c>
      <c r="P4" t="str">
        <f t="shared" si="4"/>
        <v>PP_16</v>
      </c>
    </row>
    <row r="5" spans="1:16" x14ac:dyDescent="0.25">
      <c r="A5" s="74"/>
      <c r="B5" s="70"/>
      <c r="D5" t="str">
        <f t="shared" si="2"/>
        <v>PP_16</v>
      </c>
      <c r="E5" t="str">
        <f t="shared" ref="E5:P5" si="5">D5</f>
        <v>PP_16</v>
      </c>
      <c r="F5" t="str">
        <f t="shared" si="5"/>
        <v>PP_16</v>
      </c>
      <c r="G5" t="str">
        <f t="shared" si="5"/>
        <v>PP_16</v>
      </c>
      <c r="H5" t="str">
        <f t="shared" si="5"/>
        <v>PP_16</v>
      </c>
      <c r="I5" t="str">
        <f t="shared" si="5"/>
        <v>PP_16</v>
      </c>
      <c r="J5" t="str">
        <f t="shared" si="5"/>
        <v>PP_16</v>
      </c>
      <c r="K5" t="str">
        <f t="shared" si="5"/>
        <v>PP_16</v>
      </c>
      <c r="L5" t="str">
        <f t="shared" si="5"/>
        <v>PP_16</v>
      </c>
      <c r="M5" t="str">
        <f t="shared" si="5"/>
        <v>PP_16</v>
      </c>
      <c r="N5" t="str">
        <f t="shared" si="5"/>
        <v>PP_16</v>
      </c>
      <c r="O5" t="str">
        <f t="shared" si="5"/>
        <v>PP_16</v>
      </c>
      <c r="P5" t="str">
        <f t="shared" si="5"/>
        <v>PP_16</v>
      </c>
    </row>
    <row r="6" spans="1:16" x14ac:dyDescent="0.25">
      <c r="A6" s="74"/>
      <c r="B6" s="70"/>
      <c r="D6" t="str">
        <f t="shared" si="2"/>
        <v>PP_16</v>
      </c>
      <c r="E6" t="str">
        <f t="shared" ref="E6:P6" si="6">D6</f>
        <v>PP_16</v>
      </c>
      <c r="F6" t="str">
        <f t="shared" si="6"/>
        <v>PP_16</v>
      </c>
      <c r="G6" t="str">
        <f t="shared" si="6"/>
        <v>PP_16</v>
      </c>
      <c r="H6" t="str">
        <f t="shared" si="6"/>
        <v>PP_16</v>
      </c>
      <c r="I6" t="str">
        <f t="shared" si="6"/>
        <v>PP_16</v>
      </c>
      <c r="J6" t="str">
        <f t="shared" si="6"/>
        <v>PP_16</v>
      </c>
      <c r="K6" t="str">
        <f t="shared" si="6"/>
        <v>PP_16</v>
      </c>
      <c r="L6" t="str">
        <f t="shared" si="6"/>
        <v>PP_16</v>
      </c>
      <c r="M6" t="str">
        <f t="shared" si="6"/>
        <v>PP_16</v>
      </c>
      <c r="N6" t="str">
        <f t="shared" si="6"/>
        <v>PP_16</v>
      </c>
      <c r="O6" t="str">
        <f t="shared" si="6"/>
        <v>PP_16</v>
      </c>
      <c r="P6" t="str">
        <f t="shared" si="6"/>
        <v>PP_16</v>
      </c>
    </row>
    <row r="7" spans="1:16" x14ac:dyDescent="0.25">
      <c r="D7" t="str">
        <f t="shared" si="2"/>
        <v>PP_16</v>
      </c>
      <c r="E7" t="str">
        <f t="shared" ref="E7:P7" si="7">D7</f>
        <v>PP_16</v>
      </c>
      <c r="F7" t="str">
        <f t="shared" si="7"/>
        <v>PP_16</v>
      </c>
      <c r="G7" t="str">
        <f t="shared" si="7"/>
        <v>PP_16</v>
      </c>
      <c r="H7" t="str">
        <f t="shared" si="7"/>
        <v>PP_16</v>
      </c>
      <c r="I7" t="str">
        <f t="shared" si="7"/>
        <v>PP_16</v>
      </c>
      <c r="J7" t="str">
        <f t="shared" si="7"/>
        <v>PP_16</v>
      </c>
      <c r="K7" t="str">
        <f t="shared" si="7"/>
        <v>PP_16</v>
      </c>
      <c r="L7" t="str">
        <f t="shared" si="7"/>
        <v>PP_16</v>
      </c>
      <c r="M7" t="str">
        <f t="shared" si="7"/>
        <v>PP_16</v>
      </c>
      <c r="N7" t="str">
        <f t="shared" si="7"/>
        <v>PP_16</v>
      </c>
      <c r="O7" t="str">
        <f t="shared" si="7"/>
        <v>PP_16</v>
      </c>
      <c r="P7" t="str">
        <f t="shared" si="7"/>
        <v>PP_16</v>
      </c>
    </row>
    <row r="8" spans="1:16" x14ac:dyDescent="0.25">
      <c r="D8" t="str">
        <f t="shared" si="2"/>
        <v>PP_16</v>
      </c>
      <c r="E8" t="str">
        <f t="shared" ref="E8:P8" si="8">D8</f>
        <v>PP_16</v>
      </c>
      <c r="F8" t="str">
        <f t="shared" si="8"/>
        <v>PP_16</v>
      </c>
      <c r="G8" t="str">
        <f t="shared" si="8"/>
        <v>PP_16</v>
      </c>
      <c r="H8" t="str">
        <f t="shared" si="8"/>
        <v>PP_16</v>
      </c>
      <c r="I8" t="str">
        <f t="shared" si="8"/>
        <v>PP_16</v>
      </c>
      <c r="J8" t="str">
        <f t="shared" si="8"/>
        <v>PP_16</v>
      </c>
      <c r="K8" t="str">
        <f t="shared" si="8"/>
        <v>PP_16</v>
      </c>
      <c r="L8" t="str">
        <f t="shared" si="8"/>
        <v>PP_16</v>
      </c>
      <c r="M8" t="str">
        <f t="shared" si="8"/>
        <v>PP_16</v>
      </c>
      <c r="N8" t="str">
        <f t="shared" si="8"/>
        <v>PP_16</v>
      </c>
      <c r="O8" t="str">
        <f t="shared" si="8"/>
        <v>PP_16</v>
      </c>
      <c r="P8" t="str">
        <f t="shared" si="8"/>
        <v>PP_16</v>
      </c>
    </row>
    <row r="9" spans="1:16" x14ac:dyDescent="0.25">
      <c r="D9" t="str">
        <f t="shared" si="2"/>
        <v>PP_16</v>
      </c>
      <c r="E9" t="str">
        <f t="shared" ref="E9:P9" si="9">D9</f>
        <v>PP_16</v>
      </c>
      <c r="F9" t="str">
        <f t="shared" si="9"/>
        <v>PP_16</v>
      </c>
      <c r="G9" t="str">
        <f t="shared" si="9"/>
        <v>PP_16</v>
      </c>
      <c r="H9" t="str">
        <f t="shared" si="9"/>
        <v>PP_16</v>
      </c>
      <c r="I9" t="str">
        <f t="shared" si="9"/>
        <v>PP_16</v>
      </c>
      <c r="J9" t="str">
        <f t="shared" si="9"/>
        <v>PP_16</v>
      </c>
      <c r="K9" t="str">
        <f t="shared" si="9"/>
        <v>PP_16</v>
      </c>
      <c r="L9" t="str">
        <f t="shared" si="9"/>
        <v>PP_16</v>
      </c>
      <c r="M9" t="str">
        <f t="shared" si="9"/>
        <v>PP_16</v>
      </c>
      <c r="N9" t="str">
        <f t="shared" si="9"/>
        <v>PP_16</v>
      </c>
      <c r="O9" t="str">
        <f t="shared" si="9"/>
        <v>PP_16</v>
      </c>
      <c r="P9" t="str">
        <f t="shared" si="9"/>
        <v>PP_16</v>
      </c>
    </row>
    <row r="10" spans="1:16" x14ac:dyDescent="0.25">
      <c r="D10" t="str">
        <f t="shared" si="2"/>
        <v>PP_16</v>
      </c>
      <c r="E10" t="str">
        <f t="shared" ref="E10:P10" si="10">D10</f>
        <v>PP_16</v>
      </c>
      <c r="F10" t="str">
        <f t="shared" si="10"/>
        <v>PP_16</v>
      </c>
      <c r="G10" t="str">
        <f t="shared" si="10"/>
        <v>PP_16</v>
      </c>
      <c r="H10" t="str">
        <f t="shared" si="10"/>
        <v>PP_16</v>
      </c>
      <c r="I10" t="str">
        <f t="shared" si="10"/>
        <v>PP_16</v>
      </c>
      <c r="J10" t="str">
        <f t="shared" si="10"/>
        <v>PP_16</v>
      </c>
      <c r="K10" t="str">
        <f t="shared" si="10"/>
        <v>PP_16</v>
      </c>
      <c r="L10" t="str">
        <f t="shared" si="10"/>
        <v>PP_16</v>
      </c>
      <c r="M10" t="str">
        <f t="shared" si="10"/>
        <v>PP_16</v>
      </c>
      <c r="N10" t="str">
        <f t="shared" si="10"/>
        <v>PP_16</v>
      </c>
      <c r="O10" t="str">
        <f t="shared" si="10"/>
        <v>PP_16</v>
      </c>
      <c r="P10" t="str">
        <f t="shared" si="10"/>
        <v>PP_16</v>
      </c>
    </row>
    <row r="11" spans="1:16" x14ac:dyDescent="0.25">
      <c r="D11" t="str">
        <f t="shared" si="2"/>
        <v>PP_16</v>
      </c>
      <c r="E11" t="str">
        <f t="shared" ref="E11:P11" si="11">D11</f>
        <v>PP_16</v>
      </c>
      <c r="F11" t="str">
        <f t="shared" si="11"/>
        <v>PP_16</v>
      </c>
      <c r="G11" t="str">
        <f t="shared" si="11"/>
        <v>PP_16</v>
      </c>
      <c r="H11" t="str">
        <f t="shared" si="11"/>
        <v>PP_16</v>
      </c>
      <c r="I11" t="str">
        <f t="shared" si="11"/>
        <v>PP_16</v>
      </c>
      <c r="J11" t="str">
        <f t="shared" si="11"/>
        <v>PP_16</v>
      </c>
      <c r="K11" t="str">
        <f t="shared" si="11"/>
        <v>PP_16</v>
      </c>
      <c r="L11" t="str">
        <f t="shared" si="11"/>
        <v>PP_16</v>
      </c>
      <c r="M11" t="str">
        <f t="shared" si="11"/>
        <v>PP_16</v>
      </c>
      <c r="N11" t="str">
        <f t="shared" si="11"/>
        <v>PP_16</v>
      </c>
      <c r="O11" t="str">
        <f t="shared" si="11"/>
        <v>PP_16</v>
      </c>
      <c r="P11" t="str">
        <f t="shared" si="11"/>
        <v>PP_16</v>
      </c>
    </row>
    <row r="12" spans="1:16" x14ac:dyDescent="0.25">
      <c r="D12" t="str">
        <f t="shared" si="2"/>
        <v>PP_16</v>
      </c>
      <c r="E12" t="str">
        <f t="shared" ref="E12:P12" si="12">D12</f>
        <v>PP_16</v>
      </c>
      <c r="F12" t="str">
        <f t="shared" si="12"/>
        <v>PP_16</v>
      </c>
      <c r="G12" t="str">
        <f t="shared" si="12"/>
        <v>PP_16</v>
      </c>
      <c r="H12" t="str">
        <f t="shared" si="12"/>
        <v>PP_16</v>
      </c>
      <c r="I12" t="str">
        <f t="shared" si="12"/>
        <v>PP_16</v>
      </c>
      <c r="J12" t="str">
        <f t="shared" si="12"/>
        <v>PP_16</v>
      </c>
      <c r="K12" t="str">
        <f t="shared" si="12"/>
        <v>PP_16</v>
      </c>
      <c r="L12" t="str">
        <f t="shared" si="12"/>
        <v>PP_16</v>
      </c>
      <c r="M12" t="str">
        <f t="shared" si="12"/>
        <v>PP_16</v>
      </c>
      <c r="N12" t="str">
        <f t="shared" si="12"/>
        <v>PP_16</v>
      </c>
      <c r="O12" t="str">
        <f t="shared" si="12"/>
        <v>PP_16</v>
      </c>
      <c r="P12" t="str">
        <f t="shared" si="12"/>
        <v>PP_16</v>
      </c>
    </row>
    <row r="13" spans="1:16" x14ac:dyDescent="0.25">
      <c r="D13" t="str">
        <f t="shared" si="2"/>
        <v>PP_16</v>
      </c>
      <c r="E13" t="str">
        <f t="shared" ref="E13:P13" si="13">D13</f>
        <v>PP_16</v>
      </c>
      <c r="F13" t="str">
        <f t="shared" si="13"/>
        <v>PP_16</v>
      </c>
      <c r="G13" t="str">
        <f t="shared" si="13"/>
        <v>PP_16</v>
      </c>
      <c r="H13" t="str">
        <f t="shared" si="13"/>
        <v>PP_16</v>
      </c>
      <c r="I13" t="str">
        <f t="shared" si="13"/>
        <v>PP_16</v>
      </c>
      <c r="J13" t="str">
        <f t="shared" si="13"/>
        <v>PP_16</v>
      </c>
      <c r="K13" t="str">
        <f t="shared" si="13"/>
        <v>PP_16</v>
      </c>
      <c r="L13" t="str">
        <f t="shared" si="13"/>
        <v>PP_16</v>
      </c>
      <c r="M13" t="str">
        <f t="shared" si="13"/>
        <v>PP_16</v>
      </c>
      <c r="N13" t="str">
        <f t="shared" si="13"/>
        <v>PP_16</v>
      </c>
      <c r="O13" t="str">
        <f t="shared" si="13"/>
        <v>PP_16</v>
      </c>
      <c r="P13" t="str">
        <f t="shared" si="13"/>
        <v>PP_16</v>
      </c>
    </row>
    <row r="14" spans="1:16" x14ac:dyDescent="0.25">
      <c r="D14" t="str">
        <f t="shared" si="2"/>
        <v>PP_16</v>
      </c>
      <c r="E14" t="str">
        <f t="shared" ref="E14:P14" si="14">D14</f>
        <v>PP_16</v>
      </c>
      <c r="F14" t="str">
        <f t="shared" si="14"/>
        <v>PP_16</v>
      </c>
      <c r="G14" t="str">
        <f t="shared" si="14"/>
        <v>PP_16</v>
      </c>
      <c r="H14" t="str">
        <f t="shared" si="14"/>
        <v>PP_16</v>
      </c>
      <c r="I14" t="str">
        <f t="shared" si="14"/>
        <v>PP_16</v>
      </c>
      <c r="J14" t="str">
        <f t="shared" si="14"/>
        <v>PP_16</v>
      </c>
      <c r="K14" t="str">
        <f t="shared" si="14"/>
        <v>PP_16</v>
      </c>
      <c r="L14" t="str">
        <f t="shared" si="14"/>
        <v>PP_16</v>
      </c>
      <c r="M14" t="str">
        <f t="shared" si="14"/>
        <v>PP_16</v>
      </c>
      <c r="N14" t="str">
        <f t="shared" si="14"/>
        <v>PP_16</v>
      </c>
      <c r="O14" t="str">
        <f t="shared" si="14"/>
        <v>PP_16</v>
      </c>
      <c r="P14" t="str">
        <f t="shared" si="14"/>
        <v>PP_16</v>
      </c>
    </row>
    <row r="15" spans="1:16" x14ac:dyDescent="0.25">
      <c r="D15" t="str">
        <f t="shared" si="2"/>
        <v>PP_16</v>
      </c>
      <c r="E15" t="str">
        <f t="shared" ref="E15:P15" si="15">D15</f>
        <v>PP_16</v>
      </c>
      <c r="F15" t="str">
        <f t="shared" si="15"/>
        <v>PP_16</v>
      </c>
      <c r="G15" t="str">
        <f t="shared" si="15"/>
        <v>PP_16</v>
      </c>
      <c r="H15" t="str">
        <f t="shared" si="15"/>
        <v>PP_16</v>
      </c>
      <c r="I15" t="str">
        <f t="shared" si="15"/>
        <v>PP_16</v>
      </c>
      <c r="J15" t="str">
        <f t="shared" si="15"/>
        <v>PP_16</v>
      </c>
      <c r="K15" t="str">
        <f t="shared" si="15"/>
        <v>PP_16</v>
      </c>
      <c r="L15" t="str">
        <f t="shared" si="15"/>
        <v>PP_16</v>
      </c>
      <c r="M15" t="str">
        <f t="shared" si="15"/>
        <v>PP_16</v>
      </c>
      <c r="N15" t="str">
        <f t="shared" si="15"/>
        <v>PP_16</v>
      </c>
      <c r="O15" t="str">
        <f t="shared" si="15"/>
        <v>PP_16</v>
      </c>
      <c r="P15" t="str">
        <f t="shared" si="15"/>
        <v>PP_16</v>
      </c>
    </row>
    <row r="16" spans="1:16" x14ac:dyDescent="0.25">
      <c r="D16" t="str">
        <f t="shared" si="2"/>
        <v>PP_16</v>
      </c>
      <c r="E16" t="str">
        <f t="shared" ref="E16:P16" si="16">D16</f>
        <v>PP_16</v>
      </c>
      <c r="F16" t="str">
        <f t="shared" si="16"/>
        <v>PP_16</v>
      </c>
      <c r="G16" t="str">
        <f t="shared" si="16"/>
        <v>PP_16</v>
      </c>
      <c r="H16" t="str">
        <f t="shared" si="16"/>
        <v>PP_16</v>
      </c>
      <c r="I16" t="str">
        <f t="shared" si="16"/>
        <v>PP_16</v>
      </c>
      <c r="J16" t="str">
        <f t="shared" si="16"/>
        <v>PP_16</v>
      </c>
      <c r="K16" t="str">
        <f t="shared" si="16"/>
        <v>PP_16</v>
      </c>
      <c r="L16" t="str">
        <f t="shared" si="16"/>
        <v>PP_16</v>
      </c>
      <c r="M16" t="str">
        <f t="shared" si="16"/>
        <v>PP_16</v>
      </c>
      <c r="N16" t="str">
        <f t="shared" si="16"/>
        <v>PP_16</v>
      </c>
      <c r="O16" t="str">
        <f t="shared" si="16"/>
        <v>PP_16</v>
      </c>
      <c r="P16" t="str">
        <f t="shared" si="16"/>
        <v>PP_16</v>
      </c>
    </row>
    <row r="17" spans="4:16" x14ac:dyDescent="0.25">
      <c r="D17" t="str">
        <f t="shared" si="2"/>
        <v>PP_16</v>
      </c>
      <c r="E17" t="str">
        <f t="shared" ref="E17:P17" si="17">D17</f>
        <v>PP_16</v>
      </c>
      <c r="F17" t="str">
        <f t="shared" si="17"/>
        <v>PP_16</v>
      </c>
      <c r="G17" t="str">
        <f t="shared" si="17"/>
        <v>PP_16</v>
      </c>
      <c r="H17" t="str">
        <f t="shared" si="17"/>
        <v>PP_16</v>
      </c>
      <c r="I17" t="str">
        <f t="shared" si="17"/>
        <v>PP_16</v>
      </c>
      <c r="J17" t="str">
        <f t="shared" si="17"/>
        <v>PP_16</v>
      </c>
      <c r="K17" t="str">
        <f t="shared" si="17"/>
        <v>PP_16</v>
      </c>
      <c r="L17" t="str">
        <f t="shared" si="17"/>
        <v>PP_16</v>
      </c>
      <c r="M17" t="str">
        <f t="shared" si="17"/>
        <v>PP_16</v>
      </c>
      <c r="N17" t="str">
        <f t="shared" si="17"/>
        <v>PP_16</v>
      </c>
      <c r="O17" t="str">
        <f t="shared" si="17"/>
        <v>PP_16</v>
      </c>
      <c r="P17" t="str">
        <f t="shared" si="17"/>
        <v>PP_16</v>
      </c>
    </row>
    <row r="18" spans="4:16" x14ac:dyDescent="0.25">
      <c r="D18" t="str">
        <f t="shared" si="2"/>
        <v>PP_16</v>
      </c>
      <c r="E18" t="str">
        <f t="shared" ref="E18:P18" si="18">D18</f>
        <v>PP_16</v>
      </c>
      <c r="F18" t="str">
        <f t="shared" si="18"/>
        <v>PP_16</v>
      </c>
      <c r="G18" t="str">
        <f t="shared" si="18"/>
        <v>PP_16</v>
      </c>
      <c r="H18" t="str">
        <f t="shared" si="18"/>
        <v>PP_16</v>
      </c>
      <c r="I18" t="str">
        <f t="shared" si="18"/>
        <v>PP_16</v>
      </c>
      <c r="J18" t="str">
        <f t="shared" si="18"/>
        <v>PP_16</v>
      </c>
      <c r="K18" t="str">
        <f t="shared" si="18"/>
        <v>PP_16</v>
      </c>
      <c r="L18" t="str">
        <f t="shared" si="18"/>
        <v>PP_16</v>
      </c>
      <c r="M18" t="str">
        <f t="shared" si="18"/>
        <v>PP_16</v>
      </c>
      <c r="N18" t="str">
        <f t="shared" si="18"/>
        <v>PP_16</v>
      </c>
      <c r="O18" t="str">
        <f t="shared" si="18"/>
        <v>PP_16</v>
      </c>
      <c r="P18" t="str">
        <f t="shared" si="18"/>
        <v>PP_16</v>
      </c>
    </row>
    <row r="19" spans="4:16" x14ac:dyDescent="0.25">
      <c r="D19" t="str">
        <f t="shared" si="2"/>
        <v>PP_16</v>
      </c>
      <c r="E19" t="str">
        <f t="shared" ref="E19:P19" si="19">D19</f>
        <v>PP_16</v>
      </c>
      <c r="F19" t="str">
        <f t="shared" si="19"/>
        <v>PP_16</v>
      </c>
      <c r="G19" t="str">
        <f t="shared" si="19"/>
        <v>PP_16</v>
      </c>
      <c r="H19" t="str">
        <f t="shared" si="19"/>
        <v>PP_16</v>
      </c>
      <c r="I19" t="str">
        <f t="shared" si="19"/>
        <v>PP_16</v>
      </c>
      <c r="J19" t="str">
        <f t="shared" si="19"/>
        <v>PP_16</v>
      </c>
      <c r="K19" t="str">
        <f t="shared" si="19"/>
        <v>PP_16</v>
      </c>
      <c r="L19" t="str">
        <f t="shared" si="19"/>
        <v>PP_16</v>
      </c>
      <c r="M19" t="str">
        <f t="shared" si="19"/>
        <v>PP_16</v>
      </c>
      <c r="N19" t="str">
        <f t="shared" si="19"/>
        <v>PP_16</v>
      </c>
      <c r="O19" t="str">
        <f t="shared" si="19"/>
        <v>PP_16</v>
      </c>
      <c r="P19" t="str">
        <f t="shared" si="19"/>
        <v>PP_16</v>
      </c>
    </row>
    <row r="20" spans="4:16" x14ac:dyDescent="0.25">
      <c r="D20" t="str">
        <f t="shared" si="2"/>
        <v>PP_16</v>
      </c>
      <c r="E20" t="str">
        <f t="shared" ref="E20:P20" si="20">D20</f>
        <v>PP_16</v>
      </c>
      <c r="F20" t="str">
        <f t="shared" si="20"/>
        <v>PP_16</v>
      </c>
      <c r="G20" t="str">
        <f t="shared" si="20"/>
        <v>PP_16</v>
      </c>
      <c r="H20" t="str">
        <f t="shared" si="20"/>
        <v>PP_16</v>
      </c>
      <c r="I20" t="str">
        <f t="shared" si="20"/>
        <v>PP_16</v>
      </c>
      <c r="J20" t="str">
        <f t="shared" si="20"/>
        <v>PP_16</v>
      </c>
      <c r="K20" t="str">
        <f t="shared" si="20"/>
        <v>PP_16</v>
      </c>
      <c r="L20" t="str">
        <f t="shared" si="20"/>
        <v>PP_16</v>
      </c>
      <c r="M20" t="str">
        <f t="shared" si="20"/>
        <v>PP_16</v>
      </c>
      <c r="N20" t="str">
        <f t="shared" si="20"/>
        <v>PP_16</v>
      </c>
      <c r="O20" t="str">
        <f t="shared" si="20"/>
        <v>PP_16</v>
      </c>
      <c r="P20" t="str">
        <f t="shared" si="20"/>
        <v>PP_16</v>
      </c>
    </row>
    <row r="21" spans="4:16" x14ac:dyDescent="0.25">
      <c r="D21" t="str">
        <f t="shared" si="2"/>
        <v>PP_16</v>
      </c>
      <c r="E21" t="str">
        <f t="shared" ref="E21:P21" si="21">D21</f>
        <v>PP_16</v>
      </c>
      <c r="F21" t="str">
        <f t="shared" si="21"/>
        <v>PP_16</v>
      </c>
      <c r="G21" t="str">
        <f t="shared" si="21"/>
        <v>PP_16</v>
      </c>
      <c r="H21" t="str">
        <f t="shared" si="21"/>
        <v>PP_16</v>
      </c>
      <c r="I21" t="str">
        <f t="shared" si="21"/>
        <v>PP_16</v>
      </c>
      <c r="J21" t="str">
        <f t="shared" si="21"/>
        <v>PP_16</v>
      </c>
      <c r="K21" t="str">
        <f t="shared" si="21"/>
        <v>PP_16</v>
      </c>
      <c r="L21" t="str">
        <f t="shared" si="21"/>
        <v>PP_16</v>
      </c>
      <c r="M21" t="str">
        <f t="shared" si="21"/>
        <v>PP_16</v>
      </c>
      <c r="N21" t="str">
        <f t="shared" si="21"/>
        <v>PP_16</v>
      </c>
      <c r="O21" t="str">
        <f t="shared" si="21"/>
        <v>PP_16</v>
      </c>
      <c r="P21" t="str">
        <f t="shared" si="21"/>
        <v>PP_16</v>
      </c>
    </row>
    <row r="22" spans="4:16" x14ac:dyDescent="0.25">
      <c r="D22" t="str">
        <f t="shared" si="2"/>
        <v>PP_16</v>
      </c>
      <c r="E22" t="str">
        <f t="shared" ref="E22:P22" si="22">D22</f>
        <v>PP_16</v>
      </c>
      <c r="F22" t="str">
        <f t="shared" si="22"/>
        <v>PP_16</v>
      </c>
      <c r="G22" t="str">
        <f t="shared" si="22"/>
        <v>PP_16</v>
      </c>
      <c r="H22" t="str">
        <f t="shared" si="22"/>
        <v>PP_16</v>
      </c>
      <c r="I22" t="str">
        <f t="shared" si="22"/>
        <v>PP_16</v>
      </c>
      <c r="J22" t="str">
        <f t="shared" si="22"/>
        <v>PP_16</v>
      </c>
      <c r="K22" t="str">
        <f t="shared" si="22"/>
        <v>PP_16</v>
      </c>
      <c r="L22" t="str">
        <f t="shared" si="22"/>
        <v>PP_16</v>
      </c>
      <c r="M22" t="str">
        <f t="shared" si="22"/>
        <v>PP_16</v>
      </c>
      <c r="N22" t="str">
        <f t="shared" si="22"/>
        <v>PP_16</v>
      </c>
      <c r="O22" t="str">
        <f t="shared" si="22"/>
        <v>PP_16</v>
      </c>
      <c r="P22" t="str">
        <f t="shared" si="22"/>
        <v>PP_16</v>
      </c>
    </row>
    <row r="23" spans="4:16" x14ac:dyDescent="0.25">
      <c r="D23" t="str">
        <f t="shared" si="2"/>
        <v>PP_16</v>
      </c>
      <c r="E23" t="str">
        <f t="shared" ref="E23:P23" si="23">D23</f>
        <v>PP_16</v>
      </c>
      <c r="F23" t="str">
        <f t="shared" si="23"/>
        <v>PP_16</v>
      </c>
      <c r="G23" t="str">
        <f t="shared" si="23"/>
        <v>PP_16</v>
      </c>
      <c r="H23" t="str">
        <f t="shared" si="23"/>
        <v>PP_16</v>
      </c>
      <c r="I23" t="str">
        <f t="shared" si="23"/>
        <v>PP_16</v>
      </c>
      <c r="J23" t="str">
        <f t="shared" si="23"/>
        <v>PP_16</v>
      </c>
      <c r="K23" t="str">
        <f t="shared" si="23"/>
        <v>PP_16</v>
      </c>
      <c r="L23" t="str">
        <f t="shared" si="23"/>
        <v>PP_16</v>
      </c>
      <c r="M23" t="str">
        <f t="shared" si="23"/>
        <v>PP_16</v>
      </c>
      <c r="N23" t="str">
        <f t="shared" si="23"/>
        <v>PP_16</v>
      </c>
      <c r="O23" t="str">
        <f t="shared" si="23"/>
        <v>PP_16</v>
      </c>
      <c r="P23" t="str">
        <f t="shared" si="23"/>
        <v>PP_16</v>
      </c>
    </row>
    <row r="24" spans="4:16" x14ac:dyDescent="0.25">
      <c r="D24" t="str">
        <f t="shared" si="2"/>
        <v>PP_16</v>
      </c>
      <c r="E24" t="str">
        <f t="shared" ref="E24:P24" si="24">D24</f>
        <v>PP_16</v>
      </c>
      <c r="F24" t="str">
        <f t="shared" si="24"/>
        <v>PP_16</v>
      </c>
      <c r="G24" t="str">
        <f t="shared" si="24"/>
        <v>PP_16</v>
      </c>
      <c r="H24" t="str">
        <f t="shared" si="24"/>
        <v>PP_16</v>
      </c>
      <c r="I24" t="str">
        <f t="shared" si="24"/>
        <v>PP_16</v>
      </c>
      <c r="J24" t="str">
        <f t="shared" si="24"/>
        <v>PP_16</v>
      </c>
      <c r="K24" t="str">
        <f t="shared" si="24"/>
        <v>PP_16</v>
      </c>
      <c r="L24" t="str">
        <f t="shared" si="24"/>
        <v>PP_16</v>
      </c>
      <c r="M24" t="str">
        <f t="shared" si="24"/>
        <v>PP_16</v>
      </c>
      <c r="N24" t="str">
        <f t="shared" si="24"/>
        <v>PP_16</v>
      </c>
      <c r="O24" t="str">
        <f t="shared" si="24"/>
        <v>PP_16</v>
      </c>
      <c r="P24" t="str">
        <f t="shared" si="24"/>
        <v>PP_16</v>
      </c>
    </row>
    <row r="25" spans="4:16" x14ac:dyDescent="0.25">
      <c r="D25" t="str">
        <f t="shared" si="2"/>
        <v>PP_16</v>
      </c>
      <c r="E25" t="str">
        <f t="shared" ref="E25:P25" si="25">D25</f>
        <v>PP_16</v>
      </c>
      <c r="F25" t="str">
        <f t="shared" si="25"/>
        <v>PP_16</v>
      </c>
      <c r="G25" t="str">
        <f t="shared" si="25"/>
        <v>PP_16</v>
      </c>
      <c r="H25" t="str">
        <f t="shared" si="25"/>
        <v>PP_16</v>
      </c>
      <c r="I25" t="str">
        <f t="shared" si="25"/>
        <v>PP_16</v>
      </c>
      <c r="J25" t="str">
        <f t="shared" si="25"/>
        <v>PP_16</v>
      </c>
      <c r="K25" t="str">
        <f t="shared" si="25"/>
        <v>PP_16</v>
      </c>
      <c r="L25" t="str">
        <f t="shared" si="25"/>
        <v>PP_16</v>
      </c>
      <c r="M25" t="str">
        <f t="shared" si="25"/>
        <v>PP_16</v>
      </c>
      <c r="N25" t="str">
        <f t="shared" si="25"/>
        <v>PP_16</v>
      </c>
      <c r="O25" t="str">
        <f t="shared" si="25"/>
        <v>PP_16</v>
      </c>
      <c r="P25" t="str">
        <f t="shared" si="25"/>
        <v>PP_16</v>
      </c>
    </row>
    <row r="26" spans="4:16" x14ac:dyDescent="0.25">
      <c r="D26" t="str">
        <f t="shared" si="2"/>
        <v>PP_16</v>
      </c>
      <c r="E26" t="str">
        <f t="shared" ref="E26:P26" si="26">D26</f>
        <v>PP_16</v>
      </c>
      <c r="F26" t="str">
        <f t="shared" si="26"/>
        <v>PP_16</v>
      </c>
      <c r="G26" t="str">
        <f t="shared" si="26"/>
        <v>PP_16</v>
      </c>
      <c r="H26" t="str">
        <f t="shared" si="26"/>
        <v>PP_16</v>
      </c>
      <c r="I26" t="str">
        <f t="shared" si="26"/>
        <v>PP_16</v>
      </c>
      <c r="J26" t="str">
        <f t="shared" si="26"/>
        <v>PP_16</v>
      </c>
      <c r="K26" t="str">
        <f t="shared" si="26"/>
        <v>PP_16</v>
      </c>
      <c r="L26" t="str">
        <f t="shared" si="26"/>
        <v>PP_16</v>
      </c>
      <c r="M26" t="str">
        <f t="shared" si="26"/>
        <v>PP_16</v>
      </c>
      <c r="N26" t="str">
        <f t="shared" si="26"/>
        <v>PP_16</v>
      </c>
      <c r="O26" t="str">
        <f t="shared" si="26"/>
        <v>PP_16</v>
      </c>
      <c r="P26" t="str">
        <f t="shared" si="26"/>
        <v>PP_16</v>
      </c>
    </row>
    <row r="27" spans="4:16" x14ac:dyDescent="0.25">
      <c r="D27" t="str">
        <f t="shared" si="2"/>
        <v>PP_16</v>
      </c>
      <c r="E27" t="str">
        <f t="shared" ref="E27:P27" si="27">D27</f>
        <v>PP_16</v>
      </c>
      <c r="F27" t="str">
        <f t="shared" si="27"/>
        <v>PP_16</v>
      </c>
      <c r="G27" t="str">
        <f t="shared" si="27"/>
        <v>PP_16</v>
      </c>
      <c r="H27" t="str">
        <f t="shared" si="27"/>
        <v>PP_16</v>
      </c>
      <c r="I27" t="str">
        <f t="shared" si="27"/>
        <v>PP_16</v>
      </c>
      <c r="J27" t="str">
        <f t="shared" si="27"/>
        <v>PP_16</v>
      </c>
      <c r="K27" t="str">
        <f t="shared" si="27"/>
        <v>PP_16</v>
      </c>
      <c r="L27" t="str">
        <f t="shared" si="27"/>
        <v>PP_16</v>
      </c>
      <c r="M27" t="str">
        <f t="shared" si="27"/>
        <v>PP_16</v>
      </c>
      <c r="N27" t="str">
        <f t="shared" si="27"/>
        <v>PP_16</v>
      </c>
      <c r="O27" t="str">
        <f t="shared" si="27"/>
        <v>PP_16</v>
      </c>
      <c r="P27" t="str">
        <f t="shared" si="27"/>
        <v>PP_16</v>
      </c>
    </row>
    <row r="28" spans="4:16" x14ac:dyDescent="0.25">
      <c r="D28" t="str">
        <f t="shared" si="2"/>
        <v>PP_16</v>
      </c>
      <c r="E28" t="str">
        <f t="shared" ref="E28:P28" si="28">D28</f>
        <v>PP_16</v>
      </c>
      <c r="F28" t="str">
        <f t="shared" si="28"/>
        <v>PP_16</v>
      </c>
      <c r="G28" t="str">
        <f t="shared" si="28"/>
        <v>PP_16</v>
      </c>
      <c r="H28" t="str">
        <f t="shared" si="28"/>
        <v>PP_16</v>
      </c>
      <c r="I28" t="str">
        <f t="shared" si="28"/>
        <v>PP_16</v>
      </c>
      <c r="J28" t="str">
        <f t="shared" si="28"/>
        <v>PP_16</v>
      </c>
      <c r="K28" t="str">
        <f t="shared" si="28"/>
        <v>PP_16</v>
      </c>
      <c r="L28" t="str">
        <f t="shared" si="28"/>
        <v>PP_16</v>
      </c>
      <c r="M28" t="str">
        <f t="shared" si="28"/>
        <v>PP_16</v>
      </c>
      <c r="N28" t="str">
        <f t="shared" si="28"/>
        <v>PP_16</v>
      </c>
      <c r="O28" t="str">
        <f t="shared" si="28"/>
        <v>PP_16</v>
      </c>
      <c r="P28" t="str">
        <f t="shared" si="28"/>
        <v>PP_16</v>
      </c>
    </row>
    <row r="29" spans="4:16" x14ac:dyDescent="0.25">
      <c r="D29" t="str">
        <f t="shared" si="2"/>
        <v>PP_16</v>
      </c>
      <c r="E29" t="str">
        <f t="shared" ref="E29:P29" si="29">D29</f>
        <v>PP_16</v>
      </c>
      <c r="F29" t="str">
        <f t="shared" si="29"/>
        <v>PP_16</v>
      </c>
      <c r="G29" t="str">
        <f t="shared" si="29"/>
        <v>PP_16</v>
      </c>
      <c r="H29" t="str">
        <f t="shared" si="29"/>
        <v>PP_16</v>
      </c>
      <c r="I29" t="str">
        <f t="shared" si="29"/>
        <v>PP_16</v>
      </c>
      <c r="J29" t="str">
        <f t="shared" si="29"/>
        <v>PP_16</v>
      </c>
      <c r="K29" t="str">
        <f t="shared" si="29"/>
        <v>PP_16</v>
      </c>
      <c r="L29" t="str">
        <f t="shared" si="29"/>
        <v>PP_16</v>
      </c>
      <c r="M29" t="str">
        <f t="shared" si="29"/>
        <v>PP_16</v>
      </c>
      <c r="N29" t="str">
        <f t="shared" si="29"/>
        <v>PP_16</v>
      </c>
      <c r="O29" t="str">
        <f t="shared" si="29"/>
        <v>PP_16</v>
      </c>
      <c r="P29" t="str">
        <f t="shared" si="29"/>
        <v>PP_16</v>
      </c>
    </row>
    <row r="30" spans="4:16" x14ac:dyDescent="0.25">
      <c r="D30" t="str">
        <f t="shared" si="2"/>
        <v>PP_16</v>
      </c>
      <c r="E30" t="str">
        <f t="shared" ref="E30:P30" si="30">D30</f>
        <v>PP_16</v>
      </c>
      <c r="F30" t="str">
        <f t="shared" si="30"/>
        <v>PP_16</v>
      </c>
      <c r="G30" t="str">
        <f t="shared" si="30"/>
        <v>PP_16</v>
      </c>
      <c r="H30" t="str">
        <f t="shared" si="30"/>
        <v>PP_16</v>
      </c>
      <c r="I30" t="str">
        <f t="shared" si="30"/>
        <v>PP_16</v>
      </c>
      <c r="J30" t="str">
        <f t="shared" si="30"/>
        <v>PP_16</v>
      </c>
      <c r="K30" t="str">
        <f t="shared" si="30"/>
        <v>PP_16</v>
      </c>
      <c r="L30" t="str">
        <f t="shared" si="30"/>
        <v>PP_16</v>
      </c>
      <c r="M30" t="str">
        <f t="shared" si="30"/>
        <v>PP_16</v>
      </c>
      <c r="N30" t="str">
        <f t="shared" si="30"/>
        <v>PP_16</v>
      </c>
      <c r="O30" t="str">
        <f t="shared" si="30"/>
        <v>PP_16</v>
      </c>
      <c r="P30" t="str">
        <f t="shared" si="30"/>
        <v>PP_16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201</v>
      </c>
      <c r="E1" t="str">
        <f>D1</f>
        <v>PP_17</v>
      </c>
      <c r="F1" t="str">
        <f t="shared" ref="F1:P1" si="0">E1</f>
        <v>PP_17</v>
      </c>
      <c r="G1" t="str">
        <f t="shared" si="0"/>
        <v>PP_17</v>
      </c>
      <c r="H1" t="str">
        <f t="shared" si="0"/>
        <v>PP_17</v>
      </c>
      <c r="I1" t="str">
        <f t="shared" si="0"/>
        <v>PP_17</v>
      </c>
      <c r="J1" t="str">
        <f t="shared" si="0"/>
        <v>PP_17</v>
      </c>
      <c r="K1" t="str">
        <f t="shared" si="0"/>
        <v>PP_17</v>
      </c>
      <c r="L1" t="str">
        <f t="shared" si="0"/>
        <v>PP_17</v>
      </c>
      <c r="M1" t="str">
        <f t="shared" si="0"/>
        <v>PP_17</v>
      </c>
      <c r="N1" t="str">
        <f t="shared" si="0"/>
        <v>PP_17</v>
      </c>
      <c r="O1" t="str">
        <f t="shared" si="0"/>
        <v>PP_17</v>
      </c>
      <c r="P1" t="str">
        <f t="shared" si="0"/>
        <v>PP_17</v>
      </c>
    </row>
    <row r="2" spans="1:16" x14ac:dyDescent="0.25">
      <c r="A2" s="106" t="s">
        <v>177</v>
      </c>
      <c r="B2" s="107" t="s">
        <v>196</v>
      </c>
      <c r="D2" t="str">
        <f>D1</f>
        <v>PP_17</v>
      </c>
      <c r="E2" t="str">
        <f t="shared" ref="E2:P2" si="1">D2</f>
        <v>PP_17</v>
      </c>
      <c r="F2" t="str">
        <f t="shared" si="1"/>
        <v>PP_17</v>
      </c>
      <c r="G2" t="str">
        <f t="shared" si="1"/>
        <v>PP_17</v>
      </c>
      <c r="H2" t="str">
        <f t="shared" si="1"/>
        <v>PP_17</v>
      </c>
      <c r="I2" t="str">
        <f t="shared" si="1"/>
        <v>PP_17</v>
      </c>
      <c r="J2" t="str">
        <f t="shared" si="1"/>
        <v>PP_17</v>
      </c>
      <c r="K2" t="str">
        <f t="shared" si="1"/>
        <v>PP_17</v>
      </c>
      <c r="L2" t="str">
        <f t="shared" si="1"/>
        <v>PP_17</v>
      </c>
      <c r="M2" t="str">
        <f t="shared" si="1"/>
        <v>PP_17</v>
      </c>
      <c r="N2" t="str">
        <f t="shared" si="1"/>
        <v>PP_17</v>
      </c>
      <c r="O2" t="str">
        <f t="shared" si="1"/>
        <v>PP_17</v>
      </c>
      <c r="P2" t="str">
        <f t="shared" si="1"/>
        <v>PP_17</v>
      </c>
    </row>
    <row r="3" spans="1:16" x14ac:dyDescent="0.25">
      <c r="A3" s="74"/>
      <c r="B3" s="70"/>
      <c r="D3" t="str">
        <f t="shared" ref="D3:D30" si="2">D2</f>
        <v>PP_17</v>
      </c>
      <c r="E3" t="str">
        <f t="shared" ref="E3:P3" si="3">D3</f>
        <v>PP_17</v>
      </c>
      <c r="F3" t="str">
        <f t="shared" si="3"/>
        <v>PP_17</v>
      </c>
      <c r="G3" t="str">
        <f t="shared" si="3"/>
        <v>PP_17</v>
      </c>
      <c r="H3" t="str">
        <f t="shared" si="3"/>
        <v>PP_17</v>
      </c>
      <c r="I3" t="str">
        <f t="shared" si="3"/>
        <v>PP_17</v>
      </c>
      <c r="J3" t="str">
        <f t="shared" si="3"/>
        <v>PP_17</v>
      </c>
      <c r="K3" t="str">
        <f t="shared" si="3"/>
        <v>PP_17</v>
      </c>
      <c r="L3" t="str">
        <f t="shared" si="3"/>
        <v>PP_17</v>
      </c>
      <c r="M3" t="str">
        <f t="shared" si="3"/>
        <v>PP_17</v>
      </c>
      <c r="N3" t="str">
        <f t="shared" si="3"/>
        <v>PP_17</v>
      </c>
      <c r="O3" t="str">
        <f t="shared" si="3"/>
        <v>PP_17</v>
      </c>
      <c r="P3" t="str">
        <f t="shared" si="3"/>
        <v>PP_17</v>
      </c>
    </row>
    <row r="4" spans="1:16" x14ac:dyDescent="0.25">
      <c r="A4" s="75"/>
      <c r="B4" s="76"/>
      <c r="D4" t="str">
        <f t="shared" si="2"/>
        <v>PP_17</v>
      </c>
      <c r="E4" t="str">
        <f t="shared" ref="E4:P4" si="4">D4</f>
        <v>PP_17</v>
      </c>
      <c r="F4" t="str">
        <f t="shared" si="4"/>
        <v>PP_17</v>
      </c>
      <c r="G4" t="str">
        <f t="shared" si="4"/>
        <v>PP_17</v>
      </c>
      <c r="H4" t="str">
        <f t="shared" si="4"/>
        <v>PP_17</v>
      </c>
      <c r="I4" t="str">
        <f t="shared" si="4"/>
        <v>PP_17</v>
      </c>
      <c r="J4" t="str">
        <f t="shared" si="4"/>
        <v>PP_17</v>
      </c>
      <c r="K4" t="str">
        <f t="shared" si="4"/>
        <v>PP_17</v>
      </c>
      <c r="L4" t="str">
        <f t="shared" si="4"/>
        <v>PP_17</v>
      </c>
      <c r="M4" t="str">
        <f t="shared" si="4"/>
        <v>PP_17</v>
      </c>
      <c r="N4" t="str">
        <f t="shared" si="4"/>
        <v>PP_17</v>
      </c>
      <c r="O4" t="str">
        <f t="shared" si="4"/>
        <v>PP_17</v>
      </c>
      <c r="P4" t="str">
        <f t="shared" si="4"/>
        <v>PP_17</v>
      </c>
    </row>
    <row r="5" spans="1:16" x14ac:dyDescent="0.25">
      <c r="A5" s="74"/>
      <c r="B5" s="70"/>
      <c r="D5" t="str">
        <f t="shared" si="2"/>
        <v>PP_17</v>
      </c>
      <c r="E5" t="str">
        <f t="shared" ref="E5:P5" si="5">D5</f>
        <v>PP_17</v>
      </c>
      <c r="F5" t="str">
        <f t="shared" si="5"/>
        <v>PP_17</v>
      </c>
      <c r="G5" t="str">
        <f t="shared" si="5"/>
        <v>PP_17</v>
      </c>
      <c r="H5" t="str">
        <f t="shared" si="5"/>
        <v>PP_17</v>
      </c>
      <c r="I5" t="str">
        <f t="shared" si="5"/>
        <v>PP_17</v>
      </c>
      <c r="J5" t="str">
        <f t="shared" si="5"/>
        <v>PP_17</v>
      </c>
      <c r="K5" t="str">
        <f t="shared" si="5"/>
        <v>PP_17</v>
      </c>
      <c r="L5" t="str">
        <f t="shared" si="5"/>
        <v>PP_17</v>
      </c>
      <c r="M5" t="str">
        <f t="shared" si="5"/>
        <v>PP_17</v>
      </c>
      <c r="N5" t="str">
        <f t="shared" si="5"/>
        <v>PP_17</v>
      </c>
      <c r="O5" t="str">
        <f t="shared" si="5"/>
        <v>PP_17</v>
      </c>
      <c r="P5" t="str">
        <f t="shared" si="5"/>
        <v>PP_17</v>
      </c>
    </row>
    <row r="6" spans="1:16" x14ac:dyDescent="0.25">
      <c r="A6" s="74"/>
      <c r="B6" s="70"/>
      <c r="D6" t="str">
        <f t="shared" si="2"/>
        <v>PP_17</v>
      </c>
      <c r="E6" t="str">
        <f t="shared" ref="E6:P6" si="6">D6</f>
        <v>PP_17</v>
      </c>
      <c r="F6" t="str">
        <f t="shared" si="6"/>
        <v>PP_17</v>
      </c>
      <c r="G6" t="str">
        <f t="shared" si="6"/>
        <v>PP_17</v>
      </c>
      <c r="H6" t="str">
        <f t="shared" si="6"/>
        <v>PP_17</v>
      </c>
      <c r="I6" t="str">
        <f t="shared" si="6"/>
        <v>PP_17</v>
      </c>
      <c r="J6" t="str">
        <f t="shared" si="6"/>
        <v>PP_17</v>
      </c>
      <c r="K6" t="str">
        <f t="shared" si="6"/>
        <v>PP_17</v>
      </c>
      <c r="L6" t="str">
        <f t="shared" si="6"/>
        <v>PP_17</v>
      </c>
      <c r="M6" t="str">
        <f t="shared" si="6"/>
        <v>PP_17</v>
      </c>
      <c r="N6" t="str">
        <f t="shared" si="6"/>
        <v>PP_17</v>
      </c>
      <c r="O6" t="str">
        <f t="shared" si="6"/>
        <v>PP_17</v>
      </c>
      <c r="P6" t="str">
        <f t="shared" si="6"/>
        <v>PP_17</v>
      </c>
    </row>
    <row r="7" spans="1:16" x14ac:dyDescent="0.25">
      <c r="D7" t="str">
        <f t="shared" si="2"/>
        <v>PP_17</v>
      </c>
      <c r="E7" t="str">
        <f t="shared" ref="E7:P7" si="7">D7</f>
        <v>PP_17</v>
      </c>
      <c r="F7" t="str">
        <f t="shared" si="7"/>
        <v>PP_17</v>
      </c>
      <c r="G7" t="str">
        <f t="shared" si="7"/>
        <v>PP_17</v>
      </c>
      <c r="H7" t="str">
        <f t="shared" si="7"/>
        <v>PP_17</v>
      </c>
      <c r="I7" t="str">
        <f t="shared" si="7"/>
        <v>PP_17</v>
      </c>
      <c r="J7" t="str">
        <f t="shared" si="7"/>
        <v>PP_17</v>
      </c>
      <c r="K7" t="str">
        <f t="shared" si="7"/>
        <v>PP_17</v>
      </c>
      <c r="L7" t="str">
        <f t="shared" si="7"/>
        <v>PP_17</v>
      </c>
      <c r="M7" t="str">
        <f t="shared" si="7"/>
        <v>PP_17</v>
      </c>
      <c r="N7" t="str">
        <f t="shared" si="7"/>
        <v>PP_17</v>
      </c>
      <c r="O7" t="str">
        <f t="shared" si="7"/>
        <v>PP_17</v>
      </c>
      <c r="P7" t="str">
        <f t="shared" si="7"/>
        <v>PP_17</v>
      </c>
    </row>
    <row r="8" spans="1:16" x14ac:dyDescent="0.25">
      <c r="D8" t="str">
        <f t="shared" si="2"/>
        <v>PP_17</v>
      </c>
      <c r="E8" t="str">
        <f t="shared" ref="E8:P8" si="8">D8</f>
        <v>PP_17</v>
      </c>
      <c r="F8" t="str">
        <f t="shared" si="8"/>
        <v>PP_17</v>
      </c>
      <c r="G8" t="str">
        <f t="shared" si="8"/>
        <v>PP_17</v>
      </c>
      <c r="H8" t="str">
        <f t="shared" si="8"/>
        <v>PP_17</v>
      </c>
      <c r="I8" t="str">
        <f t="shared" si="8"/>
        <v>PP_17</v>
      </c>
      <c r="J8" t="str">
        <f t="shared" si="8"/>
        <v>PP_17</v>
      </c>
      <c r="K8" t="str">
        <f t="shared" si="8"/>
        <v>PP_17</v>
      </c>
      <c r="L8" t="str">
        <f t="shared" si="8"/>
        <v>PP_17</v>
      </c>
      <c r="M8" t="str">
        <f t="shared" si="8"/>
        <v>PP_17</v>
      </c>
      <c r="N8" t="str">
        <f t="shared" si="8"/>
        <v>PP_17</v>
      </c>
      <c r="O8" t="str">
        <f t="shared" si="8"/>
        <v>PP_17</v>
      </c>
      <c r="P8" t="str">
        <f t="shared" si="8"/>
        <v>PP_17</v>
      </c>
    </row>
    <row r="9" spans="1:16" x14ac:dyDescent="0.25">
      <c r="D9" t="str">
        <f t="shared" si="2"/>
        <v>PP_17</v>
      </c>
      <c r="E9" t="str">
        <f t="shared" ref="E9:P9" si="9">D9</f>
        <v>PP_17</v>
      </c>
      <c r="F9" t="str">
        <f t="shared" si="9"/>
        <v>PP_17</v>
      </c>
      <c r="G9" t="str">
        <f t="shared" si="9"/>
        <v>PP_17</v>
      </c>
      <c r="H9" t="str">
        <f t="shared" si="9"/>
        <v>PP_17</v>
      </c>
      <c r="I9" t="str">
        <f t="shared" si="9"/>
        <v>PP_17</v>
      </c>
      <c r="J9" t="str">
        <f t="shared" si="9"/>
        <v>PP_17</v>
      </c>
      <c r="K9" t="str">
        <f t="shared" si="9"/>
        <v>PP_17</v>
      </c>
      <c r="L9" t="str">
        <f t="shared" si="9"/>
        <v>PP_17</v>
      </c>
      <c r="M9" t="str">
        <f t="shared" si="9"/>
        <v>PP_17</v>
      </c>
      <c r="N9" t="str">
        <f t="shared" si="9"/>
        <v>PP_17</v>
      </c>
      <c r="O9" t="str">
        <f t="shared" si="9"/>
        <v>PP_17</v>
      </c>
      <c r="P9" t="str">
        <f t="shared" si="9"/>
        <v>PP_17</v>
      </c>
    </row>
    <row r="10" spans="1:16" x14ac:dyDescent="0.25">
      <c r="D10" t="str">
        <f t="shared" si="2"/>
        <v>PP_17</v>
      </c>
      <c r="E10" t="str">
        <f t="shared" ref="E10:P10" si="10">D10</f>
        <v>PP_17</v>
      </c>
      <c r="F10" t="str">
        <f t="shared" si="10"/>
        <v>PP_17</v>
      </c>
      <c r="G10" t="str">
        <f t="shared" si="10"/>
        <v>PP_17</v>
      </c>
      <c r="H10" t="str">
        <f t="shared" si="10"/>
        <v>PP_17</v>
      </c>
      <c r="I10" t="str">
        <f t="shared" si="10"/>
        <v>PP_17</v>
      </c>
      <c r="J10" t="str">
        <f t="shared" si="10"/>
        <v>PP_17</v>
      </c>
      <c r="K10" t="str">
        <f t="shared" si="10"/>
        <v>PP_17</v>
      </c>
      <c r="L10" t="str">
        <f t="shared" si="10"/>
        <v>PP_17</v>
      </c>
      <c r="M10" t="str">
        <f t="shared" si="10"/>
        <v>PP_17</v>
      </c>
      <c r="N10" t="str">
        <f t="shared" si="10"/>
        <v>PP_17</v>
      </c>
      <c r="O10" t="str">
        <f t="shared" si="10"/>
        <v>PP_17</v>
      </c>
      <c r="P10" t="str">
        <f t="shared" si="10"/>
        <v>PP_17</v>
      </c>
    </row>
    <row r="11" spans="1:16" x14ac:dyDescent="0.25">
      <c r="D11" t="str">
        <f t="shared" si="2"/>
        <v>PP_17</v>
      </c>
      <c r="E11" t="str">
        <f t="shared" ref="E11:P11" si="11">D11</f>
        <v>PP_17</v>
      </c>
      <c r="F11" t="str">
        <f t="shared" si="11"/>
        <v>PP_17</v>
      </c>
      <c r="G11" t="str">
        <f t="shared" si="11"/>
        <v>PP_17</v>
      </c>
      <c r="H11" t="str">
        <f t="shared" si="11"/>
        <v>PP_17</v>
      </c>
      <c r="I11" t="str">
        <f t="shared" si="11"/>
        <v>PP_17</v>
      </c>
      <c r="J11" t="str">
        <f t="shared" si="11"/>
        <v>PP_17</v>
      </c>
      <c r="K11" t="str">
        <f t="shared" si="11"/>
        <v>PP_17</v>
      </c>
      <c r="L11" t="str">
        <f t="shared" si="11"/>
        <v>PP_17</v>
      </c>
      <c r="M11" t="str">
        <f t="shared" si="11"/>
        <v>PP_17</v>
      </c>
      <c r="N11" t="str">
        <f t="shared" si="11"/>
        <v>PP_17</v>
      </c>
      <c r="O11" t="str">
        <f t="shared" si="11"/>
        <v>PP_17</v>
      </c>
      <c r="P11" t="str">
        <f t="shared" si="11"/>
        <v>PP_17</v>
      </c>
    </row>
    <row r="12" spans="1:16" x14ac:dyDescent="0.25">
      <c r="D12" t="str">
        <f t="shared" si="2"/>
        <v>PP_17</v>
      </c>
      <c r="E12" t="str">
        <f t="shared" ref="E12:P12" si="12">D12</f>
        <v>PP_17</v>
      </c>
      <c r="F12" t="str">
        <f t="shared" si="12"/>
        <v>PP_17</v>
      </c>
      <c r="G12" t="str">
        <f t="shared" si="12"/>
        <v>PP_17</v>
      </c>
      <c r="H12" t="str">
        <f t="shared" si="12"/>
        <v>PP_17</v>
      </c>
      <c r="I12" t="str">
        <f t="shared" si="12"/>
        <v>PP_17</v>
      </c>
      <c r="J12" t="str">
        <f t="shared" si="12"/>
        <v>PP_17</v>
      </c>
      <c r="K12" t="str">
        <f t="shared" si="12"/>
        <v>PP_17</v>
      </c>
      <c r="L12" t="str">
        <f t="shared" si="12"/>
        <v>PP_17</v>
      </c>
      <c r="M12" t="str">
        <f t="shared" si="12"/>
        <v>PP_17</v>
      </c>
      <c r="N12" t="str">
        <f t="shared" si="12"/>
        <v>PP_17</v>
      </c>
      <c r="O12" t="str">
        <f t="shared" si="12"/>
        <v>PP_17</v>
      </c>
      <c r="P12" t="str">
        <f t="shared" si="12"/>
        <v>PP_17</v>
      </c>
    </row>
    <row r="13" spans="1:16" x14ac:dyDescent="0.25">
      <c r="D13" t="str">
        <f t="shared" si="2"/>
        <v>PP_17</v>
      </c>
      <c r="E13" t="str">
        <f t="shared" ref="E13:P13" si="13">D13</f>
        <v>PP_17</v>
      </c>
      <c r="F13" t="str">
        <f t="shared" si="13"/>
        <v>PP_17</v>
      </c>
      <c r="G13" t="str">
        <f t="shared" si="13"/>
        <v>PP_17</v>
      </c>
      <c r="H13" t="str">
        <f t="shared" si="13"/>
        <v>PP_17</v>
      </c>
      <c r="I13" t="str">
        <f t="shared" si="13"/>
        <v>PP_17</v>
      </c>
      <c r="J13" t="str">
        <f t="shared" si="13"/>
        <v>PP_17</v>
      </c>
      <c r="K13" t="str">
        <f t="shared" si="13"/>
        <v>PP_17</v>
      </c>
      <c r="L13" t="str">
        <f t="shared" si="13"/>
        <v>PP_17</v>
      </c>
      <c r="M13" t="str">
        <f t="shared" si="13"/>
        <v>PP_17</v>
      </c>
      <c r="N13" t="str">
        <f t="shared" si="13"/>
        <v>PP_17</v>
      </c>
      <c r="O13" t="str">
        <f t="shared" si="13"/>
        <v>PP_17</v>
      </c>
      <c r="P13" t="str">
        <f t="shared" si="13"/>
        <v>PP_17</v>
      </c>
    </row>
    <row r="14" spans="1:16" x14ac:dyDescent="0.25">
      <c r="D14" t="str">
        <f t="shared" si="2"/>
        <v>PP_17</v>
      </c>
      <c r="E14" t="str">
        <f t="shared" ref="E14:P14" si="14">D14</f>
        <v>PP_17</v>
      </c>
      <c r="F14" t="str">
        <f t="shared" si="14"/>
        <v>PP_17</v>
      </c>
      <c r="G14" t="str">
        <f t="shared" si="14"/>
        <v>PP_17</v>
      </c>
      <c r="H14" t="str">
        <f t="shared" si="14"/>
        <v>PP_17</v>
      </c>
      <c r="I14" t="str">
        <f t="shared" si="14"/>
        <v>PP_17</v>
      </c>
      <c r="J14" t="str">
        <f t="shared" si="14"/>
        <v>PP_17</v>
      </c>
      <c r="K14" t="str">
        <f t="shared" si="14"/>
        <v>PP_17</v>
      </c>
      <c r="L14" t="str">
        <f t="shared" si="14"/>
        <v>PP_17</v>
      </c>
      <c r="M14" t="str">
        <f t="shared" si="14"/>
        <v>PP_17</v>
      </c>
      <c r="N14" t="str">
        <f t="shared" si="14"/>
        <v>PP_17</v>
      </c>
      <c r="O14" t="str">
        <f t="shared" si="14"/>
        <v>PP_17</v>
      </c>
      <c r="P14" t="str">
        <f t="shared" si="14"/>
        <v>PP_17</v>
      </c>
    </row>
    <row r="15" spans="1:16" x14ac:dyDescent="0.25">
      <c r="D15" t="str">
        <f t="shared" si="2"/>
        <v>PP_17</v>
      </c>
      <c r="E15" t="str">
        <f t="shared" ref="E15:P15" si="15">D15</f>
        <v>PP_17</v>
      </c>
      <c r="F15" t="str">
        <f t="shared" si="15"/>
        <v>PP_17</v>
      </c>
      <c r="G15" t="str">
        <f t="shared" si="15"/>
        <v>PP_17</v>
      </c>
      <c r="H15" t="str">
        <f t="shared" si="15"/>
        <v>PP_17</v>
      </c>
      <c r="I15" t="str">
        <f t="shared" si="15"/>
        <v>PP_17</v>
      </c>
      <c r="J15" t="str">
        <f t="shared" si="15"/>
        <v>PP_17</v>
      </c>
      <c r="K15" t="str">
        <f t="shared" si="15"/>
        <v>PP_17</v>
      </c>
      <c r="L15" t="str">
        <f t="shared" si="15"/>
        <v>PP_17</v>
      </c>
      <c r="M15" t="str">
        <f t="shared" si="15"/>
        <v>PP_17</v>
      </c>
      <c r="N15" t="str">
        <f t="shared" si="15"/>
        <v>PP_17</v>
      </c>
      <c r="O15" t="str">
        <f t="shared" si="15"/>
        <v>PP_17</v>
      </c>
      <c r="P15" t="str">
        <f t="shared" si="15"/>
        <v>PP_17</v>
      </c>
    </row>
    <row r="16" spans="1:16" x14ac:dyDescent="0.25">
      <c r="D16" t="str">
        <f t="shared" si="2"/>
        <v>PP_17</v>
      </c>
      <c r="E16" t="str">
        <f t="shared" ref="E16:P16" si="16">D16</f>
        <v>PP_17</v>
      </c>
      <c r="F16" t="str">
        <f t="shared" si="16"/>
        <v>PP_17</v>
      </c>
      <c r="G16" t="str">
        <f t="shared" si="16"/>
        <v>PP_17</v>
      </c>
      <c r="H16" t="str">
        <f t="shared" si="16"/>
        <v>PP_17</v>
      </c>
      <c r="I16" t="str">
        <f t="shared" si="16"/>
        <v>PP_17</v>
      </c>
      <c r="J16" t="str">
        <f t="shared" si="16"/>
        <v>PP_17</v>
      </c>
      <c r="K16" t="str">
        <f t="shared" si="16"/>
        <v>PP_17</v>
      </c>
      <c r="L16" t="str">
        <f t="shared" si="16"/>
        <v>PP_17</v>
      </c>
      <c r="M16" t="str">
        <f t="shared" si="16"/>
        <v>PP_17</v>
      </c>
      <c r="N16" t="str">
        <f t="shared" si="16"/>
        <v>PP_17</v>
      </c>
      <c r="O16" t="str">
        <f t="shared" si="16"/>
        <v>PP_17</v>
      </c>
      <c r="P16" t="str">
        <f t="shared" si="16"/>
        <v>PP_17</v>
      </c>
    </row>
    <row r="17" spans="4:16" x14ac:dyDescent="0.25">
      <c r="D17" t="str">
        <f t="shared" si="2"/>
        <v>PP_17</v>
      </c>
      <c r="E17" t="str">
        <f t="shared" ref="E17:P17" si="17">D17</f>
        <v>PP_17</v>
      </c>
      <c r="F17" t="str">
        <f t="shared" si="17"/>
        <v>PP_17</v>
      </c>
      <c r="G17" t="str">
        <f t="shared" si="17"/>
        <v>PP_17</v>
      </c>
      <c r="H17" t="str">
        <f t="shared" si="17"/>
        <v>PP_17</v>
      </c>
      <c r="I17" t="str">
        <f t="shared" si="17"/>
        <v>PP_17</v>
      </c>
      <c r="J17" t="str">
        <f t="shared" si="17"/>
        <v>PP_17</v>
      </c>
      <c r="K17" t="str">
        <f t="shared" si="17"/>
        <v>PP_17</v>
      </c>
      <c r="L17" t="str">
        <f t="shared" si="17"/>
        <v>PP_17</v>
      </c>
      <c r="M17" t="str">
        <f t="shared" si="17"/>
        <v>PP_17</v>
      </c>
      <c r="N17" t="str">
        <f t="shared" si="17"/>
        <v>PP_17</v>
      </c>
      <c r="O17" t="str">
        <f t="shared" si="17"/>
        <v>PP_17</v>
      </c>
      <c r="P17" t="str">
        <f t="shared" si="17"/>
        <v>PP_17</v>
      </c>
    </row>
    <row r="18" spans="4:16" x14ac:dyDescent="0.25">
      <c r="D18" t="str">
        <f t="shared" si="2"/>
        <v>PP_17</v>
      </c>
      <c r="E18" t="str">
        <f t="shared" ref="E18:P18" si="18">D18</f>
        <v>PP_17</v>
      </c>
      <c r="F18" t="str">
        <f t="shared" si="18"/>
        <v>PP_17</v>
      </c>
      <c r="G18" t="str">
        <f t="shared" si="18"/>
        <v>PP_17</v>
      </c>
      <c r="H18" t="str">
        <f t="shared" si="18"/>
        <v>PP_17</v>
      </c>
      <c r="I18" t="str">
        <f t="shared" si="18"/>
        <v>PP_17</v>
      </c>
      <c r="J18" t="str">
        <f t="shared" si="18"/>
        <v>PP_17</v>
      </c>
      <c r="K18" t="str">
        <f t="shared" si="18"/>
        <v>PP_17</v>
      </c>
      <c r="L18" t="str">
        <f t="shared" si="18"/>
        <v>PP_17</v>
      </c>
      <c r="M18" t="str">
        <f t="shared" si="18"/>
        <v>PP_17</v>
      </c>
      <c r="N18" t="str">
        <f t="shared" si="18"/>
        <v>PP_17</v>
      </c>
      <c r="O18" t="str">
        <f t="shared" si="18"/>
        <v>PP_17</v>
      </c>
      <c r="P18" t="str">
        <f t="shared" si="18"/>
        <v>PP_17</v>
      </c>
    </row>
    <row r="19" spans="4:16" x14ac:dyDescent="0.25">
      <c r="D19" t="str">
        <f t="shared" si="2"/>
        <v>PP_17</v>
      </c>
      <c r="E19" t="str">
        <f t="shared" ref="E19:P19" si="19">D19</f>
        <v>PP_17</v>
      </c>
      <c r="F19" t="str">
        <f t="shared" si="19"/>
        <v>PP_17</v>
      </c>
      <c r="G19" t="str">
        <f t="shared" si="19"/>
        <v>PP_17</v>
      </c>
      <c r="H19" t="str">
        <f t="shared" si="19"/>
        <v>PP_17</v>
      </c>
      <c r="I19" t="str">
        <f t="shared" si="19"/>
        <v>PP_17</v>
      </c>
      <c r="J19" t="str">
        <f t="shared" si="19"/>
        <v>PP_17</v>
      </c>
      <c r="K19" t="str">
        <f t="shared" si="19"/>
        <v>PP_17</v>
      </c>
      <c r="L19" t="str">
        <f t="shared" si="19"/>
        <v>PP_17</v>
      </c>
      <c r="M19" t="str">
        <f t="shared" si="19"/>
        <v>PP_17</v>
      </c>
      <c r="N19" t="str">
        <f t="shared" si="19"/>
        <v>PP_17</v>
      </c>
      <c r="O19" t="str">
        <f t="shared" si="19"/>
        <v>PP_17</v>
      </c>
      <c r="P19" t="str">
        <f t="shared" si="19"/>
        <v>PP_17</v>
      </c>
    </row>
    <row r="20" spans="4:16" x14ac:dyDescent="0.25">
      <c r="D20" t="str">
        <f t="shared" si="2"/>
        <v>PP_17</v>
      </c>
      <c r="E20" t="str">
        <f t="shared" ref="E20:P20" si="20">D20</f>
        <v>PP_17</v>
      </c>
      <c r="F20" t="str">
        <f t="shared" si="20"/>
        <v>PP_17</v>
      </c>
      <c r="G20" t="str">
        <f t="shared" si="20"/>
        <v>PP_17</v>
      </c>
      <c r="H20" t="str">
        <f t="shared" si="20"/>
        <v>PP_17</v>
      </c>
      <c r="I20" t="str">
        <f t="shared" si="20"/>
        <v>PP_17</v>
      </c>
      <c r="J20" t="str">
        <f t="shared" si="20"/>
        <v>PP_17</v>
      </c>
      <c r="K20" t="str">
        <f t="shared" si="20"/>
        <v>PP_17</v>
      </c>
      <c r="L20" t="str">
        <f t="shared" si="20"/>
        <v>PP_17</v>
      </c>
      <c r="M20" t="str">
        <f t="shared" si="20"/>
        <v>PP_17</v>
      </c>
      <c r="N20" t="str">
        <f t="shared" si="20"/>
        <v>PP_17</v>
      </c>
      <c r="O20" t="str">
        <f t="shared" si="20"/>
        <v>PP_17</v>
      </c>
      <c r="P20" t="str">
        <f t="shared" si="20"/>
        <v>PP_17</v>
      </c>
    </row>
    <row r="21" spans="4:16" x14ac:dyDescent="0.25">
      <c r="D21" t="str">
        <f t="shared" si="2"/>
        <v>PP_17</v>
      </c>
      <c r="E21" t="str">
        <f t="shared" ref="E21:P21" si="21">D21</f>
        <v>PP_17</v>
      </c>
      <c r="F21" t="str">
        <f t="shared" si="21"/>
        <v>PP_17</v>
      </c>
      <c r="G21" t="str">
        <f t="shared" si="21"/>
        <v>PP_17</v>
      </c>
      <c r="H21" t="str">
        <f t="shared" si="21"/>
        <v>PP_17</v>
      </c>
      <c r="I21" t="str">
        <f t="shared" si="21"/>
        <v>PP_17</v>
      </c>
      <c r="J21" t="str">
        <f t="shared" si="21"/>
        <v>PP_17</v>
      </c>
      <c r="K21" t="str">
        <f t="shared" si="21"/>
        <v>PP_17</v>
      </c>
      <c r="L21" t="str">
        <f t="shared" si="21"/>
        <v>PP_17</v>
      </c>
      <c r="M21" t="str">
        <f t="shared" si="21"/>
        <v>PP_17</v>
      </c>
      <c r="N21" t="str">
        <f t="shared" si="21"/>
        <v>PP_17</v>
      </c>
      <c r="O21" t="str">
        <f t="shared" si="21"/>
        <v>PP_17</v>
      </c>
      <c r="P21" t="str">
        <f t="shared" si="21"/>
        <v>PP_17</v>
      </c>
    </row>
    <row r="22" spans="4:16" x14ac:dyDescent="0.25">
      <c r="D22" t="str">
        <f t="shared" si="2"/>
        <v>PP_17</v>
      </c>
      <c r="E22" t="str">
        <f t="shared" ref="E22:P22" si="22">D22</f>
        <v>PP_17</v>
      </c>
      <c r="F22" t="str">
        <f t="shared" si="22"/>
        <v>PP_17</v>
      </c>
      <c r="G22" t="str">
        <f t="shared" si="22"/>
        <v>PP_17</v>
      </c>
      <c r="H22" t="str">
        <f t="shared" si="22"/>
        <v>PP_17</v>
      </c>
      <c r="I22" t="str">
        <f t="shared" si="22"/>
        <v>PP_17</v>
      </c>
      <c r="J22" t="str">
        <f t="shared" si="22"/>
        <v>PP_17</v>
      </c>
      <c r="K22" t="str">
        <f t="shared" si="22"/>
        <v>PP_17</v>
      </c>
      <c r="L22" t="str">
        <f t="shared" si="22"/>
        <v>PP_17</v>
      </c>
      <c r="M22" t="str">
        <f t="shared" si="22"/>
        <v>PP_17</v>
      </c>
      <c r="N22" t="str">
        <f t="shared" si="22"/>
        <v>PP_17</v>
      </c>
      <c r="O22" t="str">
        <f t="shared" si="22"/>
        <v>PP_17</v>
      </c>
      <c r="P22" t="str">
        <f t="shared" si="22"/>
        <v>PP_17</v>
      </c>
    </row>
    <row r="23" spans="4:16" x14ac:dyDescent="0.25">
      <c r="D23" t="str">
        <f t="shared" si="2"/>
        <v>PP_17</v>
      </c>
      <c r="E23" t="str">
        <f t="shared" ref="E23:P23" si="23">D23</f>
        <v>PP_17</v>
      </c>
      <c r="F23" t="str">
        <f t="shared" si="23"/>
        <v>PP_17</v>
      </c>
      <c r="G23" t="str">
        <f t="shared" si="23"/>
        <v>PP_17</v>
      </c>
      <c r="H23" t="str">
        <f t="shared" si="23"/>
        <v>PP_17</v>
      </c>
      <c r="I23" t="str">
        <f t="shared" si="23"/>
        <v>PP_17</v>
      </c>
      <c r="J23" t="str">
        <f t="shared" si="23"/>
        <v>PP_17</v>
      </c>
      <c r="K23" t="str">
        <f t="shared" si="23"/>
        <v>PP_17</v>
      </c>
      <c r="L23" t="str">
        <f t="shared" si="23"/>
        <v>PP_17</v>
      </c>
      <c r="M23" t="str">
        <f t="shared" si="23"/>
        <v>PP_17</v>
      </c>
      <c r="N23" t="str">
        <f t="shared" si="23"/>
        <v>PP_17</v>
      </c>
      <c r="O23" t="str">
        <f t="shared" si="23"/>
        <v>PP_17</v>
      </c>
      <c r="P23" t="str">
        <f t="shared" si="23"/>
        <v>PP_17</v>
      </c>
    </row>
    <row r="24" spans="4:16" x14ac:dyDescent="0.25">
      <c r="D24" t="str">
        <f t="shared" si="2"/>
        <v>PP_17</v>
      </c>
      <c r="E24" t="str">
        <f t="shared" ref="E24:P24" si="24">D24</f>
        <v>PP_17</v>
      </c>
      <c r="F24" t="str">
        <f t="shared" si="24"/>
        <v>PP_17</v>
      </c>
      <c r="G24" t="str">
        <f t="shared" si="24"/>
        <v>PP_17</v>
      </c>
      <c r="H24" t="str">
        <f t="shared" si="24"/>
        <v>PP_17</v>
      </c>
      <c r="I24" t="str">
        <f t="shared" si="24"/>
        <v>PP_17</v>
      </c>
      <c r="J24" t="str">
        <f t="shared" si="24"/>
        <v>PP_17</v>
      </c>
      <c r="K24" t="str">
        <f t="shared" si="24"/>
        <v>PP_17</v>
      </c>
      <c r="L24" t="str">
        <f t="shared" si="24"/>
        <v>PP_17</v>
      </c>
      <c r="M24" t="str">
        <f t="shared" si="24"/>
        <v>PP_17</v>
      </c>
      <c r="N24" t="str">
        <f t="shared" si="24"/>
        <v>PP_17</v>
      </c>
      <c r="O24" t="str">
        <f t="shared" si="24"/>
        <v>PP_17</v>
      </c>
      <c r="P24" t="str">
        <f t="shared" si="24"/>
        <v>PP_17</v>
      </c>
    </row>
    <row r="25" spans="4:16" x14ac:dyDescent="0.25">
      <c r="D25" t="str">
        <f t="shared" si="2"/>
        <v>PP_17</v>
      </c>
      <c r="E25" t="str">
        <f t="shared" ref="E25:P25" si="25">D25</f>
        <v>PP_17</v>
      </c>
      <c r="F25" t="str">
        <f t="shared" si="25"/>
        <v>PP_17</v>
      </c>
      <c r="G25" t="str">
        <f t="shared" si="25"/>
        <v>PP_17</v>
      </c>
      <c r="H25" t="str">
        <f t="shared" si="25"/>
        <v>PP_17</v>
      </c>
      <c r="I25" t="str">
        <f t="shared" si="25"/>
        <v>PP_17</v>
      </c>
      <c r="J25" t="str">
        <f t="shared" si="25"/>
        <v>PP_17</v>
      </c>
      <c r="K25" t="str">
        <f t="shared" si="25"/>
        <v>PP_17</v>
      </c>
      <c r="L25" t="str">
        <f t="shared" si="25"/>
        <v>PP_17</v>
      </c>
      <c r="M25" t="str">
        <f t="shared" si="25"/>
        <v>PP_17</v>
      </c>
      <c r="N25" t="str">
        <f t="shared" si="25"/>
        <v>PP_17</v>
      </c>
      <c r="O25" t="str">
        <f t="shared" si="25"/>
        <v>PP_17</v>
      </c>
      <c r="P25" t="str">
        <f t="shared" si="25"/>
        <v>PP_17</v>
      </c>
    </row>
    <row r="26" spans="4:16" x14ac:dyDescent="0.25">
      <c r="D26" t="str">
        <f t="shared" si="2"/>
        <v>PP_17</v>
      </c>
      <c r="E26" t="str">
        <f t="shared" ref="E26:P26" si="26">D26</f>
        <v>PP_17</v>
      </c>
      <c r="F26" t="str">
        <f t="shared" si="26"/>
        <v>PP_17</v>
      </c>
      <c r="G26" t="str">
        <f t="shared" si="26"/>
        <v>PP_17</v>
      </c>
      <c r="H26" t="str">
        <f t="shared" si="26"/>
        <v>PP_17</v>
      </c>
      <c r="I26" t="str">
        <f t="shared" si="26"/>
        <v>PP_17</v>
      </c>
      <c r="J26" t="str">
        <f t="shared" si="26"/>
        <v>PP_17</v>
      </c>
      <c r="K26" t="str">
        <f t="shared" si="26"/>
        <v>PP_17</v>
      </c>
      <c r="L26" t="str">
        <f t="shared" si="26"/>
        <v>PP_17</v>
      </c>
      <c r="M26" t="str">
        <f t="shared" si="26"/>
        <v>PP_17</v>
      </c>
      <c r="N26" t="str">
        <f t="shared" si="26"/>
        <v>PP_17</v>
      </c>
      <c r="O26" t="str">
        <f t="shared" si="26"/>
        <v>PP_17</v>
      </c>
      <c r="P26" t="str">
        <f t="shared" si="26"/>
        <v>PP_17</v>
      </c>
    </row>
    <row r="27" spans="4:16" x14ac:dyDescent="0.25">
      <c r="D27" t="str">
        <f t="shared" si="2"/>
        <v>PP_17</v>
      </c>
      <c r="E27" t="str">
        <f t="shared" ref="E27:P27" si="27">D27</f>
        <v>PP_17</v>
      </c>
      <c r="F27" t="str">
        <f t="shared" si="27"/>
        <v>PP_17</v>
      </c>
      <c r="G27" t="str">
        <f t="shared" si="27"/>
        <v>PP_17</v>
      </c>
      <c r="H27" t="str">
        <f t="shared" si="27"/>
        <v>PP_17</v>
      </c>
      <c r="I27" t="str">
        <f t="shared" si="27"/>
        <v>PP_17</v>
      </c>
      <c r="J27" t="str">
        <f t="shared" si="27"/>
        <v>PP_17</v>
      </c>
      <c r="K27" t="str">
        <f t="shared" si="27"/>
        <v>PP_17</v>
      </c>
      <c r="L27" t="str">
        <f t="shared" si="27"/>
        <v>PP_17</v>
      </c>
      <c r="M27" t="str">
        <f t="shared" si="27"/>
        <v>PP_17</v>
      </c>
      <c r="N27" t="str">
        <f t="shared" si="27"/>
        <v>PP_17</v>
      </c>
      <c r="O27" t="str">
        <f t="shared" si="27"/>
        <v>PP_17</v>
      </c>
      <c r="P27" t="str">
        <f t="shared" si="27"/>
        <v>PP_17</v>
      </c>
    </row>
    <row r="28" spans="4:16" x14ac:dyDescent="0.25">
      <c r="D28" t="str">
        <f t="shared" si="2"/>
        <v>PP_17</v>
      </c>
      <c r="E28" t="str">
        <f t="shared" ref="E28:P28" si="28">D28</f>
        <v>PP_17</v>
      </c>
      <c r="F28" t="str">
        <f t="shared" si="28"/>
        <v>PP_17</v>
      </c>
      <c r="G28" t="str">
        <f t="shared" si="28"/>
        <v>PP_17</v>
      </c>
      <c r="H28" t="str">
        <f t="shared" si="28"/>
        <v>PP_17</v>
      </c>
      <c r="I28" t="str">
        <f t="shared" si="28"/>
        <v>PP_17</v>
      </c>
      <c r="J28" t="str">
        <f t="shared" si="28"/>
        <v>PP_17</v>
      </c>
      <c r="K28" t="str">
        <f t="shared" si="28"/>
        <v>PP_17</v>
      </c>
      <c r="L28" t="str">
        <f t="shared" si="28"/>
        <v>PP_17</v>
      </c>
      <c r="M28" t="str">
        <f t="shared" si="28"/>
        <v>PP_17</v>
      </c>
      <c r="N28" t="str">
        <f t="shared" si="28"/>
        <v>PP_17</v>
      </c>
      <c r="O28" t="str">
        <f t="shared" si="28"/>
        <v>PP_17</v>
      </c>
      <c r="P28" t="str">
        <f t="shared" si="28"/>
        <v>PP_17</v>
      </c>
    </row>
    <row r="29" spans="4:16" x14ac:dyDescent="0.25">
      <c r="D29" t="str">
        <f t="shared" si="2"/>
        <v>PP_17</v>
      </c>
      <c r="E29" t="str">
        <f t="shared" ref="E29:P29" si="29">D29</f>
        <v>PP_17</v>
      </c>
      <c r="F29" t="str">
        <f t="shared" si="29"/>
        <v>PP_17</v>
      </c>
      <c r="G29" t="str">
        <f t="shared" si="29"/>
        <v>PP_17</v>
      </c>
      <c r="H29" t="str">
        <f t="shared" si="29"/>
        <v>PP_17</v>
      </c>
      <c r="I29" t="str">
        <f t="shared" si="29"/>
        <v>PP_17</v>
      </c>
      <c r="J29" t="str">
        <f t="shared" si="29"/>
        <v>PP_17</v>
      </c>
      <c r="K29" t="str">
        <f t="shared" si="29"/>
        <v>PP_17</v>
      </c>
      <c r="L29" t="str">
        <f t="shared" si="29"/>
        <v>PP_17</v>
      </c>
      <c r="M29" t="str">
        <f t="shared" si="29"/>
        <v>PP_17</v>
      </c>
      <c r="N29" t="str">
        <f t="shared" si="29"/>
        <v>PP_17</v>
      </c>
      <c r="O29" t="str">
        <f t="shared" si="29"/>
        <v>PP_17</v>
      </c>
      <c r="P29" t="str">
        <f t="shared" si="29"/>
        <v>PP_17</v>
      </c>
    </row>
    <row r="30" spans="4:16" x14ac:dyDescent="0.25">
      <c r="D30" t="str">
        <f t="shared" si="2"/>
        <v>PP_17</v>
      </c>
      <c r="E30" t="str">
        <f t="shared" ref="E30:P30" si="30">D30</f>
        <v>PP_17</v>
      </c>
      <c r="F30" t="str">
        <f t="shared" si="30"/>
        <v>PP_17</v>
      </c>
      <c r="G30" t="str">
        <f t="shared" si="30"/>
        <v>PP_17</v>
      </c>
      <c r="H30" t="str">
        <f t="shared" si="30"/>
        <v>PP_17</v>
      </c>
      <c r="I30" t="str">
        <f t="shared" si="30"/>
        <v>PP_17</v>
      </c>
      <c r="J30" t="str">
        <f t="shared" si="30"/>
        <v>PP_17</v>
      </c>
      <c r="K30" t="str">
        <f t="shared" si="30"/>
        <v>PP_17</v>
      </c>
      <c r="L30" t="str">
        <f t="shared" si="30"/>
        <v>PP_17</v>
      </c>
      <c r="M30" t="str">
        <f t="shared" si="30"/>
        <v>PP_17</v>
      </c>
      <c r="N30" t="str">
        <f t="shared" si="30"/>
        <v>PP_17</v>
      </c>
      <c r="O30" t="str">
        <f t="shared" si="30"/>
        <v>PP_17</v>
      </c>
      <c r="P30" t="str">
        <f t="shared" si="30"/>
        <v>PP_17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Log</vt:lpstr>
      <vt:lpstr>Budget</vt:lpstr>
      <vt:lpstr>Forecast</vt:lpstr>
      <vt:lpstr>RunRate</vt:lpstr>
      <vt:lpstr>Superdetails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2025-11-16T10:14:09Z</dcterms:modified>
</cp:coreProperties>
</file>