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ata\Lefo\Dev\3 GDPptGenerator\Solution\PptGeneratorGUI\DataSourceFolder\"/>
    </mc:Choice>
  </mc:AlternateContent>
  <xr:revisionPtr revIDLastSave="0" documentId="13_ncr:1_{1708C492-02BF-4C5D-AC79-DB1AE850429B}" xr6:coauthVersionLast="47" xr6:coauthVersionMax="47" xr10:uidLastSave="{00000000-0000-0000-0000-000000000000}"/>
  <bookViews>
    <workbookView xWindow="3465" yWindow="3465" windowWidth="25890" windowHeight="15345" tabRatio="924" activeTab="4" xr2:uid="{00000000-000D-0000-FFFF-FFFF00000000}"/>
  </bookViews>
  <sheets>
    <sheet name="Budget" sheetId="3" r:id="rId1"/>
    <sheet name="Forecast" sheetId="4" r:id="rId2"/>
    <sheet name="RunRate" sheetId="5" r:id="rId3"/>
    <sheet name="Superdetails" sheetId="1" r:id="rId4"/>
    <sheet name="CN43N" sheetId="34" r:id="rId5"/>
    <sheet name="Pivot_AnnoPrimaMarcatura" sheetId="33" r:id="rId6"/>
    <sheet name="table_tabProjType" sheetId="8" r:id="rId7"/>
    <sheet name="table_tabProjTypeCluster" sheetId="9" r:id="rId8"/>
    <sheet name="table_CommonTable" sheetId="10" r:id="rId9"/>
    <sheet name="table_tabProgettiD" sheetId="11" r:id="rId10"/>
    <sheet name="Powerpoint Configuration" sheetId="32" r:id="rId11"/>
    <sheet name="Alias-Business" sheetId="30" r:id="rId12"/>
    <sheet name="Alias-Categoria" sheetId="31" r:id="rId13"/>
    <sheet name="PP_Template" sheetId="12" r:id="rId14"/>
    <sheet name="PP_01" sheetId="2" r:id="rId15"/>
    <sheet name="PP_02" sheetId="13" r:id="rId16"/>
    <sheet name="PP_03" sheetId="14" r:id="rId17"/>
    <sheet name="PP_04" sheetId="16" r:id="rId18"/>
    <sheet name="PP_05" sheetId="17" r:id="rId19"/>
    <sheet name="PP_06" sheetId="18" r:id="rId20"/>
    <sheet name="PP_07" sheetId="19" r:id="rId21"/>
    <sheet name="PP_08" sheetId="20" r:id="rId22"/>
    <sheet name="PP_09" sheetId="21" r:id="rId23"/>
    <sheet name="PP_10" sheetId="22" r:id="rId24"/>
    <sheet name="PP_11" sheetId="23" r:id="rId25"/>
    <sheet name="PP_12" sheetId="24" r:id="rId26"/>
    <sheet name="PP_13" sheetId="25" r:id="rId27"/>
    <sheet name="PP_14" sheetId="26" r:id="rId28"/>
    <sheet name="PP_15" sheetId="27" r:id="rId29"/>
    <sheet name="PP_16" sheetId="28" r:id="rId30"/>
    <sheet name="PP_17" sheetId="29" r:id="rId31"/>
  </sheets>
  <definedNames>
    <definedName name="anno">"2025"</definedName>
    <definedName name="cell_perc_RR">10</definedName>
    <definedName name="mese">"10"</definedName>
    <definedName name="quarter">"Q4"</definedName>
  </definedNames>
  <calcPr calcId="191029"/>
  <pivotCaches>
    <pivotCache cacheId="19" r:id="rId3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D3" i="14"/>
  <c r="I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S98" i="1"/>
  <c r="N98" i="1"/>
  <c r="AA91" i="1"/>
  <c r="R91" i="1"/>
  <c r="P91" i="1"/>
  <c r="N91" i="1"/>
  <c r="L91" i="1"/>
  <c r="K92" i="1"/>
  <c r="O84" i="1"/>
  <c r="M84" i="1"/>
  <c r="L84" i="1"/>
  <c r="K84" i="1"/>
  <c r="T77" i="1"/>
  <c r="S77" i="1"/>
  <c r="R77" i="1"/>
  <c r="O77" i="1"/>
  <c r="L77" i="1"/>
  <c r="K77" i="1"/>
  <c r="K71" i="1"/>
  <c r="M70" i="1"/>
  <c r="R63" i="1"/>
  <c r="N63" i="1"/>
  <c r="M63" i="1"/>
  <c r="L63" i="1"/>
  <c r="K63" i="1"/>
  <c r="K56" i="1"/>
  <c r="L56" i="1"/>
  <c r="M56" i="1"/>
  <c r="N56" i="1"/>
  <c r="O56" i="1"/>
  <c r="S56" i="1"/>
  <c r="U56" i="1"/>
  <c r="V56" i="1"/>
  <c r="K57" i="1"/>
  <c r="S57" i="1"/>
  <c r="U58" i="1"/>
  <c r="R58" i="1"/>
  <c r="O50" i="1"/>
  <c r="N50" i="1"/>
  <c r="M50" i="1"/>
  <c r="L50" i="1"/>
  <c r="K50" i="1"/>
  <c r="M43" i="1"/>
  <c r="T36" i="1"/>
  <c r="Q36" i="1"/>
  <c r="O36" i="1"/>
  <c r="N36" i="1"/>
  <c r="M36" i="1"/>
  <c r="L36" i="1"/>
  <c r="K36" i="1"/>
  <c r="R29" i="1"/>
  <c r="O29" i="1"/>
  <c r="L29" i="1"/>
  <c r="K29" i="1"/>
  <c r="K22" i="1"/>
  <c r="S22" i="1"/>
  <c r="K23" i="1"/>
  <c r="S23" i="1"/>
  <c r="T23" i="1"/>
  <c r="U24" i="1"/>
  <c r="L24" i="1"/>
  <c r="Q24" i="1"/>
  <c r="S24" i="1"/>
  <c r="T24" i="1"/>
  <c r="L18" i="1"/>
  <c r="M18" i="1"/>
  <c r="N18" i="1"/>
  <c r="O18" i="1"/>
  <c r="Q18" i="1"/>
  <c r="R18" i="1"/>
  <c r="S18" i="1"/>
  <c r="T18" i="1"/>
  <c r="U18" i="1"/>
  <c r="V18" i="1"/>
  <c r="K19" i="1"/>
  <c r="L19" i="1"/>
  <c r="M19" i="1"/>
  <c r="R19" i="1"/>
  <c r="T20" i="1"/>
  <c r="U19" i="1"/>
  <c r="V19" i="1"/>
  <c r="M20" i="1"/>
  <c r="P20" i="1"/>
  <c r="S20" i="1"/>
  <c r="T21" i="1"/>
  <c r="Q22" i="1"/>
  <c r="T22" i="1"/>
  <c r="Q23" i="1"/>
  <c r="N13" i="1"/>
  <c r="M13" i="1"/>
  <c r="Q12" i="1"/>
  <c r="P12" i="1"/>
  <c r="O12" i="1"/>
  <c r="N12" i="1"/>
  <c r="M12" i="1"/>
  <c r="L12" i="1"/>
  <c r="K12" i="1"/>
  <c r="V8" i="1"/>
  <c r="U8" i="1"/>
  <c r="T7" i="1"/>
  <c r="AA7" i="1"/>
  <c r="R8" i="1"/>
  <c r="P7" i="1"/>
  <c r="O7" i="1"/>
  <c r="N8" i="1"/>
  <c r="M7" i="1"/>
  <c r="L7" i="1"/>
  <c r="K7" i="1"/>
  <c r="V5" i="1"/>
  <c r="U5" i="1"/>
  <c r="T5" i="1"/>
  <c r="S4" i="1"/>
  <c r="R4" i="1"/>
  <c r="P4" i="1"/>
  <c r="O4" i="1"/>
  <c r="N4" i="1"/>
  <c r="M4" i="1"/>
  <c r="L4" i="1"/>
  <c r="K4" i="1"/>
  <c r="K3" i="1"/>
  <c r="V3" i="1"/>
  <c r="V6" i="1"/>
  <c r="V7" i="1"/>
  <c r="V11" i="1"/>
  <c r="V28" i="1"/>
  <c r="V29" i="1"/>
  <c r="V35" i="1"/>
  <c r="V42" i="1"/>
  <c r="V49" i="1"/>
  <c r="V62" i="1"/>
  <c r="V63" i="1"/>
  <c r="V69" i="1"/>
  <c r="V70" i="1"/>
  <c r="V76" i="1"/>
  <c r="V77" i="1"/>
  <c r="V83" i="1"/>
  <c r="V84" i="1"/>
  <c r="V90" i="1"/>
  <c r="V91" i="1"/>
  <c r="V97" i="1"/>
  <c r="V98" i="1"/>
  <c r="U3" i="1"/>
  <c r="U4" i="1"/>
  <c r="U6" i="1"/>
  <c r="U7" i="1"/>
  <c r="U11" i="1"/>
  <c r="U28" i="1"/>
  <c r="U35" i="1"/>
  <c r="U36" i="1"/>
  <c r="U42" i="1"/>
  <c r="U43" i="1"/>
  <c r="U49" i="1"/>
  <c r="U62" i="1"/>
  <c r="U69" i="1"/>
  <c r="U70" i="1"/>
  <c r="U76" i="1"/>
  <c r="U77" i="1"/>
  <c r="U83" i="1"/>
  <c r="U84" i="1"/>
  <c r="U90" i="1"/>
  <c r="U91" i="1"/>
  <c r="U97" i="1"/>
  <c r="U98" i="1"/>
  <c r="T3" i="1"/>
  <c r="T4" i="1"/>
  <c r="T6" i="1"/>
  <c r="T11" i="1"/>
  <c r="T12" i="1"/>
  <c r="T28" i="1"/>
  <c r="T35" i="1"/>
  <c r="T42" i="1"/>
  <c r="T49" i="1"/>
  <c r="T62" i="1"/>
  <c r="T63" i="1"/>
  <c r="T69" i="1"/>
  <c r="T76" i="1"/>
  <c r="T83" i="1"/>
  <c r="T90" i="1"/>
  <c r="T91" i="1"/>
  <c r="T97" i="1"/>
  <c r="T98" i="1"/>
  <c r="S3" i="1"/>
  <c r="S6" i="1"/>
  <c r="S11" i="1"/>
  <c r="S12" i="1"/>
  <c r="S19" i="1"/>
  <c r="S21" i="1"/>
  <c r="S28" i="1"/>
  <c r="S35" i="1"/>
  <c r="S36" i="1"/>
  <c r="S42" i="1"/>
  <c r="S49" i="1"/>
  <c r="S62" i="1"/>
  <c r="S69" i="1"/>
  <c r="S76" i="1"/>
  <c r="S83" i="1"/>
  <c r="S84" i="1"/>
  <c r="S90" i="1"/>
  <c r="S91" i="1"/>
  <c r="S97" i="1"/>
  <c r="R3" i="1"/>
  <c r="R6" i="1"/>
  <c r="R11" i="1"/>
  <c r="R12" i="1"/>
  <c r="R28" i="1"/>
  <c r="R35" i="1"/>
  <c r="R42" i="1"/>
  <c r="R49" i="1"/>
  <c r="R56" i="1"/>
  <c r="R57" i="1"/>
  <c r="R62" i="1"/>
  <c r="R69" i="1"/>
  <c r="R76" i="1"/>
  <c r="R83" i="1"/>
  <c r="R84" i="1"/>
  <c r="R90" i="1"/>
  <c r="R97" i="1"/>
  <c r="Q3" i="1"/>
  <c r="Q4" i="1"/>
  <c r="Q6" i="1"/>
  <c r="Q7" i="1"/>
  <c r="Q11" i="1"/>
  <c r="Q19" i="1"/>
  <c r="Q20" i="1"/>
  <c r="Q21" i="1"/>
  <c r="Q28" i="1"/>
  <c r="Q35" i="1"/>
  <c r="Q42" i="1"/>
  <c r="Q49" i="1"/>
  <c r="Q56" i="1"/>
  <c r="Q57" i="1"/>
  <c r="Q58" i="1"/>
  <c r="Q62" i="1"/>
  <c r="Q69" i="1"/>
  <c r="Q70" i="1"/>
  <c r="Q76" i="1"/>
  <c r="Q83" i="1"/>
  <c r="Q84" i="1"/>
  <c r="Q90" i="1"/>
  <c r="Q91" i="1"/>
  <c r="Q97" i="1"/>
  <c r="Q98" i="1"/>
  <c r="P3" i="1"/>
  <c r="P6" i="1"/>
  <c r="P11" i="1"/>
  <c r="P18" i="1"/>
  <c r="P19" i="1"/>
  <c r="P21" i="1"/>
  <c r="P22" i="1"/>
  <c r="P28" i="1"/>
  <c r="P35" i="1"/>
  <c r="P42" i="1"/>
  <c r="P43" i="1"/>
  <c r="P49" i="1"/>
  <c r="P50" i="1"/>
  <c r="P56" i="1"/>
  <c r="P57" i="1"/>
  <c r="P58" i="1"/>
  <c r="P59" i="1"/>
  <c r="P62" i="1"/>
  <c r="P63" i="1"/>
  <c r="P69" i="1"/>
  <c r="P70" i="1"/>
  <c r="P76" i="1"/>
  <c r="P83" i="1"/>
  <c r="P84" i="1"/>
  <c r="P90" i="1"/>
  <c r="P97" i="1"/>
  <c r="O3" i="1"/>
  <c r="O6" i="1"/>
  <c r="O11" i="1"/>
  <c r="O28" i="1"/>
  <c r="O35" i="1"/>
  <c r="O42" i="1"/>
  <c r="O43" i="1"/>
  <c r="O49" i="1"/>
  <c r="O62" i="1"/>
  <c r="O63" i="1"/>
  <c r="O69" i="1"/>
  <c r="O70" i="1"/>
  <c r="O76" i="1"/>
  <c r="O83" i="1"/>
  <c r="O90" i="1"/>
  <c r="O97" i="1"/>
  <c r="N3" i="1"/>
  <c r="N6" i="1"/>
  <c r="N11" i="1"/>
  <c r="N19" i="1"/>
  <c r="N24" i="1"/>
  <c r="N25" i="1"/>
  <c r="N28" i="1"/>
  <c r="N29" i="1"/>
  <c r="N35" i="1"/>
  <c r="N42" i="1"/>
  <c r="N43" i="1"/>
  <c r="N49" i="1"/>
  <c r="N62" i="1"/>
  <c r="N69" i="1"/>
  <c r="N70" i="1"/>
  <c r="N76" i="1"/>
  <c r="N77" i="1"/>
  <c r="N83" i="1"/>
  <c r="N90" i="1"/>
  <c r="N97" i="1"/>
  <c r="M3" i="1"/>
  <c r="M6" i="1"/>
  <c r="M11" i="1"/>
  <c r="M21" i="1"/>
  <c r="M22" i="1"/>
  <c r="M23" i="1"/>
  <c r="M28" i="1"/>
  <c r="M29" i="1"/>
  <c r="M35" i="1"/>
  <c r="M42" i="1"/>
  <c r="M49" i="1"/>
  <c r="M62" i="1"/>
  <c r="M69" i="1"/>
  <c r="M76" i="1"/>
  <c r="M77" i="1"/>
  <c r="M83" i="1"/>
  <c r="M90" i="1"/>
  <c r="M97" i="1"/>
  <c r="L3" i="1"/>
  <c r="L6" i="1"/>
  <c r="L11" i="1"/>
  <c r="L21" i="1"/>
  <c r="L22" i="1"/>
  <c r="L23" i="1"/>
  <c r="L28" i="1"/>
  <c r="L35" i="1"/>
  <c r="L42" i="1"/>
  <c r="L49" i="1"/>
  <c r="L57" i="1"/>
  <c r="L58" i="1"/>
  <c r="L62" i="1"/>
  <c r="L69" i="1"/>
  <c r="L76" i="1"/>
  <c r="L83" i="1"/>
  <c r="L90" i="1"/>
  <c r="L97" i="1"/>
  <c r="K6" i="1"/>
  <c r="K11" i="1"/>
  <c r="K18" i="1"/>
  <c r="K21" i="1"/>
  <c r="K28" i="1"/>
  <c r="K35" i="1"/>
  <c r="K42" i="1"/>
  <c r="K43" i="1"/>
  <c r="K49" i="1"/>
  <c r="K62" i="1"/>
  <c r="K69" i="1"/>
  <c r="K70" i="1"/>
  <c r="K76" i="1"/>
  <c r="K83" i="1"/>
  <c r="K90" i="1"/>
  <c r="K91" i="1"/>
  <c r="K97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D4" i="1"/>
  <c r="C4" i="1" s="1"/>
  <c r="D5" i="1"/>
  <c r="C5" i="1" s="1"/>
  <c r="D6" i="1"/>
  <c r="C6" i="1" s="1"/>
  <c r="D7" i="1"/>
  <c r="C7" i="1" s="1"/>
  <c r="D8" i="1"/>
  <c r="C8" i="1" s="1"/>
  <c r="D9" i="1"/>
  <c r="C9" i="1" s="1"/>
  <c r="D10" i="1"/>
  <c r="C10" i="1" s="1"/>
  <c r="D11" i="1"/>
  <c r="C11" i="1" s="1"/>
  <c r="D12" i="1"/>
  <c r="C12" i="1" s="1"/>
  <c r="D13" i="1"/>
  <c r="C13" i="1" s="1"/>
  <c r="D14" i="1"/>
  <c r="C14" i="1" s="1"/>
  <c r="D15" i="1"/>
  <c r="C15" i="1" s="1"/>
  <c r="D16" i="1"/>
  <c r="C16" i="1" s="1"/>
  <c r="D17" i="1"/>
  <c r="C17" i="1" s="1"/>
  <c r="D18" i="1"/>
  <c r="C18" i="1" s="1"/>
  <c r="D19" i="1"/>
  <c r="C19" i="1" s="1"/>
  <c r="D20" i="1"/>
  <c r="C20" i="1" s="1"/>
  <c r="D21" i="1"/>
  <c r="C21" i="1" s="1"/>
  <c r="D22" i="1"/>
  <c r="C22" i="1" s="1"/>
  <c r="D23" i="1"/>
  <c r="C23" i="1" s="1"/>
  <c r="D24" i="1"/>
  <c r="C24" i="1" s="1"/>
  <c r="D25" i="1"/>
  <c r="C25" i="1" s="1"/>
  <c r="D26" i="1"/>
  <c r="C26" i="1" s="1"/>
  <c r="D27" i="1"/>
  <c r="C27" i="1" s="1"/>
  <c r="D28" i="1"/>
  <c r="C28" i="1" s="1"/>
  <c r="D29" i="1"/>
  <c r="C29" i="1" s="1"/>
  <c r="D30" i="1"/>
  <c r="C30" i="1" s="1"/>
  <c r="D31" i="1"/>
  <c r="C31" i="1" s="1"/>
  <c r="D32" i="1"/>
  <c r="C32" i="1" s="1"/>
  <c r="D33" i="1"/>
  <c r="C33" i="1" s="1"/>
  <c r="D34" i="1"/>
  <c r="C34" i="1" s="1"/>
  <c r="D35" i="1"/>
  <c r="C35" i="1" s="1"/>
  <c r="D36" i="1"/>
  <c r="C36" i="1" s="1"/>
  <c r="D37" i="1"/>
  <c r="C37" i="1" s="1"/>
  <c r="D38" i="1"/>
  <c r="C38" i="1" s="1"/>
  <c r="D39" i="1"/>
  <c r="C39" i="1" s="1"/>
  <c r="D40" i="1"/>
  <c r="C40" i="1" s="1"/>
  <c r="D41" i="1"/>
  <c r="C41" i="1" s="1"/>
  <c r="D42" i="1"/>
  <c r="C42" i="1" s="1"/>
  <c r="D43" i="1"/>
  <c r="C43" i="1" s="1"/>
  <c r="E4" i="1"/>
  <c r="G4" i="1" s="1"/>
  <c r="E5" i="1"/>
  <c r="E6" i="1"/>
  <c r="E7" i="1"/>
  <c r="G7" i="1" s="1"/>
  <c r="E8" i="1"/>
  <c r="G8" i="1" s="1"/>
  <c r="E9" i="1"/>
  <c r="G9" i="1" s="1"/>
  <c r="E10" i="1"/>
  <c r="G10" i="1" s="1"/>
  <c r="E11" i="1"/>
  <c r="G11" i="1" s="1"/>
  <c r="E12" i="1"/>
  <c r="G12" i="1" s="1"/>
  <c r="E13" i="1"/>
  <c r="G13" i="1" s="1"/>
  <c r="E14" i="1"/>
  <c r="G14" i="1" s="1"/>
  <c r="E15" i="1"/>
  <c r="G15" i="1" s="1"/>
  <c r="E16" i="1"/>
  <c r="G16" i="1" s="1"/>
  <c r="E17" i="1"/>
  <c r="G17" i="1" s="1"/>
  <c r="E18" i="1"/>
  <c r="AC18" i="1" s="1"/>
  <c r="E19" i="1"/>
  <c r="AC19" i="1" s="1"/>
  <c r="E20" i="1"/>
  <c r="AC20" i="1" s="1"/>
  <c r="E21" i="1"/>
  <c r="G21" i="1" s="1"/>
  <c r="E22" i="1"/>
  <c r="AC22" i="1" s="1"/>
  <c r="E23" i="1"/>
  <c r="AC23" i="1" s="1"/>
  <c r="E24" i="1"/>
  <c r="G24" i="1" s="1"/>
  <c r="E25" i="1"/>
  <c r="G25" i="1" s="1"/>
  <c r="E26" i="1"/>
  <c r="G26" i="1" s="1"/>
  <c r="E27" i="1"/>
  <c r="G27" i="1" s="1"/>
  <c r="E28" i="1"/>
  <c r="G28" i="1" s="1"/>
  <c r="E29" i="1"/>
  <c r="E30" i="1"/>
  <c r="E31" i="1"/>
  <c r="G31" i="1" s="1"/>
  <c r="E32" i="1"/>
  <c r="G32" i="1" s="1"/>
  <c r="E33" i="1"/>
  <c r="G33" i="1" s="1"/>
  <c r="E34" i="1"/>
  <c r="G34" i="1" s="1"/>
  <c r="E35" i="1"/>
  <c r="G35" i="1" s="1"/>
  <c r="E36" i="1"/>
  <c r="G36" i="1" s="1"/>
  <c r="E37" i="1"/>
  <c r="G37" i="1" s="1"/>
  <c r="E38" i="1"/>
  <c r="G38" i="1" s="1"/>
  <c r="E39" i="1"/>
  <c r="G39" i="1" s="1"/>
  <c r="E40" i="1"/>
  <c r="G40" i="1" s="1"/>
  <c r="E41" i="1"/>
  <c r="E42" i="1"/>
  <c r="E43" i="1"/>
  <c r="G43" i="1" s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AA4" i="1"/>
  <c r="AA6" i="1"/>
  <c r="AA11" i="1"/>
  <c r="AA12" i="1"/>
  <c r="AA18" i="1"/>
  <c r="AA19" i="1"/>
  <c r="AA20" i="1"/>
  <c r="AA21" i="1"/>
  <c r="AA22" i="1"/>
  <c r="AA23" i="1"/>
  <c r="AA24" i="1"/>
  <c r="AA28" i="1"/>
  <c r="AA35" i="1"/>
  <c r="AA42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D44" i="1"/>
  <c r="C44" i="1" s="1"/>
  <c r="D45" i="1"/>
  <c r="C45" i="1" s="1"/>
  <c r="D46" i="1"/>
  <c r="C46" i="1" s="1"/>
  <c r="D47" i="1"/>
  <c r="C47" i="1" s="1"/>
  <c r="D48" i="1"/>
  <c r="C48" i="1" s="1"/>
  <c r="D49" i="1"/>
  <c r="C49" i="1" s="1"/>
  <c r="D50" i="1"/>
  <c r="C50" i="1" s="1"/>
  <c r="D51" i="1"/>
  <c r="C51" i="1" s="1"/>
  <c r="D52" i="1"/>
  <c r="C52" i="1" s="1"/>
  <c r="D53" i="1"/>
  <c r="C53" i="1" s="1"/>
  <c r="D54" i="1"/>
  <c r="C54" i="1" s="1"/>
  <c r="D55" i="1"/>
  <c r="C55" i="1" s="1"/>
  <c r="D56" i="1"/>
  <c r="C56" i="1" s="1"/>
  <c r="D57" i="1"/>
  <c r="C57" i="1" s="1"/>
  <c r="D58" i="1"/>
  <c r="C58" i="1" s="1"/>
  <c r="D59" i="1"/>
  <c r="C59" i="1" s="1"/>
  <c r="D60" i="1"/>
  <c r="C60" i="1" s="1"/>
  <c r="D61" i="1"/>
  <c r="C61" i="1" s="1"/>
  <c r="D62" i="1"/>
  <c r="C62" i="1" s="1"/>
  <c r="D63" i="1"/>
  <c r="C63" i="1" s="1"/>
  <c r="D64" i="1"/>
  <c r="C64" i="1" s="1"/>
  <c r="D65" i="1"/>
  <c r="C65" i="1" s="1"/>
  <c r="D66" i="1"/>
  <c r="C66" i="1" s="1"/>
  <c r="D67" i="1"/>
  <c r="C67" i="1" s="1"/>
  <c r="D68" i="1"/>
  <c r="C68" i="1" s="1"/>
  <c r="D69" i="1"/>
  <c r="C69" i="1" s="1"/>
  <c r="D70" i="1"/>
  <c r="C70" i="1" s="1"/>
  <c r="D71" i="1"/>
  <c r="C71" i="1" s="1"/>
  <c r="D72" i="1"/>
  <c r="C72" i="1" s="1"/>
  <c r="D73" i="1"/>
  <c r="C73" i="1" s="1"/>
  <c r="D74" i="1"/>
  <c r="C74" i="1" s="1"/>
  <c r="D75" i="1"/>
  <c r="C75" i="1" s="1"/>
  <c r="D76" i="1"/>
  <c r="C76" i="1" s="1"/>
  <c r="D77" i="1"/>
  <c r="C77" i="1" s="1"/>
  <c r="D78" i="1"/>
  <c r="C78" i="1" s="1"/>
  <c r="D79" i="1"/>
  <c r="C79" i="1" s="1"/>
  <c r="D80" i="1"/>
  <c r="C80" i="1" s="1"/>
  <c r="D81" i="1"/>
  <c r="C81" i="1" s="1"/>
  <c r="D82" i="1"/>
  <c r="C82" i="1" s="1"/>
  <c r="D83" i="1"/>
  <c r="C83" i="1" s="1"/>
  <c r="E44" i="1"/>
  <c r="G44" i="1" s="1"/>
  <c r="E45" i="1"/>
  <c r="G45" i="1" s="1"/>
  <c r="E46" i="1"/>
  <c r="G46" i="1" s="1"/>
  <c r="E47" i="1"/>
  <c r="G47" i="1" s="1"/>
  <c r="E48" i="1"/>
  <c r="G48" i="1" s="1"/>
  <c r="E49" i="1"/>
  <c r="G49" i="1" s="1"/>
  <c r="E50" i="1"/>
  <c r="G50" i="1" s="1"/>
  <c r="E51" i="1"/>
  <c r="E52" i="1"/>
  <c r="G52" i="1" s="1"/>
  <c r="E53" i="1"/>
  <c r="G53" i="1" s="1"/>
  <c r="E54" i="1"/>
  <c r="G54" i="1" s="1"/>
  <c r="E55" i="1"/>
  <c r="G55" i="1" s="1"/>
  <c r="E56" i="1"/>
  <c r="AC56" i="1" s="1"/>
  <c r="E57" i="1"/>
  <c r="G57" i="1" s="1"/>
  <c r="E58" i="1"/>
  <c r="G58" i="1" s="1"/>
  <c r="E59" i="1"/>
  <c r="AC59" i="1" s="1"/>
  <c r="E60" i="1"/>
  <c r="G60" i="1" s="1"/>
  <c r="E61" i="1"/>
  <c r="G61" i="1" s="1"/>
  <c r="E62" i="1"/>
  <c r="G62" i="1" s="1"/>
  <c r="E63" i="1"/>
  <c r="E64" i="1"/>
  <c r="G64" i="1" s="1"/>
  <c r="E65" i="1"/>
  <c r="G65" i="1" s="1"/>
  <c r="E66" i="1"/>
  <c r="G66" i="1" s="1"/>
  <c r="E67" i="1"/>
  <c r="G67" i="1" s="1"/>
  <c r="E68" i="1"/>
  <c r="G68" i="1" s="1"/>
  <c r="E69" i="1"/>
  <c r="G69" i="1" s="1"/>
  <c r="E70" i="1"/>
  <c r="G70" i="1" s="1"/>
  <c r="E71" i="1"/>
  <c r="G71" i="1" s="1"/>
  <c r="E72" i="1"/>
  <c r="G72" i="1" s="1"/>
  <c r="E73" i="1"/>
  <c r="G73" i="1" s="1"/>
  <c r="E74" i="1"/>
  <c r="G74" i="1" s="1"/>
  <c r="E75" i="1"/>
  <c r="E76" i="1"/>
  <c r="G76" i="1" s="1"/>
  <c r="E77" i="1"/>
  <c r="G77" i="1" s="1"/>
  <c r="E78" i="1"/>
  <c r="G78" i="1" s="1"/>
  <c r="E79" i="1"/>
  <c r="G79" i="1" s="1"/>
  <c r="E80" i="1"/>
  <c r="AC80" i="1" s="1"/>
  <c r="E81" i="1"/>
  <c r="G81" i="1" s="1"/>
  <c r="E82" i="1"/>
  <c r="G82" i="1" s="1"/>
  <c r="E83" i="1"/>
  <c r="AC83" i="1" s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AA49" i="1"/>
  <c r="AA62" i="1"/>
  <c r="AA69" i="1"/>
  <c r="AA70" i="1"/>
  <c r="AA76" i="1"/>
  <c r="AA8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D84" i="1"/>
  <c r="C84" i="1" s="1"/>
  <c r="D85" i="1"/>
  <c r="C85" i="1" s="1"/>
  <c r="D86" i="1"/>
  <c r="C86" i="1" s="1"/>
  <c r="D87" i="1"/>
  <c r="C87" i="1" s="1"/>
  <c r="D88" i="1"/>
  <c r="C88" i="1" s="1"/>
  <c r="D89" i="1"/>
  <c r="C89" i="1" s="1"/>
  <c r="D90" i="1"/>
  <c r="C90" i="1" s="1"/>
  <c r="D91" i="1"/>
  <c r="C91" i="1" s="1"/>
  <c r="D92" i="1"/>
  <c r="C92" i="1" s="1"/>
  <c r="D93" i="1"/>
  <c r="C93" i="1" s="1"/>
  <c r="D94" i="1"/>
  <c r="C94" i="1" s="1"/>
  <c r="D95" i="1"/>
  <c r="C95" i="1" s="1"/>
  <c r="D96" i="1"/>
  <c r="C96" i="1" s="1"/>
  <c r="D97" i="1"/>
  <c r="C97" i="1" s="1"/>
  <c r="D98" i="1"/>
  <c r="C98" i="1" s="1"/>
  <c r="D99" i="1"/>
  <c r="C99" i="1" s="1"/>
  <c r="D100" i="1"/>
  <c r="C100" i="1" s="1"/>
  <c r="D101" i="1"/>
  <c r="C101" i="1" s="1"/>
  <c r="D102" i="1"/>
  <c r="C102" i="1" s="1"/>
  <c r="E84" i="1"/>
  <c r="G84" i="1" s="1"/>
  <c r="E85" i="1"/>
  <c r="AC85" i="1" s="1"/>
  <c r="E86" i="1"/>
  <c r="G86" i="1" s="1"/>
  <c r="E87" i="1"/>
  <c r="G87" i="1" s="1"/>
  <c r="E88" i="1"/>
  <c r="G88" i="1" s="1"/>
  <c r="E89" i="1"/>
  <c r="G89" i="1" s="1"/>
  <c r="E90" i="1"/>
  <c r="AC90" i="1" s="1"/>
  <c r="E91" i="1"/>
  <c r="AC91" i="1" s="1"/>
  <c r="E92" i="1"/>
  <c r="G92" i="1" s="1"/>
  <c r="E93" i="1"/>
  <c r="G93" i="1" s="1"/>
  <c r="E94" i="1"/>
  <c r="G94" i="1" s="1"/>
  <c r="E95" i="1"/>
  <c r="G95" i="1" s="1"/>
  <c r="E96" i="1"/>
  <c r="AC96" i="1" s="1"/>
  <c r="E97" i="1"/>
  <c r="AC97" i="1" s="1"/>
  <c r="E98" i="1"/>
  <c r="AC98" i="1" s="1"/>
  <c r="E99" i="1"/>
  <c r="G99" i="1" s="1"/>
  <c r="E100" i="1"/>
  <c r="G100" i="1" s="1"/>
  <c r="E101" i="1"/>
  <c r="G101" i="1" s="1"/>
  <c r="E102" i="1"/>
  <c r="AC102" i="1" s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AA84" i="1"/>
  <c r="AA90" i="1"/>
  <c r="AA97" i="1"/>
  <c r="AA98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B32" i="32"/>
  <c r="B31" i="32"/>
  <c r="B30" i="32"/>
  <c r="B29" i="32"/>
  <c r="B28" i="32"/>
  <c r="B27" i="32"/>
  <c r="B26" i="32"/>
  <c r="B25" i="32"/>
  <c r="B24" i="32"/>
  <c r="B23" i="32"/>
  <c r="B22" i="32"/>
  <c r="B21" i="32"/>
  <c r="B20" i="32"/>
  <c r="B19" i="32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A2" i="10"/>
  <c r="AD3" i="1"/>
  <c r="AA3" i="1"/>
  <c r="Z3" i="1"/>
  <c r="X3" i="1"/>
  <c r="F3" i="1"/>
  <c r="E3" i="1"/>
  <c r="AC3" i="1" s="1"/>
  <c r="D3" i="1"/>
  <c r="C3" i="1" s="1"/>
  <c r="O3" i="4"/>
  <c r="E3" i="4" s="1"/>
  <c r="N3" i="4"/>
  <c r="M3" i="4"/>
  <c r="L3" i="4"/>
  <c r="K3" i="4"/>
  <c r="J3" i="4"/>
  <c r="I3" i="4"/>
  <c r="H3" i="4"/>
  <c r="G3" i="4"/>
  <c r="F3" i="4"/>
  <c r="D3" i="4"/>
  <c r="A3" i="4"/>
  <c r="O27" i="2" s="1"/>
  <c r="J3" i="3"/>
  <c r="I3" i="3"/>
  <c r="H3" i="3"/>
  <c r="G3" i="3"/>
  <c r="E3" i="3"/>
  <c r="D3" i="3"/>
  <c r="C3" i="3"/>
  <c r="B3" i="3"/>
  <c r="A3" i="3"/>
  <c r="Y3" i="1"/>
  <c r="I27" i="2"/>
  <c r="I25" i="2"/>
  <c r="AC16" i="1" l="1"/>
  <c r="G20" i="1"/>
  <c r="G59" i="1"/>
  <c r="G19" i="1"/>
  <c r="AC89" i="1"/>
  <c r="AC76" i="1"/>
  <c r="AC73" i="1"/>
  <c r="P23" i="1"/>
  <c r="O24" i="1"/>
  <c r="N58" i="1"/>
  <c r="M91" i="1"/>
  <c r="M92" i="1"/>
  <c r="AC6" i="1"/>
  <c r="G6" i="1"/>
  <c r="G41" i="1"/>
  <c r="AC41" i="1"/>
  <c r="K25" i="1"/>
  <c r="M98" i="1"/>
  <c r="AC77" i="1"/>
  <c r="K5" i="1"/>
  <c r="V24" i="1"/>
  <c r="G51" i="1"/>
  <c r="AC51" i="1"/>
  <c r="L5" i="1"/>
  <c r="M5" i="1"/>
  <c r="P77" i="1"/>
  <c r="G29" i="1"/>
  <c r="AC29" i="1"/>
  <c r="G18" i="1"/>
  <c r="T25" i="1"/>
  <c r="S63" i="1"/>
  <c r="AA63" i="1"/>
  <c r="S70" i="1"/>
  <c r="G30" i="1"/>
  <c r="AC30" i="1"/>
  <c r="Q5" i="1"/>
  <c r="V12" i="1"/>
  <c r="O19" i="1"/>
  <c r="Q10" i="1"/>
  <c r="Q9" i="1"/>
  <c r="K98" i="1"/>
  <c r="L99" i="1"/>
  <c r="L98" i="1"/>
  <c r="G75" i="1"/>
  <c r="AC75" i="1"/>
  <c r="G63" i="1"/>
  <c r="AC63" i="1"/>
  <c r="AA25" i="1"/>
  <c r="S25" i="1"/>
  <c r="R59" i="1"/>
  <c r="M57" i="1"/>
  <c r="T70" i="1"/>
  <c r="N57" i="1"/>
  <c r="Q30" i="1"/>
  <c r="Q29" i="1"/>
  <c r="Q43" i="1"/>
  <c r="Q50" i="1"/>
  <c r="L59" i="1"/>
  <c r="AC17" i="1"/>
  <c r="O91" i="1"/>
  <c r="K13" i="1"/>
  <c r="R24" i="1"/>
  <c r="S29" i="1"/>
  <c r="AA36" i="1"/>
  <c r="AA44" i="1"/>
  <c r="AA43" i="1"/>
  <c r="P61" i="1"/>
  <c r="P60" i="1"/>
  <c r="G42" i="1"/>
  <c r="AC42" i="1"/>
  <c r="AC5" i="1"/>
  <c r="G5" i="1"/>
  <c r="N27" i="1"/>
  <c r="N26" i="1"/>
  <c r="L20" i="1"/>
  <c r="AC62" i="1"/>
  <c r="K24" i="1"/>
  <c r="N71" i="1"/>
  <c r="N7" i="1"/>
  <c r="V50" i="1"/>
  <c r="K51" i="1"/>
  <c r="M71" i="1"/>
  <c r="N5" i="1"/>
  <c r="O5" i="1"/>
  <c r="K20" i="1"/>
  <c r="AC4" i="1"/>
  <c r="P5" i="1"/>
  <c r="R13" i="1"/>
  <c r="T29" i="1"/>
  <c r="R5" i="1"/>
  <c r="R9" i="1"/>
  <c r="AC40" i="1"/>
  <c r="P36" i="1"/>
  <c r="V43" i="1"/>
  <c r="S5" i="1"/>
  <c r="K78" i="1"/>
  <c r="T43" i="1"/>
  <c r="U63" i="1"/>
  <c r="AC49" i="1"/>
  <c r="Q63" i="1"/>
  <c r="R98" i="1"/>
  <c r="T19" i="1"/>
  <c r="V4" i="1"/>
  <c r="L78" i="1"/>
  <c r="U29" i="1"/>
  <c r="L70" i="1"/>
  <c r="P29" i="1"/>
  <c r="U57" i="1"/>
  <c r="U12" i="1"/>
  <c r="V36" i="1"/>
  <c r="AC61" i="1"/>
  <c r="AA77" i="1"/>
  <c r="AC28" i="1"/>
  <c r="P98" i="1"/>
  <c r="U50" i="1"/>
  <c r="U99" i="1"/>
  <c r="V99" i="1"/>
  <c r="K99" i="1"/>
  <c r="M99" i="1"/>
  <c r="O99" i="1"/>
  <c r="P99" i="1"/>
  <c r="R99" i="1"/>
  <c r="T99" i="1"/>
  <c r="O98" i="1"/>
  <c r="O92" i="1"/>
  <c r="Q92" i="1"/>
  <c r="T92" i="1"/>
  <c r="U92" i="1"/>
  <c r="V92" i="1"/>
  <c r="N85" i="1"/>
  <c r="P85" i="1"/>
  <c r="Q85" i="1"/>
  <c r="R85" i="1"/>
  <c r="AA85" i="1"/>
  <c r="S85" i="1"/>
  <c r="T85" i="1"/>
  <c r="U85" i="1"/>
  <c r="V85" i="1"/>
  <c r="N84" i="1"/>
  <c r="T84" i="1"/>
  <c r="P78" i="1"/>
  <c r="Q78" i="1"/>
  <c r="M78" i="1"/>
  <c r="N78" i="1"/>
  <c r="U78" i="1"/>
  <c r="V78" i="1"/>
  <c r="Q77" i="1"/>
  <c r="O71" i="1"/>
  <c r="P71" i="1"/>
  <c r="Q71" i="1"/>
  <c r="R71" i="1"/>
  <c r="S71" i="1"/>
  <c r="AA71" i="1"/>
  <c r="V71" i="1"/>
  <c r="U71" i="1"/>
  <c r="L71" i="1"/>
  <c r="N72" i="1"/>
  <c r="R70" i="1"/>
  <c r="O64" i="1"/>
  <c r="P64" i="1"/>
  <c r="Q64" i="1"/>
  <c r="S64" i="1"/>
  <c r="T64" i="1"/>
  <c r="U64" i="1"/>
  <c r="V64" i="1"/>
  <c r="T57" i="1"/>
  <c r="O58" i="1"/>
  <c r="T56" i="1"/>
  <c r="AA57" i="1"/>
  <c r="O57" i="1"/>
  <c r="AA56" i="1"/>
  <c r="P51" i="1"/>
  <c r="R51" i="1"/>
  <c r="T51" i="1"/>
  <c r="V51" i="1"/>
  <c r="AA51" i="1"/>
  <c r="S51" i="1"/>
  <c r="U51" i="1"/>
  <c r="T50" i="1"/>
  <c r="S50" i="1"/>
  <c r="AA50" i="1"/>
  <c r="R50" i="1"/>
  <c r="O44" i="1"/>
  <c r="P44" i="1"/>
  <c r="Q44" i="1"/>
  <c r="R44" i="1"/>
  <c r="K44" i="1"/>
  <c r="L44" i="1"/>
  <c r="N44" i="1"/>
  <c r="S44" i="1"/>
  <c r="T44" i="1"/>
  <c r="U44" i="1"/>
  <c r="V44" i="1"/>
  <c r="R43" i="1"/>
  <c r="S43" i="1"/>
  <c r="L43" i="1"/>
  <c r="P37" i="1"/>
  <c r="R37" i="1"/>
  <c r="AA37" i="1"/>
  <c r="S37" i="1"/>
  <c r="U37" i="1"/>
  <c r="V37" i="1"/>
  <c r="R36" i="1"/>
  <c r="N30" i="1"/>
  <c r="M30" i="1"/>
  <c r="P30" i="1"/>
  <c r="S30" i="1"/>
  <c r="AA30" i="1"/>
  <c r="T30" i="1"/>
  <c r="U30" i="1"/>
  <c r="V30" i="1"/>
  <c r="AA29" i="1"/>
  <c r="P24" i="1"/>
  <c r="M24" i="1"/>
  <c r="O20" i="1"/>
  <c r="N20" i="1"/>
  <c r="AA17" i="1"/>
  <c r="S17" i="1"/>
  <c r="N17" i="1"/>
  <c r="M17" i="1"/>
  <c r="S13" i="1"/>
  <c r="AA13" i="1"/>
  <c r="T13" i="1"/>
  <c r="U13" i="1"/>
  <c r="R14" i="1"/>
  <c r="Q8" i="1"/>
  <c r="R7" i="1"/>
  <c r="S7" i="1"/>
  <c r="AA5" i="1"/>
  <c r="AC50" i="1"/>
  <c r="AC79" i="1"/>
  <c r="AC14" i="1"/>
  <c r="AC7" i="1"/>
  <c r="AC74" i="1"/>
  <c r="AC43" i="1"/>
  <c r="AC101" i="1"/>
  <c r="AC48" i="1"/>
  <c r="AC10" i="1"/>
  <c r="AC47" i="1"/>
  <c r="AC9" i="1"/>
  <c r="AC71" i="1"/>
  <c r="G83" i="1"/>
  <c r="AC38" i="1"/>
  <c r="G90" i="1"/>
  <c r="AC64" i="1"/>
  <c r="AC27" i="1"/>
  <c r="AC60" i="1"/>
  <c r="AC26" i="1"/>
  <c r="AC55" i="1"/>
  <c r="AC39" i="1"/>
  <c r="G23" i="1"/>
  <c r="G22" i="1"/>
  <c r="AC53" i="1"/>
  <c r="AC99" i="1"/>
  <c r="AC72" i="1"/>
  <c r="AC52" i="1"/>
  <c r="AC34" i="1"/>
  <c r="AC32" i="1"/>
  <c r="G102" i="1"/>
  <c r="AC67" i="1"/>
  <c r="AC31" i="1"/>
  <c r="AC15" i="1"/>
  <c r="G91" i="1"/>
  <c r="AC65" i="1"/>
  <c r="AC82" i="1"/>
  <c r="AC58" i="1"/>
  <c r="AC81" i="1"/>
  <c r="AC69" i="1"/>
  <c r="AC57" i="1"/>
  <c r="AC45" i="1"/>
  <c r="G56" i="1"/>
  <c r="AC37" i="1"/>
  <c r="AC25" i="1"/>
  <c r="AC13" i="1"/>
  <c r="AC86" i="1"/>
  <c r="AC70" i="1"/>
  <c r="AC46" i="1"/>
  <c r="AC68" i="1"/>
  <c r="AC36" i="1"/>
  <c r="AC24" i="1"/>
  <c r="AC12" i="1"/>
  <c r="AC44" i="1"/>
  <c r="AC35" i="1"/>
  <c r="AC11" i="1"/>
  <c r="AC78" i="1"/>
  <c r="AC66" i="1"/>
  <c r="AC54" i="1"/>
  <c r="G98" i="1"/>
  <c r="G80" i="1"/>
  <c r="AC33" i="1"/>
  <c r="AC21" i="1"/>
  <c r="G97" i="1"/>
  <c r="AC8" i="1"/>
  <c r="AC100" i="1"/>
  <c r="AC87" i="1"/>
  <c r="AC88" i="1"/>
  <c r="G96" i="1"/>
  <c r="AC95" i="1"/>
  <c r="AC94" i="1"/>
  <c r="AC84" i="1"/>
  <c r="AC93" i="1"/>
  <c r="G85" i="1"/>
  <c r="AC92" i="1"/>
  <c r="F35" i="2"/>
  <c r="F32" i="2"/>
  <c r="G3" i="1"/>
  <c r="H34" i="2"/>
  <c r="N35" i="2"/>
  <c r="L35" i="2" s="1"/>
  <c r="F31" i="2"/>
  <c r="M26" i="2"/>
  <c r="K26" i="2" s="1"/>
  <c r="M25" i="2"/>
  <c r="K25" i="2" s="1"/>
  <c r="F34" i="2"/>
  <c r="M24" i="2"/>
  <c r="N36" i="2"/>
  <c r="L36" i="2" s="1"/>
  <c r="E27" i="2"/>
  <c r="H35" i="2"/>
  <c r="M27" i="2"/>
  <c r="K27" i="2" s="1"/>
  <c r="G25" i="2"/>
  <c r="H36" i="2"/>
  <c r="G26" i="2"/>
  <c r="N34" i="2"/>
  <c r="L34" i="2" s="1"/>
  <c r="H31" i="2"/>
  <c r="N31" i="2"/>
  <c r="L31" i="2" s="1"/>
  <c r="E24" i="2"/>
  <c r="H37" i="2"/>
  <c r="N33" i="2"/>
  <c r="L33" i="2" s="1"/>
  <c r="F33" i="2"/>
  <c r="F36" i="2"/>
  <c r="N37" i="2"/>
  <c r="L37" i="2" s="1"/>
  <c r="H32" i="2"/>
  <c r="F37" i="2"/>
  <c r="E25" i="2"/>
  <c r="G27" i="2"/>
  <c r="H33" i="2"/>
  <c r="G24" i="2"/>
  <c r="N32" i="2"/>
  <c r="L32" i="2" s="1"/>
  <c r="E26" i="2"/>
  <c r="O25" i="2"/>
  <c r="C3" i="4"/>
  <c r="P32" i="2" s="1"/>
  <c r="O24" i="2"/>
  <c r="O26" i="2"/>
  <c r="B3" i="4"/>
  <c r="J34" i="2"/>
  <c r="J37" i="2"/>
  <c r="I24" i="2"/>
  <c r="J31" i="2"/>
  <c r="J32" i="2"/>
  <c r="J33" i="2"/>
  <c r="I26" i="2"/>
  <c r="J36" i="2"/>
  <c r="J35" i="2"/>
  <c r="L25" i="1" l="1"/>
  <c r="O8" i="1"/>
  <c r="M8" i="1"/>
  <c r="L8" i="1"/>
  <c r="N10" i="1"/>
  <c r="N9" i="1"/>
  <c r="L61" i="1"/>
  <c r="L60" i="1"/>
  <c r="U59" i="1"/>
  <c r="M58" i="1"/>
  <c r="T26" i="1"/>
  <c r="T27" i="1"/>
  <c r="U10" i="1"/>
  <c r="U9" i="1"/>
  <c r="V25" i="1"/>
  <c r="Q31" i="1"/>
  <c r="K58" i="1"/>
  <c r="R61" i="1"/>
  <c r="R60" i="1"/>
  <c r="AA9" i="1"/>
  <c r="S9" i="1"/>
  <c r="V10" i="1"/>
  <c r="V9" i="1"/>
  <c r="O25" i="1"/>
  <c r="K8" i="1"/>
  <c r="Q51" i="1"/>
  <c r="AA64" i="1"/>
  <c r="V57" i="1"/>
  <c r="R10" i="1"/>
  <c r="T71" i="1"/>
  <c r="N59" i="1"/>
  <c r="T8" i="1"/>
  <c r="R15" i="1"/>
  <c r="AA26" i="1"/>
  <c r="S26" i="1"/>
  <c r="V13" i="1"/>
  <c r="P8" i="1"/>
  <c r="R25" i="1"/>
  <c r="Q59" i="1"/>
  <c r="U25" i="1"/>
  <c r="K26" i="1"/>
  <c r="K27" i="1"/>
  <c r="P100" i="1"/>
  <c r="N99" i="1"/>
  <c r="O100" i="1"/>
  <c r="Q99" i="1"/>
  <c r="M100" i="1"/>
  <c r="L100" i="1"/>
  <c r="V100" i="1"/>
  <c r="S99" i="1"/>
  <c r="AA99" i="1"/>
  <c r="T100" i="1"/>
  <c r="K100" i="1"/>
  <c r="U100" i="1"/>
  <c r="R100" i="1"/>
  <c r="K93" i="1"/>
  <c r="V93" i="1"/>
  <c r="U93" i="1"/>
  <c r="AA92" i="1"/>
  <c r="S92" i="1"/>
  <c r="T93" i="1"/>
  <c r="R92" i="1"/>
  <c r="M93" i="1"/>
  <c r="Q93" i="1"/>
  <c r="L92" i="1"/>
  <c r="N92" i="1"/>
  <c r="O93" i="1"/>
  <c r="P92" i="1"/>
  <c r="AA86" i="1"/>
  <c r="S86" i="1"/>
  <c r="M85" i="1"/>
  <c r="L85" i="1"/>
  <c r="Q86" i="1"/>
  <c r="O85" i="1"/>
  <c r="K85" i="1"/>
  <c r="R86" i="1"/>
  <c r="V86" i="1"/>
  <c r="P86" i="1"/>
  <c r="U86" i="1"/>
  <c r="T86" i="1"/>
  <c r="N86" i="1"/>
  <c r="U79" i="1"/>
  <c r="N79" i="1"/>
  <c r="T78" i="1"/>
  <c r="V79" i="1"/>
  <c r="S78" i="1"/>
  <c r="AA78" i="1"/>
  <c r="R78" i="1"/>
  <c r="M79" i="1"/>
  <c r="Q79" i="1"/>
  <c r="O78" i="1"/>
  <c r="L79" i="1"/>
  <c r="K79" i="1"/>
  <c r="P79" i="1"/>
  <c r="N73" i="1"/>
  <c r="L72" i="1"/>
  <c r="R72" i="1"/>
  <c r="U72" i="1"/>
  <c r="Q72" i="1"/>
  <c r="S72" i="1"/>
  <c r="AA72" i="1"/>
  <c r="V72" i="1"/>
  <c r="O72" i="1"/>
  <c r="K72" i="1"/>
  <c r="P72" i="1"/>
  <c r="M72" i="1"/>
  <c r="T72" i="1"/>
  <c r="R64" i="1"/>
  <c r="S65" i="1"/>
  <c r="AA65" i="1"/>
  <c r="N64" i="1"/>
  <c r="L64" i="1"/>
  <c r="K64" i="1"/>
  <c r="Q65" i="1"/>
  <c r="M64" i="1"/>
  <c r="P65" i="1"/>
  <c r="T65" i="1"/>
  <c r="V65" i="1"/>
  <c r="U65" i="1"/>
  <c r="O65" i="1"/>
  <c r="S58" i="1"/>
  <c r="AA58" i="1"/>
  <c r="O59" i="1"/>
  <c r="T58" i="1"/>
  <c r="K52" i="1"/>
  <c r="M51" i="1"/>
  <c r="V52" i="1"/>
  <c r="O51" i="1"/>
  <c r="T52" i="1"/>
  <c r="R52" i="1"/>
  <c r="N51" i="1"/>
  <c r="AA52" i="1"/>
  <c r="S52" i="1"/>
  <c r="L51" i="1"/>
  <c r="U52" i="1"/>
  <c r="Q52" i="1"/>
  <c r="P52" i="1"/>
  <c r="L45" i="1"/>
  <c r="V45" i="1"/>
  <c r="K45" i="1"/>
  <c r="U45" i="1"/>
  <c r="R45" i="1"/>
  <c r="T45" i="1"/>
  <c r="Q45" i="1"/>
  <c r="AA45" i="1"/>
  <c r="S45" i="1"/>
  <c r="P45" i="1"/>
  <c r="M44" i="1"/>
  <c r="N45" i="1"/>
  <c r="O45" i="1"/>
  <c r="N37" i="1"/>
  <c r="U38" i="1"/>
  <c r="M37" i="1"/>
  <c r="L37" i="1"/>
  <c r="R38" i="1"/>
  <c r="K37" i="1"/>
  <c r="P38" i="1"/>
  <c r="V38" i="1"/>
  <c r="T37" i="1"/>
  <c r="Q37" i="1"/>
  <c r="S38" i="1"/>
  <c r="AA38" i="1"/>
  <c r="O37" i="1"/>
  <c r="R30" i="1"/>
  <c r="S31" i="1"/>
  <c r="AA31" i="1"/>
  <c r="L30" i="1"/>
  <c r="K30" i="1"/>
  <c r="P31" i="1"/>
  <c r="V31" i="1"/>
  <c r="M31" i="1"/>
  <c r="O30" i="1"/>
  <c r="N31" i="1"/>
  <c r="U31" i="1"/>
  <c r="T31" i="1"/>
  <c r="Q25" i="1"/>
  <c r="M25" i="1"/>
  <c r="P25" i="1"/>
  <c r="R20" i="1"/>
  <c r="U20" i="1"/>
  <c r="V20" i="1"/>
  <c r="N21" i="1"/>
  <c r="O21" i="1"/>
  <c r="Q17" i="1"/>
  <c r="L13" i="1"/>
  <c r="Q13" i="1"/>
  <c r="U14" i="1"/>
  <c r="V14" i="1"/>
  <c r="O13" i="1"/>
  <c r="T14" i="1"/>
  <c r="P13" i="1"/>
  <c r="N14" i="1"/>
  <c r="S14" i="1"/>
  <c r="AA14" i="1"/>
  <c r="M14" i="1"/>
  <c r="K14" i="1"/>
  <c r="AA8" i="1"/>
  <c r="S8" i="1"/>
  <c r="G29" i="2"/>
  <c r="E29" i="2"/>
  <c r="H38" i="2"/>
  <c r="H39" i="2" s="1"/>
  <c r="F38" i="2"/>
  <c r="F39" i="2" s="1"/>
  <c r="N38" i="2"/>
  <c r="L38" i="2" s="1"/>
  <c r="M29" i="2"/>
  <c r="K29" i="2" s="1"/>
  <c r="P31" i="2"/>
  <c r="P37" i="2"/>
  <c r="P34" i="2"/>
  <c r="P33" i="2"/>
  <c r="P35" i="2"/>
  <c r="P36" i="2"/>
  <c r="O29" i="2"/>
  <c r="I29" i="2"/>
  <c r="J38" i="2"/>
  <c r="J39" i="2" s="1"/>
  <c r="K59" i="1" l="1"/>
  <c r="K15" i="1"/>
  <c r="R27" i="1"/>
  <c r="R26" i="1"/>
  <c r="N60" i="1"/>
  <c r="N61" i="1"/>
  <c r="O26" i="1"/>
  <c r="O27" i="1"/>
  <c r="M15" i="1"/>
  <c r="M16" i="1"/>
  <c r="P9" i="1"/>
  <c r="P10" i="1"/>
  <c r="V26" i="1"/>
  <c r="V27" i="1"/>
  <c r="V15" i="1"/>
  <c r="U15" i="1"/>
  <c r="AA27" i="1"/>
  <c r="S27" i="1"/>
  <c r="M10" i="1"/>
  <c r="M9" i="1"/>
  <c r="T15" i="1"/>
  <c r="U26" i="1"/>
  <c r="U27" i="1"/>
  <c r="V58" i="1"/>
  <c r="N15" i="1"/>
  <c r="N16" i="1"/>
  <c r="R17" i="1"/>
  <c r="R16" i="1"/>
  <c r="S10" i="1"/>
  <c r="AA10" i="1"/>
  <c r="M59" i="1"/>
  <c r="O10" i="1"/>
  <c r="O9" i="1"/>
  <c r="S16" i="1"/>
  <c r="AA16" i="1"/>
  <c r="L10" i="1"/>
  <c r="L9" i="1"/>
  <c r="Q60" i="1"/>
  <c r="T10" i="1"/>
  <c r="T9" i="1"/>
  <c r="U61" i="1"/>
  <c r="U60" i="1"/>
  <c r="L26" i="1"/>
  <c r="L27" i="1"/>
  <c r="K9" i="1"/>
  <c r="K10" i="1"/>
  <c r="M101" i="1"/>
  <c r="Q100" i="1"/>
  <c r="T101" i="1"/>
  <c r="AA100" i="1"/>
  <c r="S100" i="1"/>
  <c r="U101" i="1"/>
  <c r="L101" i="1"/>
  <c r="K101" i="1"/>
  <c r="O101" i="1"/>
  <c r="N100" i="1"/>
  <c r="R101" i="1"/>
  <c r="V101" i="1"/>
  <c r="P101" i="1"/>
  <c r="O94" i="1"/>
  <c r="T94" i="1"/>
  <c r="N93" i="1"/>
  <c r="L93" i="1"/>
  <c r="S93" i="1"/>
  <c r="AA93" i="1"/>
  <c r="U94" i="1"/>
  <c r="Q94" i="1"/>
  <c r="M94" i="1"/>
  <c r="V94" i="1"/>
  <c r="K94" i="1"/>
  <c r="P93" i="1"/>
  <c r="R93" i="1"/>
  <c r="P87" i="1"/>
  <c r="O86" i="1"/>
  <c r="T87" i="1"/>
  <c r="Q87" i="1"/>
  <c r="V87" i="1"/>
  <c r="M86" i="1"/>
  <c r="R87" i="1"/>
  <c r="N87" i="1"/>
  <c r="U87" i="1"/>
  <c r="L86" i="1"/>
  <c r="AA87" i="1"/>
  <c r="S87" i="1"/>
  <c r="K86" i="1"/>
  <c r="T79" i="1"/>
  <c r="L80" i="1"/>
  <c r="AA79" i="1"/>
  <c r="S79" i="1"/>
  <c r="K80" i="1"/>
  <c r="O79" i="1"/>
  <c r="V80" i="1"/>
  <c r="Q80" i="1"/>
  <c r="N80" i="1"/>
  <c r="M80" i="1"/>
  <c r="P80" i="1"/>
  <c r="R79" i="1"/>
  <c r="U80" i="1"/>
  <c r="V73" i="1"/>
  <c r="S73" i="1"/>
  <c r="AA73" i="1"/>
  <c r="M73" i="1"/>
  <c r="P73" i="1"/>
  <c r="Q73" i="1"/>
  <c r="K73" i="1"/>
  <c r="U73" i="1"/>
  <c r="O73" i="1"/>
  <c r="R73" i="1"/>
  <c r="L73" i="1"/>
  <c r="N75" i="1"/>
  <c r="N74" i="1"/>
  <c r="T73" i="1"/>
  <c r="K65" i="1"/>
  <c r="V66" i="1"/>
  <c r="L65" i="1"/>
  <c r="T66" i="1"/>
  <c r="N65" i="1"/>
  <c r="P66" i="1"/>
  <c r="S66" i="1"/>
  <c r="AA66" i="1"/>
  <c r="M65" i="1"/>
  <c r="R65" i="1"/>
  <c r="U66" i="1"/>
  <c r="O66" i="1"/>
  <c r="Q66" i="1"/>
  <c r="T59" i="1"/>
  <c r="S59" i="1"/>
  <c r="AA59" i="1"/>
  <c r="O61" i="1"/>
  <c r="O60" i="1"/>
  <c r="R53" i="1"/>
  <c r="Q53" i="1"/>
  <c r="U53" i="1"/>
  <c r="T53" i="1"/>
  <c r="O52" i="1"/>
  <c r="L52" i="1"/>
  <c r="V53" i="1"/>
  <c r="M52" i="1"/>
  <c r="AA53" i="1"/>
  <c r="S53" i="1"/>
  <c r="P53" i="1"/>
  <c r="N52" i="1"/>
  <c r="K53" i="1"/>
  <c r="L46" i="1"/>
  <c r="T46" i="1"/>
  <c r="M45" i="1"/>
  <c r="R46" i="1"/>
  <c r="AA46" i="1"/>
  <c r="S46" i="1"/>
  <c r="Q46" i="1"/>
  <c r="O46" i="1"/>
  <c r="N46" i="1"/>
  <c r="P46" i="1"/>
  <c r="U46" i="1"/>
  <c r="K46" i="1"/>
  <c r="V46" i="1"/>
  <c r="K38" i="1"/>
  <c r="Q38" i="1"/>
  <c r="R39" i="1"/>
  <c r="L38" i="1"/>
  <c r="T38" i="1"/>
  <c r="M38" i="1"/>
  <c r="V39" i="1"/>
  <c r="U39" i="1"/>
  <c r="P39" i="1"/>
  <c r="N38" i="1"/>
  <c r="S39" i="1"/>
  <c r="AA39" i="1"/>
  <c r="O38" i="1"/>
  <c r="U32" i="1"/>
  <c r="K31" i="1"/>
  <c r="S32" i="1"/>
  <c r="AA32" i="1"/>
  <c r="Q32" i="1"/>
  <c r="N32" i="1"/>
  <c r="L31" i="1"/>
  <c r="V32" i="1"/>
  <c r="O31" i="1"/>
  <c r="M32" i="1"/>
  <c r="T32" i="1"/>
  <c r="P32" i="1"/>
  <c r="R31" i="1"/>
  <c r="M27" i="1"/>
  <c r="M26" i="1"/>
  <c r="P26" i="1"/>
  <c r="P27" i="1"/>
  <c r="Q26" i="1"/>
  <c r="R21" i="1"/>
  <c r="O23" i="1"/>
  <c r="O22" i="1"/>
  <c r="N23" i="1"/>
  <c r="N22" i="1"/>
  <c r="V21" i="1"/>
  <c r="U21" i="1"/>
  <c r="L14" i="1"/>
  <c r="O14" i="1"/>
  <c r="AA15" i="1"/>
  <c r="S15" i="1"/>
  <c r="Q14" i="1"/>
  <c r="P14" i="1"/>
  <c r="N39" i="2"/>
  <c r="L39" i="2" s="1"/>
  <c r="P38" i="2"/>
  <c r="P39" i="2" s="1"/>
  <c r="Q61" i="1" l="1"/>
  <c r="P15" i="1"/>
  <c r="K60" i="1"/>
  <c r="K61" i="1"/>
  <c r="Q16" i="1"/>
  <c r="V59" i="1"/>
  <c r="V17" i="1"/>
  <c r="V16" i="1"/>
  <c r="O15" i="1"/>
  <c r="K17" i="1"/>
  <c r="K16" i="1"/>
  <c r="U17" i="1"/>
  <c r="U16" i="1"/>
  <c r="L15" i="1"/>
  <c r="M60" i="1"/>
  <c r="M61" i="1"/>
  <c r="T17" i="1"/>
  <c r="T16" i="1"/>
  <c r="V102" i="1"/>
  <c r="N101" i="1"/>
  <c r="O102" i="1"/>
  <c r="T102" i="1"/>
  <c r="U102" i="1"/>
  <c r="R102" i="1"/>
  <c r="AA101" i="1"/>
  <c r="S101" i="1"/>
  <c r="Q101" i="1"/>
  <c r="K102" i="1"/>
  <c r="P102" i="1"/>
  <c r="L102" i="1"/>
  <c r="M102" i="1"/>
  <c r="K95" i="1"/>
  <c r="K96" i="1"/>
  <c r="V96" i="1"/>
  <c r="V95" i="1"/>
  <c r="L94" i="1"/>
  <c r="P94" i="1"/>
  <c r="S94" i="1"/>
  <c r="AA94" i="1"/>
  <c r="M95" i="1"/>
  <c r="M96" i="1"/>
  <c r="N94" i="1"/>
  <c r="T95" i="1"/>
  <c r="T96" i="1"/>
  <c r="R94" i="1"/>
  <c r="Q95" i="1"/>
  <c r="O96" i="1"/>
  <c r="O95" i="1"/>
  <c r="U96" i="1"/>
  <c r="U95" i="1"/>
  <c r="M87" i="1"/>
  <c r="AA88" i="1"/>
  <c r="S88" i="1"/>
  <c r="V89" i="1"/>
  <c r="V88" i="1"/>
  <c r="L87" i="1"/>
  <c r="Q88" i="1"/>
  <c r="U89" i="1"/>
  <c r="U88" i="1"/>
  <c r="T89" i="1"/>
  <c r="T88" i="1"/>
  <c r="N89" i="1"/>
  <c r="N88" i="1"/>
  <c r="R89" i="1"/>
  <c r="R88" i="1"/>
  <c r="O87" i="1"/>
  <c r="K87" i="1"/>
  <c r="P88" i="1"/>
  <c r="P89" i="1"/>
  <c r="U82" i="1"/>
  <c r="U81" i="1"/>
  <c r="T80" i="1"/>
  <c r="V82" i="1"/>
  <c r="V81" i="1"/>
  <c r="R80" i="1"/>
  <c r="O80" i="1"/>
  <c r="P82" i="1"/>
  <c r="P81" i="1"/>
  <c r="K81" i="1"/>
  <c r="K82" i="1"/>
  <c r="M81" i="1"/>
  <c r="M82" i="1"/>
  <c r="N81" i="1"/>
  <c r="N82" i="1"/>
  <c r="AA80" i="1"/>
  <c r="S80" i="1"/>
  <c r="L81" i="1"/>
  <c r="L82" i="1"/>
  <c r="Q81" i="1"/>
  <c r="Q74" i="1"/>
  <c r="L74" i="1"/>
  <c r="L75" i="1"/>
  <c r="P74" i="1"/>
  <c r="P75" i="1"/>
  <c r="R74" i="1"/>
  <c r="R75" i="1"/>
  <c r="O74" i="1"/>
  <c r="O75" i="1"/>
  <c r="M74" i="1"/>
  <c r="M75" i="1"/>
  <c r="S74" i="1"/>
  <c r="AA74" i="1"/>
  <c r="U75" i="1"/>
  <c r="U74" i="1"/>
  <c r="T74" i="1"/>
  <c r="T75" i="1"/>
  <c r="K74" i="1"/>
  <c r="K75" i="1"/>
  <c r="V75" i="1"/>
  <c r="V74" i="1"/>
  <c r="S67" i="1"/>
  <c r="AA67" i="1"/>
  <c r="K66" i="1"/>
  <c r="P67" i="1"/>
  <c r="P68" i="1"/>
  <c r="O67" i="1"/>
  <c r="O68" i="1"/>
  <c r="N66" i="1"/>
  <c r="U68" i="1"/>
  <c r="U67" i="1"/>
  <c r="R66" i="1"/>
  <c r="T68" i="1"/>
  <c r="T67" i="1"/>
  <c r="M66" i="1"/>
  <c r="L66" i="1"/>
  <c r="V68" i="1"/>
  <c r="V67" i="1"/>
  <c r="Q67" i="1"/>
  <c r="AA60" i="1"/>
  <c r="S60" i="1"/>
  <c r="T60" i="1"/>
  <c r="T61" i="1"/>
  <c r="L53" i="1"/>
  <c r="N53" i="1"/>
  <c r="O53" i="1"/>
  <c r="P54" i="1"/>
  <c r="P55" i="1"/>
  <c r="T55" i="1"/>
  <c r="T54" i="1"/>
  <c r="AA54" i="1"/>
  <c r="S54" i="1"/>
  <c r="U55" i="1"/>
  <c r="U54" i="1"/>
  <c r="M53" i="1"/>
  <c r="Q54" i="1"/>
  <c r="K54" i="1"/>
  <c r="K55" i="1"/>
  <c r="V55" i="1"/>
  <c r="V54" i="1"/>
  <c r="R55" i="1"/>
  <c r="R54" i="1"/>
  <c r="K47" i="1"/>
  <c r="K48" i="1"/>
  <c r="U48" i="1"/>
  <c r="U47" i="1"/>
  <c r="S47" i="1"/>
  <c r="AA47" i="1"/>
  <c r="R48" i="1"/>
  <c r="R47" i="1"/>
  <c r="P48" i="1"/>
  <c r="P47" i="1"/>
  <c r="N47" i="1"/>
  <c r="N48" i="1"/>
  <c r="M46" i="1"/>
  <c r="O48" i="1"/>
  <c r="O47" i="1"/>
  <c r="T48" i="1"/>
  <c r="T47" i="1"/>
  <c r="L47" i="1"/>
  <c r="L48" i="1"/>
  <c r="V48" i="1"/>
  <c r="V47" i="1"/>
  <c r="Q47" i="1"/>
  <c r="N39" i="1"/>
  <c r="P40" i="1"/>
  <c r="P41" i="1"/>
  <c r="S40" i="1"/>
  <c r="AA40" i="1"/>
  <c r="M39" i="1"/>
  <c r="T39" i="1"/>
  <c r="L39" i="1"/>
  <c r="R41" i="1"/>
  <c r="R40" i="1"/>
  <c r="Q39" i="1"/>
  <c r="U41" i="1"/>
  <c r="U40" i="1"/>
  <c r="V41" i="1"/>
  <c r="V40" i="1"/>
  <c r="K39" i="1"/>
  <c r="O39" i="1"/>
  <c r="N33" i="1"/>
  <c r="N34" i="1"/>
  <c r="Q33" i="1"/>
  <c r="M33" i="1"/>
  <c r="M34" i="1"/>
  <c r="O32" i="1"/>
  <c r="P34" i="1"/>
  <c r="P33" i="1"/>
  <c r="T33" i="1"/>
  <c r="T34" i="1"/>
  <c r="S33" i="1"/>
  <c r="AA33" i="1"/>
  <c r="V34" i="1"/>
  <c r="V33" i="1"/>
  <c r="K32" i="1"/>
  <c r="R32" i="1"/>
  <c r="L32" i="1"/>
  <c r="U33" i="1"/>
  <c r="U34" i="1"/>
  <c r="Q27" i="1"/>
  <c r="R22" i="1"/>
  <c r="R23" i="1"/>
  <c r="U22" i="1"/>
  <c r="U23" i="1"/>
  <c r="V23" i="1"/>
  <c r="V22" i="1"/>
  <c r="Q15" i="1"/>
  <c r="V60" i="1" l="1"/>
  <c r="V61" i="1"/>
  <c r="L17" i="1"/>
  <c r="L16" i="1"/>
  <c r="P17" i="1"/>
  <c r="P16" i="1"/>
  <c r="O17" i="1"/>
  <c r="O16" i="1"/>
  <c r="Q102" i="1"/>
  <c r="AA102" i="1"/>
  <c r="S102" i="1"/>
  <c r="N102" i="1"/>
  <c r="Q96" i="1"/>
  <c r="S95" i="1"/>
  <c r="AA95" i="1"/>
  <c r="P95" i="1"/>
  <c r="P96" i="1"/>
  <c r="R96" i="1"/>
  <c r="R95" i="1"/>
  <c r="L96" i="1"/>
  <c r="L95" i="1"/>
  <c r="N95" i="1"/>
  <c r="N96" i="1"/>
  <c r="K88" i="1"/>
  <c r="K89" i="1"/>
  <c r="Q89" i="1"/>
  <c r="O89" i="1"/>
  <c r="O88" i="1"/>
  <c r="L88" i="1"/>
  <c r="L89" i="1"/>
  <c r="AA89" i="1"/>
  <c r="S89" i="1"/>
  <c r="M89" i="1"/>
  <c r="M88" i="1"/>
  <c r="O81" i="1"/>
  <c r="O82" i="1"/>
  <c r="AA81" i="1"/>
  <c r="S81" i="1"/>
  <c r="R82" i="1"/>
  <c r="R81" i="1"/>
  <c r="T82" i="1"/>
  <c r="T81" i="1"/>
  <c r="Q82" i="1"/>
  <c r="AA75" i="1"/>
  <c r="S75" i="1"/>
  <c r="Q75" i="1"/>
  <c r="N68" i="1"/>
  <c r="N67" i="1"/>
  <c r="L68" i="1"/>
  <c r="L67" i="1"/>
  <c r="M68" i="1"/>
  <c r="M67" i="1"/>
  <c r="K67" i="1"/>
  <c r="K68" i="1"/>
  <c r="Q68" i="1"/>
  <c r="R68" i="1"/>
  <c r="R67" i="1"/>
  <c r="AA68" i="1"/>
  <c r="S68" i="1"/>
  <c r="S61" i="1"/>
  <c r="AA61" i="1"/>
  <c r="Q55" i="1"/>
  <c r="O55" i="1"/>
  <c r="O54" i="1"/>
  <c r="M55" i="1"/>
  <c r="M54" i="1"/>
  <c r="N54" i="1"/>
  <c r="N55" i="1"/>
  <c r="L55" i="1"/>
  <c r="L54" i="1"/>
  <c r="AA55" i="1"/>
  <c r="S55" i="1"/>
  <c r="S48" i="1"/>
  <c r="AA48" i="1"/>
  <c r="M47" i="1"/>
  <c r="M48" i="1"/>
  <c r="Q48" i="1"/>
  <c r="K40" i="1"/>
  <c r="K41" i="1"/>
  <c r="T40" i="1"/>
  <c r="T41" i="1"/>
  <c r="M40" i="1"/>
  <c r="M41" i="1"/>
  <c r="S41" i="1"/>
  <c r="AA41" i="1"/>
  <c r="Q40" i="1"/>
  <c r="O40" i="1"/>
  <c r="O41" i="1"/>
  <c r="L41" i="1"/>
  <c r="L40" i="1"/>
  <c r="N40" i="1"/>
  <c r="N41" i="1"/>
  <c r="L34" i="1"/>
  <c r="L33" i="1"/>
  <c r="R34" i="1"/>
  <c r="R33" i="1"/>
  <c r="K33" i="1"/>
  <c r="K34" i="1"/>
  <c r="O33" i="1"/>
  <c r="O34" i="1"/>
  <c r="S34" i="1"/>
  <c r="AA34" i="1"/>
  <c r="Q34" i="1"/>
  <c r="S96" i="1" l="1"/>
  <c r="AA96" i="1"/>
  <c r="AA82" i="1"/>
  <c r="S82" i="1"/>
  <c r="Q41" i="1"/>
</calcChain>
</file>

<file path=xl/sharedStrings.xml><?xml version="1.0" encoding="utf-8"?>
<sst xmlns="http://schemas.openxmlformats.org/spreadsheetml/2006/main" count="2007" uniqueCount="338">
  <si>
    <t>FORMULA</t>
  </si>
  <si>
    <t>TO UPDATE BY SOFTWARE</t>
  </si>
  <si>
    <t>da considerare?_</t>
  </si>
  <si>
    <t>BusinessArea_</t>
  </si>
  <si>
    <t>ProjType_</t>
  </si>
  <si>
    <t>ProjType Cluster 1_</t>
  </si>
  <si>
    <t>ProjType Cluster 2_</t>
  </si>
  <si>
    <t>Nome progetto_</t>
  </si>
  <si>
    <t>EngUnit area cluster 1_</t>
  </si>
  <si>
    <t>BDG est_</t>
  </si>
  <si>
    <t>BDG int_</t>
  </si>
  <si>
    <t>BDG_</t>
  </si>
  <si>
    <t>CATEGORIA</t>
  </si>
  <si>
    <t>INT</t>
  </si>
  <si>
    <t>EST</t>
  </si>
  <si>
    <t>totale Gamberini</t>
  </si>
  <si>
    <t>INT2</t>
  </si>
  <si>
    <t>EST3</t>
  </si>
  <si>
    <t>totale Lanzarini</t>
  </si>
  <si>
    <t>TOTALE TOT</t>
  </si>
  <si>
    <t>da considerare?</t>
  </si>
  <si>
    <t>Proj type cluster 1</t>
  </si>
  <si>
    <t>Proj type cluster 2</t>
  </si>
  <si>
    <t>Business</t>
  </si>
  <si>
    <t>CATEGORIA_</t>
  </si>
  <si>
    <t>ENG TOB - INT_</t>
  </si>
  <si>
    <t>ENG TOB - EST_</t>
  </si>
  <si>
    <t>ENG TOB Totale_</t>
  </si>
  <si>
    <t>ENG LPP - INT_</t>
  </si>
  <si>
    <t>ENG LPP - EST_</t>
  </si>
  <si>
    <t>ENG LPP Totale_</t>
  </si>
  <si>
    <t>int FORECAST_</t>
  </si>
  <si>
    <t>ext FORECAST_</t>
  </si>
  <si>
    <t>FORECAST Totale_</t>
  </si>
  <si>
    <t>CATEGORIA TMP</t>
  </si>
  <si>
    <t>TOB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</si>
  <si>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</si>
  <si>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</si>
  <si>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</si>
  <si>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</si>
  <si>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</si>
  <si>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</si>
  <si>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</si>
  <si>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</si>
  <si>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</si>
  <si>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</si>
  <si>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</si>
  <si>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</si>
  <si>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Anno_</t>
  </si>
  <si>
    <t>Anno di prima marcatura (=anno di apertura progetto)</t>
  </si>
  <si>
    <t>WBS_</t>
  </si>
  <si>
    <t>U ProjType_</t>
  </si>
  <si>
    <t>ORE_</t>
  </si>
  <si>
    <t>gen_</t>
  </si>
  <si>
    <t>feb_</t>
  </si>
  <si>
    <t>mar_</t>
  </si>
  <si>
    <t>apr_</t>
  </si>
  <si>
    <t>mag_</t>
  </si>
  <si>
    <t>giu_</t>
  </si>
  <si>
    <t>lug_</t>
  </si>
  <si>
    <t>ago_</t>
  </si>
  <si>
    <t>set_</t>
  </si>
  <si>
    <t>ott_</t>
  </si>
  <si>
    <t>nov_</t>
  </si>
  <si>
    <t>dic_</t>
  </si>
  <si>
    <t>tipo risorsa_</t>
  </si>
  <si>
    <t>Resp 1°liv_</t>
  </si>
  <si>
    <t>WBS description_</t>
  </si>
  <si>
    <t>WBE description_</t>
  </si>
  <si>
    <t>WBS D description_</t>
  </si>
  <si>
    <t>WBS M description_</t>
  </si>
  <si>
    <t>WBE per WBS-K</t>
  </si>
  <si>
    <t>Resp 1°liv2</t>
  </si>
  <si>
    <t>business area</t>
  </si>
  <si>
    <t/>
  </si>
  <si>
    <t>A</t>
  </si>
  <si>
    <t>tab_ProjType</t>
  </si>
  <si>
    <t>Macro area</t>
  </si>
  <si>
    <t>ProjType</t>
  </si>
  <si>
    <t>ProjType Cluster 1</t>
  </si>
  <si>
    <t>ProjType Cluster 2</t>
  </si>
  <si>
    <t>table_ProjTypeCluster</t>
  </si>
  <si>
    <t>B</t>
  </si>
  <si>
    <t>SearchKey</t>
  </si>
  <si>
    <t>EngUnit area cluster 2_</t>
  </si>
  <si>
    <t>C</t>
  </si>
  <si>
    <t>D</t>
  </si>
  <si>
    <t>WBS</t>
  </si>
  <si>
    <t>PROJECT HIGHLIGHT</t>
  </si>
  <si>
    <t>E</t>
  </si>
  <si>
    <t>POWERPOINT TO GENERATE</t>
  </si>
  <si>
    <t>FIELD FILTERS</t>
  </si>
  <si>
    <t>Powerpoint File</t>
  </si>
  <si>
    <t>Title</t>
  </si>
  <si>
    <t>Content 1</t>
  </si>
  <si>
    <t>Content 2</t>
  </si>
  <si>
    <t>Content 3</t>
  </si>
  <si>
    <t>Layout</t>
  </si>
  <si>
    <t>TABLE</t>
  </si>
  <si>
    <t>Nome colonna filtrabile</t>
  </si>
  <si>
    <t>Engineering KPI_Direzione.pptx</t>
  </si>
  <si>
    <t>Progetti per business area e project type</t>
  </si>
  <si>
    <t>PP_01</t>
  </si>
  <si>
    <r>
      <t xml:space="preserve">Layout </t>
    </r>
    <r>
      <rPr>
        <b/>
        <sz val="11"/>
        <color theme="1"/>
        <rFont val="Calibri"/>
        <family val="2"/>
        <scheme val="minor"/>
      </rPr>
      <t>Horizontal</t>
    </r>
  </si>
  <si>
    <t>SUPERDETTAGLI</t>
  </si>
  <si>
    <t>Ore interne / esterne</t>
  </si>
  <si>
    <t>PP_02</t>
  </si>
  <si>
    <t>Progetti per Engineering unit e project type</t>
  </si>
  <si>
    <t>PP_03</t>
  </si>
  <si>
    <t>FORECAST</t>
  </si>
  <si>
    <t>Progetti per business e tipo</t>
  </si>
  <si>
    <t>PP_04</t>
  </si>
  <si>
    <t>Progetti A</t>
  </si>
  <si>
    <t>PP_05</t>
  </si>
  <si>
    <t>Progetti C</t>
  </si>
  <si>
    <t>PP_06</t>
  </si>
  <si>
    <t>Progetti R</t>
  </si>
  <si>
    <t>PP_07</t>
  </si>
  <si>
    <r>
      <t xml:space="preserve">Layout </t>
    </r>
    <r>
      <rPr>
        <b/>
        <sz val="11"/>
        <color theme="1"/>
        <rFont val="Calibri"/>
        <family val="2"/>
        <scheme val="minor"/>
      </rPr>
      <t>Vertical</t>
    </r>
  </si>
  <si>
    <t>BUDGET</t>
  </si>
  <si>
    <t>Progetti K</t>
  </si>
  <si>
    <t>PP_08</t>
  </si>
  <si>
    <t>Progetti D</t>
  </si>
  <si>
    <t>PP_09</t>
  </si>
  <si>
    <t>Progetti K Dettaglio</t>
  </si>
  <si>
    <t>PP_10</t>
  </si>
  <si>
    <t>Progetti D Dettaglio</t>
  </si>
  <si>
    <t>PP_11</t>
  </si>
  <si>
    <t>Progetti M</t>
  </si>
  <si>
    <t>PP_12</t>
  </si>
  <si>
    <t>Progetti U (imporoduttive)</t>
  </si>
  <si>
    <t>PP_13</t>
  </si>
  <si>
    <t>Progetti U (produttive indirette)</t>
  </si>
  <si>
    <t>PP_14</t>
  </si>
  <si>
    <t>Presentazione casi test.pptx</t>
  </si>
  <si>
    <t>Una slide</t>
  </si>
  <si>
    <t>Vertical</t>
  </si>
  <si>
    <t>Horizontal</t>
  </si>
  <si>
    <t>Row values</t>
  </si>
  <si>
    <t>New value</t>
  </si>
  <si>
    <t>abcd*</t>
  </si>
  <si>
    <t>Match caso 1</t>
  </si>
  <si>
    <t>ef*gh</t>
  </si>
  <si>
    <t>Match caso 2</t>
  </si>
  <si>
    <t>*ilmn</t>
  </si>
  <si>
    <t>Match caso 3</t>
  </si>
  <si>
    <t>Caso 4</t>
  </si>
  <si>
    <t>Match caso 4</t>
  </si>
  <si>
    <t>Pippo 1, Pippo 2, Pippo 3</t>
  </si>
  <si>
    <t>Add instructions here to explain the usage of *</t>
  </si>
  <si>
    <t>Alias for the column
Categoria</t>
  </si>
  <si>
    <t>aaaa*</t>
  </si>
  <si>
    <t>Match caso A</t>
  </si>
  <si>
    <t>bb*bb</t>
  </si>
  <si>
    <t>Match caso B</t>
  </si>
  <si>
    <t>*cccc</t>
  </si>
  <si>
    <t>Match caso C</t>
  </si>
  <si>
    <t>Caso D</t>
  </si>
  <si>
    <t>Match caso D</t>
  </si>
  <si>
    <t>Pluto A, PlutoA, Pluto B, pluto C</t>
  </si>
  <si>
    <t>Powerpoint Configuration</t>
  </si>
  <si>
    <t>Print Area:</t>
  </si>
  <si>
    <t>C1:P30</t>
  </si>
  <si>
    <t>D1:P39</t>
  </si>
  <si>
    <t>2025 Q2</t>
  </si>
  <si>
    <t>project type</t>
  </si>
  <si>
    <t>PHARMA</t>
  </si>
  <si>
    <t>CONSUMER ELECTRONICS</t>
  </si>
  <si>
    <t>ESS</t>
  </si>
  <si>
    <t>ALTRI BUSINESS</t>
  </si>
  <si>
    <t>Totale</t>
  </si>
  <si>
    <t>A R E</t>
  </si>
  <si>
    <t>M</t>
  </si>
  <si>
    <t>K</t>
  </si>
  <si>
    <t>U (prod ind)</t>
  </si>
  <si>
    <t>U (impr)</t>
  </si>
  <si>
    <t>altri ProjType</t>
  </si>
  <si>
    <t xml:space="preserve"> Totale</t>
  </si>
  <si>
    <t>D1:P30</t>
  </si>
  <si>
    <t>PP_17</t>
  </si>
  <si>
    <t>Int.</t>
  </si>
  <si>
    <t xml:space="preserve">Business </t>
  </si>
  <si>
    <t>COFFEE</t>
  </si>
  <si>
    <t>Alias for the column
Business</t>
  </si>
  <si>
    <t>*MACCHINA*</t>
  </si>
  <si>
    <t>Match caso Pluto</t>
  </si>
  <si>
    <t>Match caso Macchina</t>
  </si>
  <si>
    <t>PHARMA*</t>
  </si>
  <si>
    <t>Match caso Pippo</t>
  </si>
  <si>
    <t>Match caso Caffè</t>
  </si>
  <si>
    <t>Match caso Farmacia</t>
  </si>
  <si>
    <t>Categoria</t>
  </si>
  <si>
    <t>R&amp;D*</t>
  </si>
  <si>
    <t>R&amp;D</t>
  </si>
  <si>
    <t>WBS Element - Project Definition (Text)</t>
  </si>
  <si>
    <t>Network descr</t>
  </si>
  <si>
    <t>INT/EST</t>
  </si>
  <si>
    <t>MESE</t>
  </si>
  <si>
    <t>Bus Area GDLT</t>
  </si>
  <si>
    <t>Area di bdg</t>
  </si>
  <si>
    <t>Sottotipo</t>
  </si>
  <si>
    <t>Cluster</t>
  </si>
  <si>
    <t>Quadrante</t>
  </si>
  <si>
    <t>Total</t>
  </si>
  <si>
    <t>WBE Status</t>
  </si>
  <si>
    <t xml:space="preserve">competence date </t>
  </si>
  <si>
    <t xml:space="preserve">Proj. Type </t>
  </si>
  <si>
    <t>WBE Name</t>
  </si>
  <si>
    <t>Engineering Area</t>
  </si>
  <si>
    <t>Data Accettazione</t>
  </si>
  <si>
    <t>Data Uscita GD</t>
  </si>
  <si>
    <t>Business Sample</t>
  </si>
  <si>
    <t>Categoria A</t>
  </si>
  <si>
    <t>Row Labels</t>
  </si>
  <si>
    <t>Grand Total</t>
  </si>
  <si>
    <t>Min of Anno_</t>
  </si>
  <si>
    <t>Sender Cost Center</t>
  </si>
  <si>
    <t>Personnel Number</t>
  </si>
  <si>
    <t>Last name First name</t>
  </si>
  <si>
    <t>Project Description</t>
  </si>
  <si>
    <t>WBS Element</t>
  </si>
  <si>
    <t>Network</t>
  </si>
  <si>
    <t>Operation/Activity</t>
  </si>
  <si>
    <t>Acct assgnt text</t>
  </si>
  <si>
    <t>PROJ CODE</t>
  </si>
  <si>
    <t>Raggr. X Struttura</t>
  </si>
  <si>
    <t>Resp 2°liv</t>
  </si>
  <si>
    <t>CDC bdg</t>
  </si>
  <si>
    <t>Resp 1°liv</t>
  </si>
  <si>
    <t>Resp DT</t>
  </si>
  <si>
    <t>TIPO REP</t>
  </si>
  <si>
    <t>Bus Area_2</t>
  </si>
  <si>
    <t>tipo progetto</t>
  </si>
  <si>
    <t>Proj name</t>
  </si>
  <si>
    <t>machine code</t>
  </si>
  <si>
    <t>product area</t>
  </si>
  <si>
    <t>Resp del Prodotto</t>
  </si>
  <si>
    <t>Macchina</t>
  </si>
  <si>
    <t>01.2025</t>
  </si>
  <si>
    <t>02.2025</t>
  </si>
  <si>
    <t>03.2025</t>
  </si>
  <si>
    <t>04.2025</t>
  </si>
  <si>
    <t>05.2025</t>
  </si>
  <si>
    <t>06.2025</t>
  </si>
  <si>
    <t>07.2025</t>
  </si>
  <si>
    <t>08.2025</t>
  </si>
  <si>
    <t>09.2025</t>
  </si>
  <si>
    <t>10.2025</t>
  </si>
  <si>
    <t>11.2025</t>
  </si>
  <si>
    <t>12.2025</t>
  </si>
  <si>
    <t>REP UT</t>
  </si>
  <si>
    <t>ProjType Cluster</t>
  </si>
  <si>
    <t>ProjType Cluster2</t>
  </si>
  <si>
    <t>BussinessArea Cluster</t>
  </si>
  <si>
    <t>Level</t>
  </si>
  <si>
    <t>Project definition</t>
  </si>
  <si>
    <t>Short ID (WBS elem)</t>
  </si>
  <si>
    <t>WBS element</t>
  </si>
  <si>
    <t>Name</t>
  </si>
  <si>
    <t>Proj.type</t>
  </si>
  <si>
    <t>Plant</t>
  </si>
  <si>
    <t>Status</t>
  </si>
  <si>
    <t>Results Analysis Key</t>
  </si>
  <si>
    <t>Competence date</t>
  </si>
  <si>
    <t>TechPlat/MachTp</t>
  </si>
  <si>
    <t>Profit center</t>
  </si>
  <si>
    <t>Basic start date</t>
  </si>
  <si>
    <t>Colonna1</t>
  </si>
  <si>
    <t>(All)</t>
  </si>
  <si>
    <t>Sum of gen_</t>
  </si>
  <si>
    <t>Sum of feb_</t>
  </si>
  <si>
    <t>Sum of mar_</t>
  </si>
  <si>
    <t>Sum of apr_</t>
  </si>
  <si>
    <t>Sum of mag_</t>
  </si>
  <si>
    <t>Sum of giu_</t>
  </si>
  <si>
    <t>Sum of lug_</t>
  </si>
  <si>
    <t>Sum of ago_</t>
  </si>
  <si>
    <t>Sum of set_</t>
  </si>
  <si>
    <t>Sum of ott_</t>
  </si>
  <si>
    <t>Sum of nov_</t>
  </si>
  <si>
    <t>Sum of dic_</t>
  </si>
  <si>
    <t>Send cost A</t>
  </si>
  <si>
    <t>Send cost B</t>
  </si>
  <si>
    <t>Send cost C</t>
  </si>
  <si>
    <t>Send cost D</t>
  </si>
  <si>
    <t>Send cost E</t>
  </si>
  <si>
    <t>Send cost F</t>
  </si>
  <si>
    <t>Send cost G</t>
  </si>
  <si>
    <t>Send cost H</t>
  </si>
  <si>
    <t>Send cost I</t>
  </si>
  <si>
    <t>Send cost L</t>
  </si>
  <si>
    <t>Sum of ORE_</t>
  </si>
  <si>
    <t>Est.</t>
  </si>
  <si>
    <t>Responsabile A</t>
  </si>
  <si>
    <t>Responsabile B</t>
  </si>
  <si>
    <t>Responsabile C</t>
  </si>
  <si>
    <t>Responsabile D</t>
  </si>
  <si>
    <t>Responsabile E</t>
  </si>
  <si>
    <t>Gruppo struttura 1</t>
  </si>
  <si>
    <t>Gruppo struttura 2</t>
  </si>
  <si>
    <t>Gruppo struttura 3</t>
  </si>
  <si>
    <t>Gruppo struttura 4</t>
  </si>
  <si>
    <t>Gruppo struttura 5</t>
  </si>
  <si>
    <t>Gruppo struttura 6</t>
  </si>
  <si>
    <t>D3:L3</t>
  </si>
  <si>
    <t>(blank)</t>
  </si>
  <si>
    <t>Column Labels</t>
  </si>
  <si>
    <t>D1:Q50</t>
  </si>
  <si>
    <t>D1:O50</t>
  </si>
  <si>
    <t>D1:L20</t>
  </si>
  <si>
    <t>Sum of Anno_</t>
  </si>
  <si>
    <t>#N/A</t>
  </si>
  <si>
    <t>Count of U ProjType_</t>
  </si>
  <si>
    <t>Count of ProjType_</t>
  </si>
  <si>
    <t>(blank) Total</t>
  </si>
  <si>
    <t>Sum of WBE description_</t>
  </si>
  <si>
    <t>Total Sum of gen_</t>
  </si>
  <si>
    <t>Total Sum of feb_</t>
  </si>
  <si>
    <t>D3:G30</t>
  </si>
  <si>
    <t>D3:F25</t>
  </si>
  <si>
    <t>D3:L35</t>
  </si>
  <si>
    <t>D3:J20</t>
  </si>
  <si>
    <t>D3:H15</t>
  </si>
  <si>
    <t>D3:T20</t>
  </si>
  <si>
    <t>D3:G25</t>
  </si>
  <si>
    <t>F6</t>
  </si>
  <si>
    <t>D1:F6</t>
  </si>
  <si>
    <t>D1</t>
  </si>
  <si>
    <t>D1:K15</t>
  </si>
  <si>
    <t>PP_15</t>
  </si>
  <si>
    <t>PP_16</t>
  </si>
  <si>
    <t>D1:L17</t>
  </si>
  <si>
    <t>A005.01234_01</t>
  </si>
  <si>
    <t>A005.01234_03</t>
  </si>
  <si>
    <t>A005.01234_05</t>
  </si>
  <si>
    <t>A005.01234_02</t>
  </si>
  <si>
    <t>A005.01234_04</t>
  </si>
  <si>
    <t>A005.01234_06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</si>
</sst>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\A\C\T\ 0"/>
    <numFmt numFmtId="165" formatCode="&quot;BDG&quot;\ 0"/>
    <numFmt numFmtId="166" formatCode="&quot;RR&quot;\ 0"/>
    <numFmt numFmtId="167" formatCode="_(* #,##0_);_(* \(#,##0\);_(* &quot;-&quot;_);_(@_)"/>
    <numFmt numFmtId="168" formatCode="_(* #,##0_);_(* \(#,##0\);_(* &quot;-&quot;??_);_(@_)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sz val="10"/>
      <color theme="0"/>
      <name val="Arial"/>
      <family val="2"/>
    </font>
    <font>
      <b/>
      <sz val="11"/>
      <name val="Calibri"/>
      <family val="2"/>
      <scheme val="minor"/>
    </font>
    <font>
      <b/>
      <sz val="9"/>
      <color rgb="FF333333"/>
      <name val="Arial"/>
      <family val="2"/>
    </font>
    <font>
      <sz val="11"/>
      <color rgb="FFFFFF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scheme val="minor"/>
    </font>
    <font>
      <sz val="11"/>
      <color rgb="FF006100"/>
      <name val="Calibri"/>
      <family val="2"/>
      <scheme val="minor"/>
    </font>
    <font>
      <sz val="24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5E0B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43682B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FFFFFF"/>
      </patternFill>
    </fill>
    <fill>
      <patternFill patternType="solid">
        <fgColor rgb="FFC6EFC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theme="4" tint="0.79998168889431442"/>
      </patternFill>
    </fill>
  </fills>
  <borders count="67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0"/>
      </right>
      <top style="thin">
        <color theme="1" tint="0.49998474074526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 tint="0.499984740745262"/>
      </top>
      <bottom style="thin">
        <color theme="0"/>
      </bottom>
      <diagonal/>
    </border>
    <border>
      <left style="thin">
        <color theme="0"/>
      </left>
      <right style="thin">
        <color theme="1" tint="0.499984740745262"/>
      </right>
      <top style="thin">
        <color theme="1" tint="0.499984740745262"/>
      </top>
      <bottom style="thin">
        <color theme="0"/>
      </bottom>
      <diagonal/>
    </border>
    <border>
      <left style="thin">
        <color theme="1" tint="0.499984740745262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1" tint="0.499984740745262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 tint="0.499984740745262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1" tint="0.499984740745262"/>
      </bottom>
      <diagonal/>
    </border>
    <border>
      <left style="thin">
        <color rgb="FF336600"/>
      </left>
      <right style="thin">
        <color theme="0"/>
      </right>
      <top style="thin">
        <color rgb="FF3366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336600"/>
      </top>
      <bottom style="thin">
        <color theme="0"/>
      </bottom>
      <diagonal/>
    </border>
    <border>
      <left style="thin">
        <color theme="0"/>
      </left>
      <right style="thin">
        <color rgb="FF336600"/>
      </right>
      <top style="thin">
        <color rgb="FF336600"/>
      </top>
      <bottom style="thin">
        <color theme="0"/>
      </bottom>
      <diagonal/>
    </border>
    <border>
      <left style="thin">
        <color rgb="FF3366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rgb="FF336600"/>
      </right>
      <top/>
      <bottom style="thin">
        <color theme="0"/>
      </bottom>
      <diagonal/>
    </border>
    <border>
      <left style="thin">
        <color rgb="FF3366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336600"/>
      </right>
      <top style="thin">
        <color theme="0"/>
      </top>
      <bottom style="thin">
        <color theme="0"/>
      </bottom>
      <diagonal/>
    </border>
    <border>
      <left style="thin">
        <color rgb="FF336600"/>
      </left>
      <right style="thin">
        <color theme="0"/>
      </right>
      <top style="thin">
        <color theme="0"/>
      </top>
      <bottom style="thin">
        <color rgb="FF3366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336600"/>
      </bottom>
      <diagonal/>
    </border>
    <border>
      <left style="thin">
        <color theme="0"/>
      </left>
      <right style="thin">
        <color rgb="FF336600"/>
      </right>
      <top style="thin">
        <color theme="0"/>
      </top>
      <bottom style="thin">
        <color rgb="FF336600"/>
      </bottom>
      <diagonal/>
    </border>
    <border>
      <left style="thin">
        <color rgb="FF336600"/>
      </left>
      <right style="thin">
        <color rgb="FF336600"/>
      </right>
      <top style="thin">
        <color rgb="FF336600"/>
      </top>
      <bottom style="thin">
        <color rgb="FF3366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theme="0"/>
      </right>
      <top style="thin">
        <color theme="1" tint="0.499984740745262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1" tint="0.499984740745262"/>
      </bottom>
      <diagonal/>
    </border>
    <border>
      <left/>
      <right style="thin">
        <color theme="0"/>
      </right>
      <top style="thin">
        <color rgb="FF33660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rgb="FF336600"/>
      </bottom>
      <diagonal/>
    </border>
    <border>
      <left/>
      <right style="thin">
        <color rgb="FF336600"/>
      </right>
      <top style="thin">
        <color rgb="FF336600"/>
      </top>
      <bottom style="thin">
        <color rgb="FF3366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auto="1"/>
      </left>
      <right style="thin">
        <color indexed="64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7">
    <xf numFmtId="0" fontId="0" fillId="0" borderId="0"/>
    <xf numFmtId="0" fontId="9" fillId="21" borderId="0"/>
    <xf numFmtId="0" fontId="11" fillId="0" borderId="0"/>
    <xf numFmtId="0" fontId="8" fillId="0" borderId="0"/>
    <xf numFmtId="43" fontId="8" fillId="0" borderId="0" applyFont="0" applyFill="0" applyBorder="0" applyAlignment="0" applyProtection="0"/>
    <xf numFmtId="0" fontId="11" fillId="0" borderId="0"/>
    <xf numFmtId="0" fontId="18" fillId="31" borderId="0" applyNumberFormat="0" applyBorder="0" applyAlignment="0" applyProtection="0"/>
  </cellStyleXfs>
  <cellXfs count="159">
    <xf numFmtId="0" fontId="0" fillId="0" borderId="0" xfId="0"/>
    <xf numFmtId="0" fontId="1" fillId="0" borderId="0" xfId="0" applyFont="1"/>
    <xf numFmtId="164" fontId="0" fillId="0" borderId="1" xfId="0" applyNumberFormat="1" applyBorder="1" applyAlignment="1">
      <alignment horizontal="center" vertical="center" wrapText="1"/>
    </xf>
    <xf numFmtId="167" fontId="0" fillId="2" borderId="4" xfId="0" applyNumberFormat="1" applyFill="1" applyBorder="1"/>
    <xf numFmtId="167" fontId="0" fillId="2" borderId="5" xfId="0" applyNumberFormat="1" applyFill="1" applyBorder="1"/>
    <xf numFmtId="0" fontId="0" fillId="2" borderId="6" xfId="0" applyFill="1" applyBorder="1"/>
    <xf numFmtId="167" fontId="0" fillId="3" borderId="7" xfId="0" applyNumberFormat="1" applyFill="1" applyBorder="1"/>
    <xf numFmtId="167" fontId="0" fillId="3" borderId="8" xfId="0" applyNumberFormat="1" applyFill="1" applyBorder="1"/>
    <xf numFmtId="0" fontId="0" fillId="3" borderId="9" xfId="0" applyFill="1" applyBorder="1"/>
    <xf numFmtId="167" fontId="0" fillId="4" borderId="7" xfId="0" applyNumberFormat="1" applyFill="1" applyBorder="1"/>
    <xf numFmtId="167" fontId="0" fillId="4" borderId="8" xfId="0" applyNumberFormat="1" applyFill="1" applyBorder="1"/>
    <xf numFmtId="0" fontId="0" fillId="4" borderId="9" xfId="0" applyFill="1" applyBorder="1"/>
    <xf numFmtId="167" fontId="2" fillId="5" borderId="7" xfId="0" applyNumberFormat="1" applyFont="1" applyFill="1" applyBorder="1"/>
    <xf numFmtId="167" fontId="2" fillId="5" borderId="8" xfId="0" applyNumberFormat="1" applyFont="1" applyFill="1" applyBorder="1"/>
    <xf numFmtId="0" fontId="2" fillId="5" borderId="9" xfId="0" applyFont="1" applyFill="1" applyBorder="1"/>
    <xf numFmtId="167" fontId="2" fillId="6" borderId="10" xfId="0" applyNumberFormat="1" applyFont="1" applyFill="1" applyBorder="1"/>
    <xf numFmtId="0" fontId="2" fillId="6" borderId="11" xfId="0" applyFont="1" applyFill="1" applyBorder="1"/>
    <xf numFmtId="167" fontId="1" fillId="8" borderId="1" xfId="0" applyNumberFormat="1" applyFont="1" applyFill="1" applyBorder="1"/>
    <xf numFmtId="0" fontId="1" fillId="8" borderId="1" xfId="0" applyFont="1" applyFill="1" applyBorder="1"/>
    <xf numFmtId="167" fontId="2" fillId="9" borderId="12" xfId="0" applyNumberFormat="1" applyFont="1" applyFill="1" applyBorder="1"/>
    <xf numFmtId="167" fontId="2" fillId="9" borderId="13" xfId="0" applyNumberFormat="1" applyFont="1" applyFill="1" applyBorder="1"/>
    <xf numFmtId="0" fontId="2" fillId="9" borderId="13" xfId="0" applyFont="1" applyFill="1" applyBorder="1"/>
    <xf numFmtId="167" fontId="2" fillId="9" borderId="14" xfId="0" applyNumberFormat="1" applyFont="1" applyFill="1" applyBorder="1"/>
    <xf numFmtId="167" fontId="2" fillId="10" borderId="15" xfId="0" applyNumberFormat="1" applyFont="1" applyFill="1" applyBorder="1"/>
    <xf numFmtId="167" fontId="2" fillId="10" borderId="16" xfId="0" applyNumberFormat="1" applyFont="1" applyFill="1" applyBorder="1"/>
    <xf numFmtId="0" fontId="2" fillId="10" borderId="16" xfId="0" applyFont="1" applyFill="1" applyBorder="1"/>
    <xf numFmtId="167" fontId="2" fillId="10" borderId="17" xfId="0" applyNumberFormat="1" applyFont="1" applyFill="1" applyBorder="1"/>
    <xf numFmtId="167" fontId="2" fillId="11" borderId="18" xfId="0" applyNumberFormat="1" applyFont="1" applyFill="1" applyBorder="1"/>
    <xf numFmtId="167" fontId="2" fillId="11" borderId="8" xfId="0" applyNumberFormat="1" applyFont="1" applyFill="1" applyBorder="1"/>
    <xf numFmtId="0" fontId="2" fillId="11" borderId="8" xfId="0" applyFont="1" applyFill="1" applyBorder="1"/>
    <xf numFmtId="167" fontId="2" fillId="11" borderId="19" xfId="0" applyNumberFormat="1" applyFont="1" applyFill="1" applyBorder="1"/>
    <xf numFmtId="167" fontId="3" fillId="12" borderId="18" xfId="0" applyNumberFormat="1" applyFont="1" applyFill="1" applyBorder="1"/>
    <xf numFmtId="167" fontId="3" fillId="12" borderId="8" xfId="0" applyNumberFormat="1" applyFont="1" applyFill="1" applyBorder="1"/>
    <xf numFmtId="0" fontId="3" fillId="12" borderId="8" xfId="0" applyFont="1" applyFill="1" applyBorder="1"/>
    <xf numFmtId="167" fontId="3" fillId="12" borderId="19" xfId="0" applyNumberFormat="1" applyFont="1" applyFill="1" applyBorder="1"/>
    <xf numFmtId="167" fontId="3" fillId="13" borderId="18" xfId="0" applyNumberFormat="1" applyFont="1" applyFill="1" applyBorder="1"/>
    <xf numFmtId="167" fontId="3" fillId="13" borderId="8" xfId="0" applyNumberFormat="1" applyFont="1" applyFill="1" applyBorder="1"/>
    <xf numFmtId="0" fontId="3" fillId="13" borderId="8" xfId="0" applyFont="1" applyFill="1" applyBorder="1"/>
    <xf numFmtId="167" fontId="3" fillId="13" borderId="19" xfId="0" applyNumberFormat="1" applyFont="1" applyFill="1" applyBorder="1"/>
    <xf numFmtId="167" fontId="3" fillId="14" borderId="18" xfId="0" applyNumberFormat="1" applyFont="1" applyFill="1" applyBorder="1"/>
    <xf numFmtId="167" fontId="3" fillId="14" borderId="8" xfId="0" applyNumberFormat="1" applyFont="1" applyFill="1" applyBorder="1"/>
    <xf numFmtId="0" fontId="3" fillId="14" borderId="8" xfId="0" applyFont="1" applyFill="1" applyBorder="1"/>
    <xf numFmtId="167" fontId="3" fillId="14" borderId="19" xfId="0" applyNumberFormat="1" applyFont="1" applyFill="1" applyBorder="1"/>
    <xf numFmtId="167" fontId="3" fillId="15" borderId="18" xfId="0" applyNumberFormat="1" applyFont="1" applyFill="1" applyBorder="1"/>
    <xf numFmtId="167" fontId="3" fillId="15" borderId="8" xfId="0" applyNumberFormat="1" applyFont="1" applyFill="1" applyBorder="1"/>
    <xf numFmtId="0" fontId="3" fillId="15" borderId="8" xfId="0" applyFont="1" applyFill="1" applyBorder="1"/>
    <xf numFmtId="167" fontId="3" fillId="15" borderId="19" xfId="0" applyNumberFormat="1" applyFont="1" applyFill="1" applyBorder="1"/>
    <xf numFmtId="167" fontId="2" fillId="16" borderId="20" xfId="0" applyNumberFormat="1" applyFont="1" applyFill="1" applyBorder="1"/>
    <xf numFmtId="167" fontId="2" fillId="16" borderId="21" xfId="0" applyNumberFormat="1" applyFont="1" applyFill="1" applyBorder="1"/>
    <xf numFmtId="0" fontId="2" fillId="16" borderId="21" xfId="0" applyFont="1" applyFill="1" applyBorder="1"/>
    <xf numFmtId="167" fontId="2" fillId="16" borderId="22" xfId="0" applyNumberFormat="1" applyFont="1" applyFill="1" applyBorder="1"/>
    <xf numFmtId="0" fontId="1" fillId="17" borderId="23" xfId="0" applyFont="1" applyFill="1" applyBorder="1"/>
    <xf numFmtId="167" fontId="1" fillId="17" borderId="23" xfId="0" applyNumberFormat="1" applyFont="1" applyFill="1" applyBorder="1"/>
    <xf numFmtId="10" fontId="0" fillId="0" borderId="0" xfId="0" applyNumberFormat="1"/>
    <xf numFmtId="0" fontId="1" fillId="0" borderId="24" xfId="0" applyFont="1" applyBorder="1" applyAlignment="1">
      <alignment horizontal="left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167" fontId="0" fillId="0" borderId="0" xfId="0" applyNumberFormat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20" borderId="0" xfId="0" applyFill="1"/>
    <xf numFmtId="0" fontId="1" fillId="0" borderId="0" xfId="0" applyFont="1" applyAlignment="1">
      <alignment horizontal="center"/>
    </xf>
    <xf numFmtId="0" fontId="1" fillId="20" borderId="0" xfId="0" applyFont="1" applyFill="1"/>
    <xf numFmtId="0" fontId="10" fillId="22" borderId="35" xfId="0" applyFont="1" applyFill="1" applyBorder="1"/>
    <xf numFmtId="0" fontId="0" fillId="18" borderId="0" xfId="0" applyFill="1"/>
    <xf numFmtId="0" fontId="12" fillId="0" borderId="0" xfId="2" applyFont="1"/>
    <xf numFmtId="0" fontId="0" fillId="0" borderId="0" xfId="0" applyAlignment="1">
      <alignment horizontal="left"/>
    </xf>
    <xf numFmtId="0" fontId="0" fillId="23" borderId="35" xfId="0" applyFill="1" applyBorder="1"/>
    <xf numFmtId="0" fontId="0" fillId="25" borderId="0" xfId="0" applyFill="1"/>
    <xf numFmtId="0" fontId="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26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1" xfId="0" applyBorder="1"/>
    <xf numFmtId="0" fontId="0" fillId="0" borderId="42" xfId="0" applyBorder="1"/>
    <xf numFmtId="0" fontId="1" fillId="27" borderId="47" xfId="0" applyFont="1" applyFill="1" applyBorder="1" applyAlignment="1">
      <alignment horizontal="center"/>
    </xf>
    <xf numFmtId="0" fontId="1" fillId="27" borderId="48" xfId="0" applyFont="1" applyFill="1" applyBorder="1" applyAlignment="1">
      <alignment horizontal="center"/>
    </xf>
    <xf numFmtId="0" fontId="0" fillId="28" borderId="0" xfId="0" applyFill="1"/>
    <xf numFmtId="0" fontId="1" fillId="0" borderId="28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8" xfId="0" applyBorder="1" applyAlignment="1">
      <alignment horizontal="center"/>
    </xf>
    <xf numFmtId="0" fontId="0" fillId="0" borderId="0" xfId="0" applyAlignment="1">
      <alignment vertical="center" wrapText="1"/>
    </xf>
    <xf numFmtId="167" fontId="0" fillId="2" borderId="49" xfId="0" applyNumberFormat="1" applyFill="1" applyBorder="1" applyAlignment="1">
      <alignment horizontal="right"/>
    </xf>
    <xf numFmtId="167" fontId="0" fillId="3" borderId="50" xfId="0" applyNumberFormat="1" applyFill="1" applyBorder="1" applyAlignment="1">
      <alignment horizontal="right"/>
    </xf>
    <xf numFmtId="167" fontId="0" fillId="4" borderId="50" xfId="0" applyNumberFormat="1" applyFill="1" applyBorder="1" applyAlignment="1">
      <alignment horizontal="right"/>
    </xf>
    <xf numFmtId="167" fontId="2" fillId="5" borderId="50" xfId="0" applyNumberFormat="1" applyFont="1" applyFill="1" applyBorder="1" applyAlignment="1">
      <alignment horizontal="right"/>
    </xf>
    <xf numFmtId="167" fontId="2" fillId="6" borderId="51" xfId="0" applyNumberFormat="1" applyFont="1" applyFill="1" applyBorder="1" applyAlignment="1">
      <alignment horizontal="right"/>
    </xf>
    <xf numFmtId="0" fontId="1" fillId="7" borderId="3" xfId="0" applyFont="1" applyFill="1" applyBorder="1"/>
    <xf numFmtId="167" fontId="2" fillId="9" borderId="52" xfId="0" applyNumberFormat="1" applyFont="1" applyFill="1" applyBorder="1" applyAlignment="1">
      <alignment horizontal="right"/>
    </xf>
    <xf numFmtId="167" fontId="2" fillId="10" borderId="53" xfId="0" applyNumberFormat="1" applyFont="1" applyFill="1" applyBorder="1" applyAlignment="1">
      <alignment horizontal="right"/>
    </xf>
    <xf numFmtId="167" fontId="2" fillId="11" borderId="50" xfId="0" applyNumberFormat="1" applyFont="1" applyFill="1" applyBorder="1" applyAlignment="1">
      <alignment horizontal="right"/>
    </xf>
    <xf numFmtId="167" fontId="3" fillId="12" borderId="50" xfId="0" applyNumberFormat="1" applyFont="1" applyFill="1" applyBorder="1" applyAlignment="1">
      <alignment horizontal="right"/>
    </xf>
    <xf numFmtId="167" fontId="3" fillId="13" borderId="50" xfId="0" applyNumberFormat="1" applyFont="1" applyFill="1" applyBorder="1" applyAlignment="1">
      <alignment horizontal="right"/>
    </xf>
    <xf numFmtId="167" fontId="3" fillId="14" borderId="50" xfId="0" applyNumberFormat="1" applyFont="1" applyFill="1" applyBorder="1" applyAlignment="1">
      <alignment horizontal="right"/>
    </xf>
    <xf numFmtId="167" fontId="3" fillId="15" borderId="50" xfId="0" applyNumberFormat="1" applyFont="1" applyFill="1" applyBorder="1" applyAlignment="1">
      <alignment horizontal="right"/>
    </xf>
    <xf numFmtId="167" fontId="2" fillId="16" borderId="54" xfId="0" applyNumberFormat="1" applyFont="1" applyFill="1" applyBorder="1" applyAlignment="1">
      <alignment horizontal="right"/>
    </xf>
    <xf numFmtId="0" fontId="1" fillId="17" borderId="55" xfId="0" applyFont="1" applyFill="1" applyBorder="1"/>
    <xf numFmtId="0" fontId="1" fillId="0" borderId="58" xfId="0" applyFont="1" applyBorder="1" applyAlignment="1">
      <alignment horizontal="left"/>
    </xf>
    <xf numFmtId="0" fontId="0" fillId="0" borderId="59" xfId="0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0" fillId="20" borderId="60" xfId="0" applyFill="1" applyBorder="1"/>
    <xf numFmtId="0" fontId="0" fillId="0" borderId="0" xfId="0" pivotButton="1"/>
    <xf numFmtId="0" fontId="0" fillId="0" borderId="0" xfId="0" applyAlignment="1">
      <alignment horizontal="left" indent="1"/>
    </xf>
    <xf numFmtId="0" fontId="0" fillId="29" borderId="0" xfId="0" applyFill="1" applyAlignment="1">
      <alignment horizontal="center"/>
    </xf>
    <xf numFmtId="49" fontId="14" fillId="30" borderId="61" xfId="0" applyNumberFormat="1" applyFont="1" applyFill="1" applyBorder="1" applyAlignment="1">
      <alignment horizontal="center" vertical="center" wrapText="1"/>
    </xf>
    <xf numFmtId="0" fontId="15" fillId="29" borderId="0" xfId="0" applyFont="1" applyFill="1" applyAlignment="1">
      <alignment horizontal="center"/>
    </xf>
    <xf numFmtId="168" fontId="0" fillId="29" borderId="0" xfId="4" applyNumberFormat="1" applyFont="1" applyFill="1" applyAlignment="1">
      <alignment horizontal="center"/>
    </xf>
    <xf numFmtId="14" fontId="0" fillId="29" borderId="0" xfId="0" applyNumberFormat="1" applyFill="1" applyAlignment="1">
      <alignment horizontal="center"/>
    </xf>
    <xf numFmtId="0" fontId="17" fillId="29" borderId="0" xfId="0" applyFont="1" applyFill="1" applyAlignment="1">
      <alignment horizontal="center"/>
    </xf>
    <xf numFmtId="0" fontId="10" fillId="25" borderId="0" xfId="0" applyFont="1" applyFill="1" applyAlignment="1">
      <alignment horizontal="center"/>
    </xf>
    <xf numFmtId="0" fontId="10" fillId="22" borderId="63" xfId="0" applyFont="1" applyFill="1" applyBorder="1"/>
    <xf numFmtId="0" fontId="10" fillId="22" borderId="64" xfId="0" applyFont="1" applyFill="1" applyBorder="1"/>
    <xf numFmtId="0" fontId="10" fillId="22" borderId="65" xfId="0" applyFont="1" applyFill="1" applyBorder="1"/>
    <xf numFmtId="0" fontId="18" fillId="31" borderId="0" xfId="6" applyAlignment="1">
      <alignment horizontal="center"/>
    </xf>
    <xf numFmtId="14" fontId="0" fillId="0" borderId="0" xfId="0" applyNumberFormat="1"/>
    <xf numFmtId="0" fontId="0" fillId="19" borderId="0" xfId="0" applyFill="1"/>
    <xf numFmtId="0" fontId="0" fillId="32" borderId="0" xfId="0" applyFill="1"/>
    <xf numFmtId="0" fontId="0" fillId="33" borderId="0" xfId="0" applyFill="1"/>
    <xf numFmtId="0" fontId="19" fillId="19" borderId="0" xfId="0" applyFont="1" applyFill="1"/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0" fontId="0" fillId="19" borderId="66" xfId="0" applyFill="1" applyBorder="1"/>
    <xf numFmtId="0" fontId="11" fillId="34" borderId="62" xfId="5" applyFill="1" applyBorder="1" applyAlignment="1">
      <alignment vertical="top"/>
    </xf>
    <xf numFmtId="0" fontId="11" fillId="35" borderId="62" xfId="5" applyFill="1" applyBorder="1" applyAlignment="1">
      <alignment vertical="top"/>
    </xf>
    <xf numFmtId="0" fontId="13" fillId="21" borderId="36" xfId="1" applyFont="1" applyBorder="1" applyAlignment="1">
      <alignment horizontal="center"/>
    </xf>
    <xf numFmtId="0" fontId="13" fillId="21" borderId="37" xfId="1" applyFont="1" applyBorder="1" applyAlignment="1">
      <alignment horizontal="center"/>
    </xf>
    <xf numFmtId="0" fontId="13" fillId="21" borderId="38" xfId="1" applyFont="1" applyBorder="1" applyAlignment="1">
      <alignment horizontal="center"/>
    </xf>
    <xf numFmtId="0" fontId="13" fillId="24" borderId="36" xfId="0" applyFont="1" applyFill="1" applyBorder="1" applyAlignment="1">
      <alignment horizontal="center"/>
    </xf>
    <xf numFmtId="0" fontId="13" fillId="24" borderId="37" xfId="0" applyFont="1" applyFill="1" applyBorder="1" applyAlignment="1">
      <alignment horizontal="center"/>
    </xf>
    <xf numFmtId="0" fontId="1" fillId="24" borderId="37" xfId="0" applyFont="1" applyFill="1" applyBorder="1" applyAlignment="1">
      <alignment horizontal="center"/>
    </xf>
    <xf numFmtId="0" fontId="1" fillId="24" borderId="38" xfId="0" applyFont="1" applyFill="1" applyBorder="1" applyAlignment="1">
      <alignment horizontal="center"/>
    </xf>
    <xf numFmtId="0" fontId="0" fillId="24" borderId="30" xfId="0" applyFill="1" applyBorder="1" applyAlignment="1">
      <alignment horizontal="center"/>
    </xf>
    <xf numFmtId="0" fontId="0" fillId="24" borderId="0" xfId="0" applyFill="1" applyAlignment="1">
      <alignment horizontal="center"/>
    </xf>
    <xf numFmtId="0" fontId="0" fillId="0" borderId="0" xfId="0"/>
    <xf numFmtId="0" fontId="7" fillId="0" borderId="0" xfId="0" applyFont="1" applyAlignment="1">
      <alignment horizontal="center" vertical="center"/>
    </xf>
    <xf numFmtId="0" fontId="7" fillId="20" borderId="0" xfId="0" applyFont="1" applyFill="1" applyAlignment="1">
      <alignment horizontal="center" vertical="center"/>
    </xf>
    <xf numFmtId="0" fontId="4" fillId="26" borderId="39" xfId="0" applyFont="1" applyFill="1" applyBorder="1" applyAlignment="1">
      <alignment horizontal="center" wrapText="1"/>
    </xf>
    <xf numFmtId="0" fontId="4" fillId="26" borderId="40" xfId="0" applyFont="1" applyFill="1" applyBorder="1" applyAlignment="1">
      <alignment horizontal="center"/>
    </xf>
    <xf numFmtId="0" fontId="4" fillId="19" borderId="25" xfId="0" applyFont="1" applyFill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4" fillId="19" borderId="56" xfId="0" applyFont="1" applyFill="1" applyBorder="1" applyAlignment="1">
      <alignment horizontal="center"/>
    </xf>
    <xf numFmtId="0" fontId="4" fillId="19" borderId="57" xfId="0" applyFont="1" applyFill="1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165" fontId="1" fillId="0" borderId="3" xfId="0" applyNumberFormat="1" applyFont="1" applyBorder="1" applyAlignment="1">
      <alignment horizontal="center"/>
    </xf>
    <xf numFmtId="166" fontId="1" fillId="0" borderId="2" xfId="0" applyNumberFormat="1" applyFont="1" applyBorder="1" applyAlignment="1">
      <alignment horizontal="center"/>
    </xf>
    <xf numFmtId="166" fontId="1" fillId="0" borderId="3" xfId="0" applyNumberFormat="1" applyFont="1" applyBorder="1" applyAlignment="1">
      <alignment horizontal="center"/>
    </xf>
    <xf numFmtId="0" fontId="0" fillId="0" borderId="0" xfId="0" applyNumberFormat="1"/>
  </cellXfs>
  <cellStyles count="7">
    <cellStyle name="Bad" xfId="1" builtinId="27"/>
    <cellStyle name="Comma" xfId="4" builtinId="3"/>
    <cellStyle name="Good" xfId="6" builtinId="26"/>
    <cellStyle name="Normal" xfId="0" builtinId="0"/>
    <cellStyle name="Normal 2" xfId="2" xr:uid="{00000000-0005-0000-0000-000003000000}"/>
    <cellStyle name="Normale 2" xfId="3" xr:uid="{00000000-0005-0000-0000-000004000000}"/>
    <cellStyle name="Normale 8" xfId="5" xr:uid="{D97E68AC-3D84-4802-A719-1B1AD764A407}"/>
  </cellStyles>
  <dxfs count="83">
    <dxf>
      <alignment horizontal="center" vertical="bottom" textRotation="0" wrapText="0" indent="0" justifyLastLine="0" shrinkToFit="0" readingOrder="0"/>
    </dxf>
    <dxf>
      <font>
        <i val="0"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Arial"/>
        <scheme val="none"/>
      </font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0" baseline="0">
                <a:solidFill>
                  <a:sysClr val="windowText" lastClr="000000"/>
                </a:solidFill>
              </a:rPr>
              <a:t>Ore UT: anno in corso e 2 anni precedenti</a:t>
            </a:r>
          </a:p>
        </c:rich>
      </c:tx>
      <c:layout>
        <c:manualLayout>
          <c:xMode val="edge"/>
          <c:yMode val="edge"/>
          <c:x val="0.29862807616230747"/>
          <c:y val="2.80700902104460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718754715111473"/>
          <c:y val="0.10972444144778111"/>
          <c:w val="0.85047440944881891"/>
          <c:h val="0.6530211878160361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PP_01!$D$24</c:f>
              <c:strCache>
                <c:ptCount val="1"/>
                <c:pt idx="0">
                  <c:v> TOB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PP_01!$E$24:$P$24</c:f>
              <c:numCache>
                <c:formatCode>_(* #,##0_);_(* \(#,##0\);_(* "-"_);_(@_)</c:formatCode>
                <c:ptCount val="12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0.51300000000000001</c:v>
                </c:pt>
                <c:pt idx="8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93-4569-A0AA-0632215EDED4}"/>
            </c:ext>
          </c:extLst>
        </c:ser>
        <c:ser>
          <c:idx val="1"/>
          <c:order val="1"/>
          <c:tx>
            <c:strRef>
              <c:f>PP_01!$D$25</c:f>
              <c:strCache>
                <c:ptCount val="1"/>
                <c:pt idx="0">
                  <c:v> PHARMA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PP_01!$E$25:$P$25</c:f>
              <c:numCache>
                <c:formatCode>_(* #,##0_);_(* \(#,##0\);_(* "-"_);_(@_)</c:formatCode>
                <c:ptCount val="12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93-4569-A0AA-0632215EDED4}"/>
            </c:ext>
          </c:extLst>
        </c:ser>
        <c:ser>
          <c:idx val="2"/>
          <c:order val="2"/>
          <c:tx>
            <c:strRef>
              <c:f>PP_01!$D$26</c:f>
              <c:strCache>
                <c:ptCount val="1"/>
                <c:pt idx="0">
                  <c:v> CONSUMER ELECTRONICS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PP_01!$E$26:$P$26</c:f>
              <c:numCache>
                <c:formatCode>_(* #,##0_);_(* \(#,##0\);_(* "-"_);_(@_)</c:formatCode>
                <c:ptCount val="12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93-4569-A0AA-0632215EDED4}"/>
            </c:ext>
          </c:extLst>
        </c:ser>
        <c:ser>
          <c:idx val="3"/>
          <c:order val="3"/>
          <c:tx>
            <c:strRef>
              <c:f>PP_01!$D$27</c:f>
              <c:strCache>
                <c:ptCount val="1"/>
                <c:pt idx="0">
                  <c:v> ESS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PP_01!$E$27:$P$27</c:f>
              <c:numCache>
                <c:formatCode>_(* #,##0_);_(* \(#,##0\);_(* "-"_);_(@_)</c:formatCode>
                <c:ptCount val="12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93-4569-A0AA-0632215EDED4}"/>
            </c:ext>
          </c:extLst>
        </c:ser>
        <c:ser>
          <c:idx val="4"/>
          <c:order val="4"/>
          <c:tx>
            <c:strRef>
              <c:f>PP_01!$D$28</c:f>
              <c:strCache>
                <c:ptCount val="1"/>
                <c:pt idx="0">
                  <c:v> ALTRI BUSINESS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PP_01!$E$28:$P$28</c:f>
              <c:numCache>
                <c:formatCode>_(* #,##0_);_(* \(#,##0\);_(* "-"_);_(@_)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4-1093-4569-A0AA-0632215EDED4}"/>
            </c:ext>
          </c:extLst>
        </c:ser>
        <c:ser>
          <c:idx val="6"/>
          <c:order val="6"/>
          <c:tx>
            <c:strRef>
              <c:f>PP_01!$D$30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PP_01!$E$30:$P$30</c:f>
              <c:numCache>
                <c:formatCode>_(* #,##0_);_(* \(#,##0\);_(* "-"_);_(@_)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6-1093-4569-A0AA-0632215EDED4}"/>
            </c:ext>
          </c:extLst>
        </c:ser>
        <c:ser>
          <c:idx val="7"/>
          <c:order val="7"/>
          <c:tx>
            <c:strRef>
              <c:f>PP_01!$D$31</c:f>
              <c:strCache>
                <c:ptCount val="1"/>
                <c:pt idx="0">
                  <c:v> C 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PP_01!$E$31:$P$31</c:f>
              <c:numCache>
                <c:formatCode>_(* #,##0_);_(* \(#,##0\);_(* "-"_);_(@_)</c:formatCode>
                <c:ptCount val="12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093-4569-A0AA-0632215EDED4}"/>
            </c:ext>
          </c:extLst>
        </c:ser>
        <c:ser>
          <c:idx val="8"/>
          <c:order val="8"/>
          <c:tx>
            <c:strRef>
              <c:f>PP_01!$D$32</c:f>
              <c:strCache>
                <c:ptCount val="1"/>
                <c:pt idx="0">
                  <c:v> A R E 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PP_01!$E$32:$P$32</c:f>
              <c:numCache>
                <c:formatCode>_(* #,##0_);_(* \(#,##0\);_(* "-"_);_(@_)</c:formatCode>
                <c:ptCount val="12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093-4569-A0AA-0632215EDED4}"/>
            </c:ext>
          </c:extLst>
        </c:ser>
        <c:ser>
          <c:idx val="9"/>
          <c:order val="9"/>
          <c:tx>
            <c:strRef>
              <c:f>PP_01!$D$33</c:f>
              <c:strCache>
                <c:ptCount val="1"/>
                <c:pt idx="0">
                  <c:v> M 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PP_01!$E$33:$P$33</c:f>
              <c:numCache>
                <c:formatCode>_(* #,##0_);_(* \(#,##0\);_(* "-"_);_(@_)</c:formatCode>
                <c:ptCount val="12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093-4569-A0AA-0632215EDED4}"/>
            </c:ext>
          </c:extLst>
        </c:ser>
        <c:ser>
          <c:idx val="10"/>
          <c:order val="10"/>
          <c:tx>
            <c:strRef>
              <c:f>PP_01!$D$34</c:f>
              <c:strCache>
                <c:ptCount val="1"/>
                <c:pt idx="0">
                  <c:v> D 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PP_01!$E$34:$P$34</c:f>
              <c:numCache>
                <c:formatCode>_(* #,##0_);_(* \(#,##0\);_(* "-"_);_(@_)</c:formatCode>
                <c:ptCount val="12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093-4569-A0AA-0632215EDED4}"/>
            </c:ext>
          </c:extLst>
        </c:ser>
        <c:ser>
          <c:idx val="11"/>
          <c:order val="11"/>
          <c:tx>
            <c:strRef>
              <c:f>PP_01!$D$35</c:f>
              <c:strCache>
                <c:ptCount val="1"/>
                <c:pt idx="0">
                  <c:v> K 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PP_01!$E$35:$P$35</c:f>
              <c:numCache>
                <c:formatCode>_(* #,##0_);_(* \(#,##0\);_(* "-"_);_(@_)</c:formatCode>
                <c:ptCount val="12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093-4569-A0AA-0632215EDED4}"/>
            </c:ext>
          </c:extLst>
        </c:ser>
        <c:ser>
          <c:idx val="12"/>
          <c:order val="12"/>
          <c:tx>
            <c:strRef>
              <c:f>PP_01!$D$36</c:f>
              <c:strCache>
                <c:ptCount val="1"/>
                <c:pt idx="0">
                  <c:v> U (prod ind) 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PP_01!$E$36:$P$36</c:f>
              <c:numCache>
                <c:formatCode>_(* #,##0_);_(* \(#,##0\);_(* "-"_);_(@_)</c:formatCode>
                <c:ptCount val="12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093-4569-A0AA-0632215EDED4}"/>
            </c:ext>
          </c:extLst>
        </c:ser>
        <c:ser>
          <c:idx val="13"/>
          <c:order val="13"/>
          <c:tx>
            <c:strRef>
              <c:f>PP_01!$D$37</c:f>
              <c:strCache>
                <c:ptCount val="1"/>
                <c:pt idx="0">
                  <c:v> U (impr) 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PP_01!$E$37:$P$37</c:f>
              <c:numCache>
                <c:formatCode>_(* #,##0_);_(* \(#,##0\);_(* "-"_);_(@_)</c:formatCode>
                <c:ptCount val="12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093-4569-A0AA-0632215ED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391065040"/>
        <c:axId val="391064648"/>
      </c:barChart>
      <c:lineChart>
        <c:grouping val="standard"/>
        <c:varyColors val="0"/>
        <c:ser>
          <c:idx val="5"/>
          <c:order val="5"/>
          <c:tx>
            <c:strRef>
              <c:f>PP_01!$D$29</c:f>
              <c:strCache>
                <c:ptCount val="1"/>
                <c:pt idx="0">
                  <c:v>Totale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PP_01!$E$29:$P$29</c:f>
              <c:numCache>
                <c:formatCode>_(* #,##0_);_(* \(#,##0\);_(* "-"_);_(@_)</c:formatCode>
                <c:ptCount val="12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093-4569-A0AA-0632215EDED4}"/>
            </c:ext>
          </c:extLst>
        </c:ser>
        <c:ser>
          <c:idx val="15"/>
          <c:order val="14"/>
          <c:tx>
            <c:strRef>
              <c:f>PP_01!$D$39</c:f>
              <c:strCache>
                <c:ptCount val="1"/>
                <c:pt idx="0">
                  <c:v> Totale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multiLvlStrRef>
              <c:f>PP_01!$E$22:$P$23</c:f>
              <c:multiLvlStrCache>
                <c:ptCount val="12"/>
                <c:lvl>
                  <c:pt idx="0">
                    <c:v>business area</c:v>
                  </c:pt>
                  <c:pt idx="1">
                    <c:v>project type</c:v>
                  </c:pt>
                  <c:pt idx="2">
                    <c:v>business area</c:v>
                  </c:pt>
                  <c:pt idx="3">
                    <c:v>project type</c:v>
                  </c:pt>
                  <c:pt idx="4">
                    <c:v>business area</c:v>
                  </c:pt>
                  <c:pt idx="5">
                    <c:v>project type</c:v>
                  </c:pt>
                  <c:pt idx="6">
                    <c:v>business area</c:v>
                  </c:pt>
                  <c:pt idx="7">
                    <c:v>project type</c:v>
                  </c:pt>
                  <c:pt idx="8">
                    <c:v>business area</c:v>
                  </c:pt>
                  <c:pt idx="9">
                    <c:v>project type</c:v>
                  </c:pt>
                  <c:pt idx="10">
                    <c:v>business area</c:v>
                  </c:pt>
                  <c:pt idx="11">
                    <c:v>project type</c:v>
                  </c:pt>
                </c:lvl>
                <c:lvl>
                  <c:pt idx="0">
                    <c:v>ACT 2023</c:v>
                  </c:pt>
                  <c:pt idx="2">
                    <c:v>ACT 2024</c:v>
                  </c:pt>
                  <c:pt idx="4">
                    <c:v>BDG 2025</c:v>
                  </c:pt>
                  <c:pt idx="6">
                    <c:v>RR 2025</c:v>
                  </c:pt>
                  <c:pt idx="8">
                    <c:v>ACT 2025</c:v>
                  </c:pt>
                  <c:pt idx="10">
                    <c:v>2025 Q2</c:v>
                  </c:pt>
                </c:lvl>
              </c:multiLvlStrCache>
            </c:multiLvlStrRef>
          </c:cat>
          <c:val>
            <c:numRef>
              <c:f>PP_01!$E$39:$P$39</c:f>
              <c:numCache>
                <c:formatCode>_(* #,##0_);_(* \(#,##0\);_(* "-"_);_(@_)</c:formatCode>
                <c:ptCount val="12"/>
                <c:pt idx="1">
                  <c:v>0</c:v>
                </c:pt>
                <c:pt idx="3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093-4569-A0AA-0632215ED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1065040"/>
        <c:axId val="391064648"/>
      </c:lineChart>
      <c:catAx>
        <c:axId val="39106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064648"/>
        <c:crosses val="autoZero"/>
        <c:auto val="1"/>
        <c:lblAlgn val="ctr"/>
        <c:lblOffset val="100"/>
        <c:noMultiLvlLbl val="0"/>
      </c:catAx>
      <c:valAx>
        <c:axId val="391064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06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324636872706982E-2"/>
          <c:y val="4.0110083326962767E-2"/>
          <c:w val="0.90414311971221584"/>
          <c:h val="0.91146079555589532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RunRate!$A$2:$L$2</c:f>
              <c:numCache>
                <c:formatCode>0.00%</c:formatCode>
                <c:ptCount val="12"/>
                <c:pt idx="0">
                  <c:v>0.15</c:v>
                </c:pt>
                <c:pt idx="1">
                  <c:v>0.1</c:v>
                </c:pt>
                <c:pt idx="2">
                  <c:v>0.05</c:v>
                </c:pt>
                <c:pt idx="3">
                  <c:v>0.1</c:v>
                </c:pt>
                <c:pt idx="4">
                  <c:v>0.15</c:v>
                </c:pt>
                <c:pt idx="5">
                  <c:v>0.2</c:v>
                </c:pt>
                <c:pt idx="6">
                  <c:v>0.25</c:v>
                </c:pt>
                <c:pt idx="7">
                  <c:v>0.2</c:v>
                </c:pt>
                <c:pt idx="8">
                  <c:v>0.15</c:v>
                </c:pt>
                <c:pt idx="9">
                  <c:v>0.1</c:v>
                </c:pt>
                <c:pt idx="10">
                  <c:v>0.05</c:v>
                </c:pt>
                <c:pt idx="1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02-4DBD-83C9-DDA411EAB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679840"/>
        <c:axId val="166676480"/>
      </c:lineChart>
      <c:catAx>
        <c:axId val="16667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76480"/>
        <c:crosses val="autoZero"/>
        <c:auto val="1"/>
        <c:lblAlgn val="ctr"/>
        <c:lblOffset val="100"/>
        <c:noMultiLvlLbl val="0"/>
      </c:catAx>
      <c:valAx>
        <c:axId val="16667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79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1624853</xdr:colOff>
      <xdr:row>0</xdr:row>
      <xdr:rowOff>123264</xdr:rowOff>
    </xdr:from>
    <xdr:to>
      <xdr:col>0</xdr:col>
      <xdr:colOff>1943100</xdr:colOff>
      <xdr:row>1</xdr:row>
      <xdr:rowOff>114300</xdr:rowOff>
    </xdr:to>
    <xdr:pic>
      <xdr:nvPicPr>
        <xdr:cNvPr id="2" name="Picture 1" descr="Microsoft, Powerpoint, macOS, BigSur Icon">
          <a:extLst>
            <a:ext uri="{FF2B5EF4-FFF2-40B4-BE49-F238E27FC236}">
              <a16:creationId xmlns:a16="http://schemas.microsoft.com/office/drawing/2014/main" id="{6B7A9E05-B8F7-4BC2-BFE2-F54370A91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4853" y="123264"/>
          <a:ext cx="315209" cy="3231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5443</xdr:colOff>
      <xdr:row>4</xdr:row>
      <xdr:rowOff>38101</xdr:rowOff>
    </xdr:from>
    <xdr:to>
      <xdr:col>8</xdr:col>
      <xdr:colOff>547331</xdr:colOff>
      <xdr:row>7</xdr:row>
      <xdr:rowOff>179614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2EF94E72-2189-C812-DFB0-EBA7303C26E4}"/>
            </a:ext>
          </a:extLst>
        </xdr:cNvPr>
        <xdr:cNvGrpSpPr/>
      </xdr:nvGrpSpPr>
      <xdr:grpSpPr>
        <a:xfrm>
          <a:off x="8768443" y="962026"/>
          <a:ext cx="1151488" cy="741588"/>
          <a:chOff x="1230086" y="4294415"/>
          <a:chExt cx="1151488" cy="713013"/>
        </a:xfrm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779F3758-FC90-FB6E-BDC0-425401461C6E}"/>
              </a:ext>
            </a:extLst>
          </xdr:cNvPr>
          <xdr:cNvSpPr/>
        </xdr:nvSpPr>
        <xdr:spPr>
          <a:xfrm>
            <a:off x="1262744" y="4294415"/>
            <a:ext cx="1077686" cy="713013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it-IT" sz="1100" kern="1200"/>
              <a:t>
              </a:t>
            </a: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5CC341FA-E3C4-9953-A60A-C981007A1A73}"/>
              </a:ext>
            </a:extLst>
          </xdr:cNvPr>
          <xdr:cNvSpPr txBox="1"/>
        </xdr:nvSpPr>
        <xdr:spPr>
          <a:xfrm>
            <a:off x="1230086" y="4517571"/>
            <a:ext cx="596317" cy="217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t-IT" sz="800" kern="1200"/>
              <a:t>Content 1</a:t>
            </a: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2460A70B-F49C-4E04-8DEA-27528896E193}"/>
              </a:ext>
            </a:extLst>
          </xdr:cNvPr>
          <xdr:cNvSpPr txBox="1"/>
        </xdr:nvSpPr>
        <xdr:spPr>
          <a:xfrm>
            <a:off x="1785257" y="4517571"/>
            <a:ext cx="596317" cy="217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t-IT" sz="800" kern="1200"/>
              <a:t>Content 2</a:t>
            </a:r>
          </a:p>
        </xdr:txBody>
      </xdr:sp>
    </xdr:grpSp>
    <xdr:clientData/>
  </xdr:twoCellAnchor>
  <xdr:twoCellAnchor>
    <xdr:from>
      <xdr:col>7</xdr:col>
      <xdr:colOff>576944</xdr:colOff>
      <xdr:row>4</xdr:row>
      <xdr:rowOff>38101</xdr:rowOff>
    </xdr:from>
    <xdr:to>
      <xdr:col>7</xdr:col>
      <xdr:colOff>576944</xdr:colOff>
      <xdr:row>7</xdr:row>
      <xdr:rowOff>179614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A0625142-E4C3-F93B-2C3B-AAF9BD9CF716}"/>
            </a:ext>
          </a:extLst>
        </xdr:cNvPr>
        <xdr:cNvCxnSpPr>
          <a:stCxn id="4" idx="0"/>
          <a:endCxn id="4" idx="2"/>
        </xdr:cNvCxnSpPr>
      </xdr:nvCxnSpPr>
      <xdr:spPr>
        <a:xfrm>
          <a:off x="9339944" y="962026"/>
          <a:ext cx="0" cy="741588"/>
        </a:xfrm>
        <a:prstGeom prst="line">
          <a:avLst/>
        </a:prstGeom>
        <a:ln w="38100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27219</xdr:colOff>
      <xdr:row>10</xdr:row>
      <xdr:rowOff>43543</xdr:rowOff>
    </xdr:from>
    <xdr:to>
      <xdr:col>8</xdr:col>
      <xdr:colOff>544291</xdr:colOff>
      <xdr:row>14</xdr:row>
      <xdr:rowOff>27214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F9F9AF7C-0A4B-6822-9A27-7404CF0E5234}"/>
            </a:ext>
          </a:extLst>
        </xdr:cNvPr>
        <xdr:cNvGrpSpPr/>
      </xdr:nvGrpSpPr>
      <xdr:grpSpPr>
        <a:xfrm>
          <a:off x="8790219" y="2167618"/>
          <a:ext cx="1126672" cy="783771"/>
          <a:chOff x="1230090" y="5464629"/>
          <a:chExt cx="1126672" cy="745671"/>
        </a:xfrm>
      </xdr:grpSpPr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7F527A74-90BA-458A-B1F8-44B126386B8D}"/>
              </a:ext>
            </a:extLst>
          </xdr:cNvPr>
          <xdr:cNvSpPr/>
        </xdr:nvSpPr>
        <xdr:spPr>
          <a:xfrm rot="16200000">
            <a:off x="1420590" y="5274129"/>
            <a:ext cx="745671" cy="1126672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it-IT" sz="1100" kern="1200"/>
              <a:t>
              </a:t>
            </a:r>
          </a:p>
        </xdr:txBody>
      </xdr:sp>
      <xdr:cxnSp macro="">
        <xdr:nvCxnSpPr>
          <xdr:cNvPr id="10" name="Straight Connector 9">
            <a:extLst>
              <a:ext uri="{FF2B5EF4-FFF2-40B4-BE49-F238E27FC236}">
                <a16:creationId xmlns:a16="http://schemas.microsoft.com/office/drawing/2014/main" id="{847FA15F-E5D8-45E4-AC10-C4738F881B14}"/>
              </a:ext>
            </a:extLst>
          </xdr:cNvPr>
          <xdr:cNvCxnSpPr>
            <a:stCxn id="9" idx="2"/>
            <a:endCxn id="9" idx="0"/>
          </xdr:cNvCxnSpPr>
        </xdr:nvCxnSpPr>
        <xdr:spPr>
          <a:xfrm flipH="1">
            <a:off x="1230090" y="5837465"/>
            <a:ext cx="1126672" cy="0"/>
          </a:xfrm>
          <a:prstGeom prst="line">
            <a:avLst/>
          </a:prstGeom>
          <a:ln w="3810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33F87CCC-A74E-4C5D-92A0-3B846F62BD21}"/>
              </a:ext>
            </a:extLst>
          </xdr:cNvPr>
          <xdr:cNvSpPr txBox="1"/>
        </xdr:nvSpPr>
        <xdr:spPr>
          <a:xfrm>
            <a:off x="1513114" y="5557156"/>
            <a:ext cx="596317" cy="217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t-IT" sz="800" kern="1200"/>
              <a:t>Content 1</a:t>
            </a:r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DD5BC8B3-946C-45E9-A60C-689F4FF5C554}"/>
              </a:ext>
            </a:extLst>
          </xdr:cNvPr>
          <xdr:cNvSpPr txBox="1"/>
        </xdr:nvSpPr>
        <xdr:spPr>
          <a:xfrm>
            <a:off x="1502228" y="5910942"/>
            <a:ext cx="596317" cy="217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t-IT" sz="800" kern="1200"/>
              <a:t>Content 2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1041400</xdr:colOff>
      <xdr:row>0</xdr:row>
      <xdr:rowOff>12701</xdr:rowOff>
    </xdr:from>
    <xdr:to>
      <xdr:col>16</xdr:col>
      <xdr:colOff>0</xdr:colOff>
      <xdr:row>19</xdr:row>
      <xdr:rowOff>170891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04A60B-3C35-EF36-6989-D524872A57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0</xdr:row>
      <xdr:rowOff>0</xdr:rowOff>
    </xdr:from>
    <xdr:to>
      <xdr:col>15</xdr:col>
      <xdr:colOff>590550</xdr:colOff>
      <xdr:row>29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4A0919-89DE-4D5D-A8EE-A6FBF02BC1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ichele Fosco" refreshedDate="46155.626948958336" createdVersion="8" refreshedVersion="8" minRefreshableVersion="3" recordCount="100" xr:uid="{CB458B9C-2737-4B20-917D-2647C9E1155E}">
  <cacheSource type="worksheet">
    <worksheetSource name="tabSuperdettagli"/>
  </cacheSource>
  <cacheFields count="82">
    <cacheField name="da considerare?_" numFmtId="0">
      <sharedItems count="1">
        <s v="no"/>
      </sharedItems>
    </cacheField>
    <cacheField name="Anno_" numFmtId="0">
      <sharedItems containsSemiMixedTypes="0" containsString="0" containsNumber="1" containsInteger="1" minValue="2015" maxValue="2025" count="11">
        <n v="2015"/>
        <n v="2016"/>
        <n v="2017"/>
        <n v="2018"/>
        <n v="2019"/>
        <n v="2020"/>
        <n v="2021"/>
        <n v="2022"/>
        <n v="2023"/>
        <n v="2024"/>
        <n v="2025" u="1"/>
      </sharedItems>
    </cacheField>
    <cacheField name="Anno di prima marcatura (=anno di apertura progetto)" numFmtId="0">
      <sharedItems count="1">
        <e v="#N/A"/>
      </sharedItems>
    </cacheField>
    <cacheField name="WBS_" numFmtId="0">
      <sharedItems count="4">
        <s v=""/>
        <s v="AAAA.0001" u="1"/>
        <s v="5447634" u="1"/>
        <s v="5320326" u="1"/>
      </sharedItems>
    </cacheField>
    <cacheField name="ProjType_" numFmtId="0">
      <sharedItems count="1">
        <s v=""/>
      </sharedItems>
    </cacheField>
    <cacheField name="U ProjType_" numFmtId="0">
      <sharedItems count="1">
        <s v=""/>
      </sharedItems>
    </cacheField>
    <cacheField name="ProjType Cluster" numFmtId="0">
      <sharedItems count="1">
        <s v=""/>
      </sharedItems>
    </cacheField>
    <cacheField name="ProjType Cluster2" numFmtId="0">
      <sharedItems containsNonDate="0" containsString="0" containsBlank="1" count="1">
        <m/>
      </sharedItems>
    </cacheField>
    <cacheField name="BussinessArea Cluster" numFmtId="0">
      <sharedItems count="12">
        <s v="Gruppo struttura 1"/>
        <s v="Gruppo struttura 2"/>
        <s v="Gruppo struttura 4"/>
        <s v="Gruppo struttura 3"/>
        <s v="Gruppo struttura 6"/>
        <s v="Gruppo struttura 5"/>
        <s v="Responsabile B"/>
        <s v="Responsabile A"/>
        <s v="Responsabile D"/>
        <s v="Responsabile C"/>
        <s v="Int" u="1"/>
        <e v="#REF!" u="1"/>
      </sharedItems>
    </cacheField>
    <cacheField name="ORE_" numFmtId="0">
      <sharedItems containsSemiMixedTypes="0" containsString="0" containsNumber="1" containsInteger="1" minValue="55" maxValue="6055" count="7">
        <n v="55"/>
        <n v="1055"/>
        <n v="2055"/>
        <n v="3055"/>
        <n v="4055"/>
        <n v="5055"/>
        <n v="6055"/>
      </sharedItems>
    </cacheField>
    <cacheField name="gen_" numFmtId="0">
      <sharedItems containsSemiMixedTypes="0" containsString="0" containsNumber="1" containsInteger="1" minValue="1" maxValue="601"/>
    </cacheField>
    <cacheField name="feb_" numFmtId="0">
      <sharedItems containsSemiMixedTypes="0" containsString="0" containsNumber="1" containsInteger="1" minValue="2" maxValue="602"/>
    </cacheField>
    <cacheField name="mar_" numFmtId="0">
      <sharedItems containsSemiMixedTypes="0" containsString="0" containsNumber="1" containsInteger="1" minValue="3" maxValue="603"/>
    </cacheField>
    <cacheField name="apr_" numFmtId="0">
      <sharedItems containsSemiMixedTypes="0" containsString="0" containsNumber="1" containsInteger="1" minValue="4" maxValue="604"/>
    </cacheField>
    <cacheField name="mag_" numFmtId="0">
      <sharedItems containsSemiMixedTypes="0" containsString="0" containsNumber="1" containsInteger="1" minValue="5" maxValue="605"/>
    </cacheField>
    <cacheField name="giu_" numFmtId="0">
      <sharedItems containsSemiMixedTypes="0" containsString="0" containsNumber="1" containsInteger="1" minValue="6" maxValue="606"/>
    </cacheField>
    <cacheField name="lug_" numFmtId="0">
      <sharedItems containsSemiMixedTypes="0" containsString="0" containsNumber="1" containsInteger="1" minValue="7" maxValue="607"/>
    </cacheField>
    <cacheField name="ago_" numFmtId="0">
      <sharedItems containsSemiMixedTypes="0" containsString="0" containsNumber="1" containsInteger="1" minValue="8" maxValue="608"/>
    </cacheField>
    <cacheField name="set_" numFmtId="0">
      <sharedItems containsSemiMixedTypes="0" containsString="0" containsNumber="1" containsInteger="1" minValue="9" maxValue="609"/>
    </cacheField>
    <cacheField name="ott_" numFmtId="0">
      <sharedItems containsSemiMixedTypes="0" containsString="0" containsNumber="1" containsInteger="1" minValue="10" maxValue="610"/>
    </cacheField>
    <cacheField name="nov_" numFmtId="0">
      <sharedItems containsSemiMixedTypes="0" containsString="0" containsNumber="1" containsInteger="1" minValue="0" maxValue="0"/>
    </cacheField>
    <cacheField name="dic_" numFmtId="0">
      <sharedItems containsSemiMixedTypes="0" containsString="0" containsNumber="1" containsInteger="1" minValue="0" maxValue="0"/>
    </cacheField>
    <cacheField name="tipo risorsa_" numFmtId="0">
      <sharedItems containsMixedTypes="1" containsNumber="1" containsInteger="1" minValue="0" maxValue="0" count="3">
        <s v="Int."/>
        <s v="Est."/>
        <n v="0" u="1"/>
      </sharedItems>
    </cacheField>
    <cacheField name="Resp 1°liv_" numFmtId="0">
      <sharedItems/>
    </cacheField>
    <cacheField name="EngUnit area cluster 1_" numFmtId="0">
      <sharedItems count="1">
        <e v="#N/A"/>
      </sharedItems>
    </cacheField>
    <cacheField name="WBS description_" numFmtId="0">
      <sharedItems count="1">
        <s v=""/>
      </sharedItems>
    </cacheField>
    <cacheField name="WBE description_" numFmtId="0">
      <sharedItems containsSemiMixedTypes="0" containsString="0" containsNumber="1" containsInteger="1" minValue="9" maxValue="609"/>
    </cacheField>
    <cacheField name="WBS D description_" numFmtId="0">
      <sharedItems containsBlank="1" count="2">
        <s v=""/>
        <m/>
      </sharedItems>
    </cacheField>
    <cacheField name="WBS M description_" numFmtId="0">
      <sharedItems count="1">
        <s v=""/>
      </sharedItems>
    </cacheField>
    <cacheField name="WBE per WBS-K" numFmtId="0">
      <sharedItems count="1">
        <s v=""/>
      </sharedItems>
    </cacheField>
    <cacheField name="Sender Cost Center" numFmtId="0">
      <sharedItems/>
    </cacheField>
    <cacheField name="Personnel Number" numFmtId="0">
      <sharedItems containsNonDate="0" containsString="0" containsBlank="1"/>
    </cacheField>
    <cacheField name="Last name First name" numFmtId="0">
      <sharedItems containsNonDate="0" containsString="0" containsBlank="1"/>
    </cacheField>
    <cacheField name="Project Description" numFmtId="0">
      <sharedItems containsNonDate="0" containsString="0" containsBlank="1"/>
    </cacheField>
    <cacheField name="WBS Element" numFmtId="0">
      <sharedItems containsNonDate="0" containsString="0" containsBlank="1"/>
    </cacheField>
    <cacheField name="Network" numFmtId="0">
      <sharedItems containsNonDate="0" containsString="0" containsBlank="1"/>
    </cacheField>
    <cacheField name="Operation/Activity" numFmtId="0">
      <sharedItems containsNonDate="0" containsString="0" containsBlank="1"/>
    </cacheField>
    <cacheField name="Acct assgnt text" numFmtId="0">
      <sharedItems containsNonDate="0" containsString="0" containsBlank="1"/>
    </cacheField>
    <cacheField name="WBS Element - Project Definition (Text)" numFmtId="0">
      <sharedItems containsNonDate="0" containsString="0" containsBlank="1"/>
    </cacheField>
    <cacheField name="Network descr" numFmtId="0">
      <sharedItems containsNonDate="0" containsString="0" containsBlank="1"/>
    </cacheField>
    <cacheField name="PROJ CODE" numFmtId="0">
      <sharedItems containsNonDate="0" containsString="0" containsBlank="1"/>
    </cacheField>
    <cacheField name="INT/EST" numFmtId="0">
      <sharedItems/>
    </cacheField>
    <cacheField name="Raggr. X Struttura" numFmtId="0">
      <sharedItems containsBlank="1"/>
    </cacheField>
    <cacheField name="MESE" numFmtId="0">
      <sharedItems containsNonDate="0" containsString="0" containsBlank="1"/>
    </cacheField>
    <cacheField name="Resp 2°liv" numFmtId="0">
      <sharedItems containsNonDate="0" containsString="0" containsBlank="1"/>
    </cacheField>
    <cacheField name="CDC bdg" numFmtId="0">
      <sharedItems containsNonDate="0" containsString="0" containsBlank="1"/>
    </cacheField>
    <cacheField name="Resp 1°liv" numFmtId="0">
      <sharedItems containsNonDate="0" containsString="0" containsBlank="1"/>
    </cacheField>
    <cacheField name="Resp DT" numFmtId="0">
      <sharedItems/>
    </cacheField>
    <cacheField name="TIPO REP" numFmtId="0">
      <sharedItems containsNonDate="0" containsString="0" containsBlank="1"/>
    </cacheField>
    <cacheField name="Bus Area GDLT" numFmtId="0">
      <sharedItems containsNonDate="0" containsString="0" containsBlank="1"/>
    </cacheField>
    <cacheField name="Bus Area_2" numFmtId="0">
      <sharedItems containsNonDate="0" containsString="0" containsBlank="1"/>
    </cacheField>
    <cacheField name="tipo progetto" numFmtId="0">
      <sharedItems containsNonDate="0" containsString="0" containsBlank="1"/>
    </cacheField>
    <cacheField name="Proj name" numFmtId="0">
      <sharedItems containsNonDate="0" containsString="0" containsBlank="1"/>
    </cacheField>
    <cacheField name="machine code" numFmtId="0">
      <sharedItems containsNonDate="0" containsString="0" containsBlank="1"/>
    </cacheField>
    <cacheField name="product area" numFmtId="0">
      <sharedItems containsNonDate="0" containsString="0" containsBlank="1"/>
    </cacheField>
    <cacheField name="Resp del Prodotto" numFmtId="0">
      <sharedItems containsNonDate="0" containsString="0" containsBlank="1"/>
    </cacheField>
    <cacheField name="Area di bdg" numFmtId="0">
      <sharedItems containsNonDate="0" containsString="0" containsBlank="1"/>
    </cacheField>
    <cacheField name="Macchina" numFmtId="0">
      <sharedItems containsNonDate="0" containsString="0" containsBlank="1"/>
    </cacheField>
    <cacheField name="Sottotipo" numFmtId="0">
      <sharedItems containsNonDate="0" containsString="0" containsBlank="1"/>
    </cacheField>
    <cacheField name="Cluster" numFmtId="0">
      <sharedItems containsNonDate="0" containsString="0" containsBlank="1"/>
    </cacheField>
    <cacheField name="Quadrante" numFmtId="0">
      <sharedItems containsNonDate="0" containsString="0" containsBlank="1"/>
    </cacheField>
    <cacheField name="01.2025" numFmtId="0">
      <sharedItems containsSemiMixedTypes="0" containsString="0" containsNumber="1" containsInteger="1" minValue="1" maxValue="601"/>
    </cacheField>
    <cacheField name="02.2025" numFmtId="0">
      <sharedItems containsSemiMixedTypes="0" containsString="0" containsNumber="1" containsInteger="1" minValue="2" maxValue="602"/>
    </cacheField>
    <cacheField name="03.2025" numFmtId="0">
      <sharedItems containsSemiMixedTypes="0" containsString="0" containsNumber="1" containsInteger="1" minValue="3" maxValue="603"/>
    </cacheField>
    <cacheField name="04.2025" numFmtId="0">
      <sharedItems containsSemiMixedTypes="0" containsString="0" containsNumber="1" containsInteger="1" minValue="4" maxValue="604"/>
    </cacheField>
    <cacheField name="05.2025" numFmtId="0">
      <sharedItems containsSemiMixedTypes="0" containsString="0" containsNumber="1" containsInteger="1" minValue="5" maxValue="605"/>
    </cacheField>
    <cacheField name="06.2025" numFmtId="0">
      <sharedItems containsSemiMixedTypes="0" containsString="0" containsNumber="1" containsInteger="1" minValue="6" maxValue="606"/>
    </cacheField>
    <cacheField name="07.2025" numFmtId="0">
      <sharedItems containsSemiMixedTypes="0" containsString="0" containsNumber="1" containsInteger="1" minValue="7" maxValue="607"/>
    </cacheField>
    <cacheField name="08.2025" numFmtId="0">
      <sharedItems containsSemiMixedTypes="0" containsString="0" containsNumber="1" containsInteger="1" minValue="8" maxValue="608"/>
    </cacheField>
    <cacheField name="09.2025" numFmtId="0">
      <sharedItems containsSemiMixedTypes="0" containsString="0" containsNumber="1" containsInteger="1" minValue="9" maxValue="609"/>
    </cacheField>
    <cacheField name="10.2025" numFmtId="0">
      <sharedItems containsSemiMixedTypes="0" containsString="0" containsNumber="1" containsInteger="1" minValue="10" maxValue="610"/>
    </cacheField>
    <cacheField name="11.2025" numFmtId="0">
      <sharedItems containsNonDate="0" containsString="0" containsBlank="1"/>
    </cacheField>
    <cacheField name="12.2025" numFmtId="0">
      <sharedItems containsNonDate="0" containsString="0" containsBlank="1"/>
    </cacheField>
    <cacheField name="Total" numFmtId="0">
      <sharedItems containsSemiMixedTypes="0" containsString="0" containsNumber="1" containsInteger="1" minValue="55" maxValue="6055"/>
    </cacheField>
    <cacheField name="WBE Status" numFmtId="0">
      <sharedItems containsNonDate="0" containsString="0" containsBlank="1"/>
    </cacheField>
    <cacheField name="competence date " numFmtId="14">
      <sharedItems containsSemiMixedTypes="0" containsNonDate="0" containsDate="1" containsString="0" minDate="2015-01-02T00:00:00" maxDate="2015-10-27T00:00:00"/>
    </cacheField>
    <cacheField name="Proj. Type " numFmtId="0">
      <sharedItems containsNonDate="0" containsString="0" containsBlank="1"/>
    </cacheField>
    <cacheField name="WBE Name" numFmtId="0">
      <sharedItems containsNonDate="0" containsString="0" containsBlank="1"/>
    </cacheField>
    <cacheField name="Engineering Area" numFmtId="0">
      <sharedItems containsNonDate="0" containsString="0" containsBlank="1"/>
    </cacheField>
    <cacheField name="Data Accettazione" numFmtId="14">
      <sharedItems containsSemiMixedTypes="0" containsNonDate="0" containsDate="1" containsString="0" minDate="2015-01-01T00:00:00" maxDate="2015-10-26T00:00:00"/>
    </cacheField>
    <cacheField name="Data Uscita GD" numFmtId="14">
      <sharedItems containsSemiMixedTypes="0" containsNonDate="0" containsDate="1" containsString="0" minDate="2015-02-10T00:00:00" maxDate="2015-12-05T00:00:00"/>
    </cacheField>
    <cacheField name="REP U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x v="0"/>
    <x v="0"/>
    <x v="0"/>
    <x v="0"/>
    <x v="0"/>
    <x v="0"/>
    <x v="0"/>
    <x v="0"/>
    <n v="1"/>
    <n v="2"/>
    <n v="3"/>
    <n v="4"/>
    <n v="5"/>
    <n v="6"/>
    <n v="7"/>
    <n v="8"/>
    <n v="9"/>
    <n v="10"/>
    <n v="0"/>
    <n v="0"/>
    <x v="0"/>
    <s v=""/>
    <x v="0"/>
    <x v="0"/>
    <n v="9"/>
    <x v="0"/>
    <x v="0"/>
    <x v="0"/>
    <s v="Send cost A"/>
    <m/>
    <m/>
    <m/>
    <m/>
    <m/>
    <m/>
    <m/>
    <m/>
    <m/>
    <m/>
    <s v="Int."/>
    <s v="Gruppo struttura 1"/>
    <m/>
    <m/>
    <m/>
    <m/>
    <s v="Responsabile A"/>
    <m/>
    <m/>
    <m/>
    <m/>
    <m/>
    <m/>
    <m/>
    <m/>
    <m/>
    <m/>
    <m/>
    <m/>
    <m/>
    <n v="1"/>
    <n v="2"/>
    <n v="3"/>
    <n v="4"/>
    <n v="5"/>
    <n v="6"/>
    <n v="7"/>
    <n v="8"/>
    <n v="9"/>
    <n v="10"/>
    <m/>
    <m/>
    <n v="55"/>
    <m/>
    <d v="2015-01-02T00:00:00"/>
    <m/>
    <m/>
    <m/>
    <d v="2015-01-01T00:00:00"/>
    <d v="2015-02-10T00:00:00"/>
    <m/>
  </r>
  <r>
    <x v="0"/>
    <x v="0"/>
    <x v="0"/>
    <x v="0"/>
    <x v="0"/>
    <x v="0"/>
    <x v="0"/>
    <x v="0"/>
    <x v="0"/>
    <x v="1"/>
    <n v="101"/>
    <n v="102"/>
    <n v="103"/>
    <n v="104"/>
    <n v="105"/>
    <n v="106"/>
    <n v="107"/>
    <n v="108"/>
    <n v="109"/>
    <n v="110"/>
    <n v="0"/>
    <n v="0"/>
    <x v="1"/>
    <s v=""/>
    <x v="0"/>
    <x v="0"/>
    <n v="109"/>
    <x v="1"/>
    <x v="0"/>
    <x v="0"/>
    <s v="Send cost A"/>
    <m/>
    <m/>
    <m/>
    <m/>
    <m/>
    <m/>
    <m/>
    <m/>
    <m/>
    <m/>
    <s v="Est."/>
    <s v="Gruppo struttura 1"/>
    <m/>
    <m/>
    <m/>
    <m/>
    <s v="Responsabile B"/>
    <m/>
    <m/>
    <m/>
    <m/>
    <m/>
    <m/>
    <m/>
    <m/>
    <m/>
    <m/>
    <m/>
    <m/>
    <m/>
    <n v="101"/>
    <n v="102"/>
    <n v="103"/>
    <n v="104"/>
    <n v="105"/>
    <n v="106"/>
    <n v="107"/>
    <n v="108"/>
    <n v="109"/>
    <n v="110"/>
    <m/>
    <m/>
    <n v="1055"/>
    <m/>
    <d v="2015-01-05T00:00:00"/>
    <m/>
    <m/>
    <m/>
    <d v="2015-01-04T00:00:00"/>
    <d v="2015-02-13T00:00:00"/>
    <m/>
  </r>
  <r>
    <x v="0"/>
    <x v="0"/>
    <x v="0"/>
    <x v="0"/>
    <x v="0"/>
    <x v="0"/>
    <x v="0"/>
    <x v="0"/>
    <x v="1"/>
    <x v="2"/>
    <n v="201"/>
    <n v="202"/>
    <n v="203"/>
    <n v="204"/>
    <n v="205"/>
    <n v="206"/>
    <n v="207"/>
    <n v="208"/>
    <n v="209"/>
    <n v="210"/>
    <n v="0"/>
    <n v="0"/>
    <x v="1"/>
    <s v=""/>
    <x v="0"/>
    <x v="0"/>
    <n v="209"/>
    <x v="1"/>
    <x v="0"/>
    <x v="0"/>
    <s v="Send cost A"/>
    <m/>
    <m/>
    <m/>
    <m/>
    <m/>
    <m/>
    <m/>
    <m/>
    <m/>
    <m/>
    <s v="Est."/>
    <s v="Gruppo struttura 2"/>
    <m/>
    <m/>
    <m/>
    <m/>
    <s v="Responsabile C"/>
    <m/>
    <m/>
    <m/>
    <m/>
    <m/>
    <m/>
    <m/>
    <m/>
    <m/>
    <m/>
    <m/>
    <m/>
    <m/>
    <n v="201"/>
    <n v="202"/>
    <n v="203"/>
    <n v="204"/>
    <n v="205"/>
    <n v="206"/>
    <n v="207"/>
    <n v="208"/>
    <n v="209"/>
    <n v="210"/>
    <m/>
    <m/>
    <n v="2055"/>
    <m/>
    <d v="2015-01-08T00:00:00"/>
    <m/>
    <m/>
    <m/>
    <d v="2015-01-07T00:00:00"/>
    <d v="2015-02-16T00:00:00"/>
    <m/>
  </r>
  <r>
    <x v="0"/>
    <x v="0"/>
    <x v="0"/>
    <x v="0"/>
    <x v="0"/>
    <x v="0"/>
    <x v="0"/>
    <x v="0"/>
    <x v="0"/>
    <x v="0"/>
    <n v="1"/>
    <n v="2"/>
    <n v="3"/>
    <n v="4"/>
    <n v="5"/>
    <n v="6"/>
    <n v="7"/>
    <n v="8"/>
    <n v="9"/>
    <n v="10"/>
    <n v="0"/>
    <n v="0"/>
    <x v="0"/>
    <s v=""/>
    <x v="0"/>
    <x v="0"/>
    <n v="9"/>
    <x v="1"/>
    <x v="0"/>
    <x v="0"/>
    <s v="Send cost A"/>
    <m/>
    <m/>
    <m/>
    <m/>
    <m/>
    <m/>
    <m/>
    <m/>
    <m/>
    <m/>
    <s v="Int."/>
    <s v="Gruppo struttura 1"/>
    <m/>
    <m/>
    <m/>
    <m/>
    <s v="Responsabile A"/>
    <m/>
    <m/>
    <m/>
    <m/>
    <m/>
    <m/>
    <m/>
    <m/>
    <m/>
    <m/>
    <m/>
    <m/>
    <m/>
    <n v="1"/>
    <n v="2"/>
    <n v="3"/>
    <n v="4"/>
    <n v="5"/>
    <n v="6"/>
    <n v="7"/>
    <n v="8"/>
    <n v="9"/>
    <n v="10"/>
    <m/>
    <m/>
    <n v="55"/>
    <m/>
    <d v="2015-01-11T00:00:00"/>
    <m/>
    <m/>
    <m/>
    <d v="2015-01-10T00:00:00"/>
    <d v="2015-02-19T00:00:00"/>
    <m/>
  </r>
  <r>
    <x v="0"/>
    <x v="0"/>
    <x v="0"/>
    <x v="0"/>
    <x v="0"/>
    <x v="0"/>
    <x v="0"/>
    <x v="0"/>
    <x v="2"/>
    <x v="1"/>
    <n v="101"/>
    <n v="102"/>
    <n v="103"/>
    <n v="104"/>
    <n v="105"/>
    <n v="106"/>
    <n v="107"/>
    <n v="108"/>
    <n v="109"/>
    <n v="110"/>
    <n v="0"/>
    <n v="0"/>
    <x v="1"/>
    <s v=""/>
    <x v="0"/>
    <x v="0"/>
    <n v="109"/>
    <x v="1"/>
    <x v="0"/>
    <x v="0"/>
    <s v="Send cost A"/>
    <m/>
    <m/>
    <m/>
    <m/>
    <m/>
    <m/>
    <m/>
    <m/>
    <m/>
    <m/>
    <s v="Est."/>
    <s v="Gruppo struttura 4"/>
    <m/>
    <m/>
    <m/>
    <m/>
    <s v="Responsabile A"/>
    <m/>
    <m/>
    <m/>
    <m/>
    <m/>
    <m/>
    <m/>
    <m/>
    <m/>
    <m/>
    <m/>
    <m/>
    <m/>
    <n v="101"/>
    <n v="102"/>
    <n v="103"/>
    <n v="104"/>
    <n v="105"/>
    <n v="106"/>
    <n v="107"/>
    <n v="108"/>
    <n v="109"/>
    <n v="110"/>
    <m/>
    <m/>
    <n v="1055"/>
    <m/>
    <d v="2015-01-14T00:00:00"/>
    <m/>
    <m/>
    <m/>
    <d v="2015-01-13T00:00:00"/>
    <d v="2015-02-22T00:00:00"/>
    <m/>
  </r>
  <r>
    <x v="0"/>
    <x v="0"/>
    <x v="0"/>
    <x v="0"/>
    <x v="0"/>
    <x v="0"/>
    <x v="0"/>
    <x v="0"/>
    <x v="3"/>
    <x v="2"/>
    <n v="201"/>
    <n v="202"/>
    <n v="203"/>
    <n v="204"/>
    <n v="205"/>
    <n v="206"/>
    <n v="207"/>
    <n v="208"/>
    <n v="209"/>
    <n v="210"/>
    <n v="0"/>
    <n v="0"/>
    <x v="1"/>
    <s v=""/>
    <x v="0"/>
    <x v="0"/>
    <n v="209"/>
    <x v="1"/>
    <x v="0"/>
    <x v="0"/>
    <s v="Send cost A"/>
    <m/>
    <m/>
    <m/>
    <m/>
    <m/>
    <m/>
    <m/>
    <m/>
    <m/>
    <m/>
    <s v="Est."/>
    <s v="Gruppo struttura 3"/>
    <m/>
    <m/>
    <m/>
    <m/>
    <s v="Responsabile A"/>
    <m/>
    <m/>
    <m/>
    <m/>
    <m/>
    <m/>
    <m/>
    <m/>
    <m/>
    <m/>
    <m/>
    <m/>
    <m/>
    <n v="201"/>
    <n v="202"/>
    <n v="203"/>
    <n v="204"/>
    <n v="205"/>
    <n v="206"/>
    <n v="207"/>
    <n v="208"/>
    <n v="209"/>
    <n v="210"/>
    <m/>
    <m/>
    <n v="2055"/>
    <m/>
    <d v="2015-01-17T00:00:00"/>
    <m/>
    <m/>
    <m/>
    <d v="2015-01-16T00:00:00"/>
    <d v="2015-02-25T00:00:00"/>
    <m/>
  </r>
  <r>
    <x v="0"/>
    <x v="0"/>
    <x v="0"/>
    <x v="0"/>
    <x v="0"/>
    <x v="0"/>
    <x v="0"/>
    <x v="0"/>
    <x v="0"/>
    <x v="3"/>
    <n v="301"/>
    <n v="302"/>
    <n v="303"/>
    <n v="304"/>
    <n v="305"/>
    <n v="306"/>
    <n v="307"/>
    <n v="308"/>
    <n v="309"/>
    <n v="310"/>
    <n v="0"/>
    <n v="0"/>
    <x v="0"/>
    <s v=""/>
    <x v="0"/>
    <x v="0"/>
    <n v="309"/>
    <x v="1"/>
    <x v="0"/>
    <x v="0"/>
    <s v="Send cost A"/>
    <m/>
    <m/>
    <m/>
    <m/>
    <m/>
    <m/>
    <m/>
    <m/>
    <m/>
    <m/>
    <s v="Int."/>
    <s v="Gruppo struttura 1"/>
    <m/>
    <m/>
    <m/>
    <m/>
    <s v="Responsabile A"/>
    <m/>
    <m/>
    <m/>
    <m/>
    <m/>
    <m/>
    <m/>
    <m/>
    <m/>
    <m/>
    <m/>
    <m/>
    <m/>
    <n v="301"/>
    <n v="302"/>
    <n v="303"/>
    <n v="304"/>
    <n v="305"/>
    <n v="306"/>
    <n v="307"/>
    <n v="308"/>
    <n v="309"/>
    <n v="310"/>
    <m/>
    <m/>
    <n v="3055"/>
    <m/>
    <d v="2015-01-20T00:00:00"/>
    <m/>
    <m/>
    <m/>
    <d v="2015-01-19T00:00:00"/>
    <d v="2015-02-28T00:00:00"/>
    <m/>
  </r>
  <r>
    <x v="0"/>
    <x v="0"/>
    <x v="0"/>
    <x v="0"/>
    <x v="0"/>
    <x v="0"/>
    <x v="0"/>
    <x v="0"/>
    <x v="4"/>
    <x v="4"/>
    <n v="401"/>
    <n v="402"/>
    <n v="403"/>
    <n v="404"/>
    <n v="405"/>
    <n v="406"/>
    <n v="407"/>
    <n v="408"/>
    <n v="409"/>
    <n v="410"/>
    <n v="0"/>
    <n v="0"/>
    <x v="0"/>
    <s v=""/>
    <x v="0"/>
    <x v="0"/>
    <n v="409"/>
    <x v="1"/>
    <x v="0"/>
    <x v="0"/>
    <s v="Send cost A"/>
    <m/>
    <m/>
    <m/>
    <m/>
    <m/>
    <m/>
    <m/>
    <m/>
    <m/>
    <m/>
    <s v="Int."/>
    <s v="Gruppo struttura 6"/>
    <m/>
    <m/>
    <m/>
    <m/>
    <s v="Responsabile A"/>
    <m/>
    <m/>
    <m/>
    <m/>
    <m/>
    <m/>
    <m/>
    <m/>
    <m/>
    <m/>
    <m/>
    <m/>
    <m/>
    <n v="401"/>
    <n v="402"/>
    <n v="403"/>
    <n v="404"/>
    <n v="405"/>
    <n v="406"/>
    <n v="407"/>
    <n v="408"/>
    <n v="409"/>
    <n v="410"/>
    <m/>
    <m/>
    <n v="4055"/>
    <m/>
    <d v="2015-01-23T00:00:00"/>
    <m/>
    <m/>
    <m/>
    <d v="2015-01-22T00:00:00"/>
    <d v="2015-03-03T00:00:00"/>
    <m/>
  </r>
  <r>
    <x v="0"/>
    <x v="0"/>
    <x v="0"/>
    <x v="0"/>
    <x v="0"/>
    <x v="0"/>
    <x v="0"/>
    <x v="0"/>
    <x v="0"/>
    <x v="0"/>
    <n v="1"/>
    <n v="2"/>
    <n v="3"/>
    <n v="4"/>
    <n v="5"/>
    <n v="6"/>
    <n v="7"/>
    <n v="8"/>
    <n v="9"/>
    <n v="10"/>
    <n v="0"/>
    <n v="0"/>
    <x v="0"/>
    <s v=""/>
    <x v="0"/>
    <x v="0"/>
    <n v="9"/>
    <x v="1"/>
    <x v="0"/>
    <x v="0"/>
    <s v="Send cost A"/>
    <m/>
    <m/>
    <m/>
    <m/>
    <m/>
    <m/>
    <m/>
    <m/>
    <m/>
    <m/>
    <s v="Int."/>
    <s v="Gruppo struttura 1"/>
    <m/>
    <m/>
    <m/>
    <m/>
    <s v="Responsabile A"/>
    <m/>
    <m/>
    <m/>
    <m/>
    <m/>
    <m/>
    <m/>
    <m/>
    <m/>
    <m/>
    <m/>
    <m/>
    <m/>
    <n v="1"/>
    <n v="2"/>
    <n v="3"/>
    <n v="4"/>
    <n v="5"/>
    <n v="6"/>
    <n v="7"/>
    <n v="8"/>
    <n v="9"/>
    <n v="10"/>
    <m/>
    <m/>
    <n v="55"/>
    <m/>
    <d v="2015-01-26T00:00:00"/>
    <m/>
    <m/>
    <m/>
    <d v="2015-01-25T00:00:00"/>
    <d v="2015-03-06T00:00:00"/>
    <m/>
  </r>
  <r>
    <x v="0"/>
    <x v="0"/>
    <x v="0"/>
    <x v="0"/>
    <x v="0"/>
    <x v="0"/>
    <x v="0"/>
    <x v="0"/>
    <x v="0"/>
    <x v="1"/>
    <n v="101"/>
    <n v="102"/>
    <n v="103"/>
    <n v="104"/>
    <n v="105"/>
    <n v="106"/>
    <n v="107"/>
    <n v="108"/>
    <n v="109"/>
    <n v="110"/>
    <n v="0"/>
    <n v="0"/>
    <x v="0"/>
    <s v=""/>
    <x v="0"/>
    <x v="0"/>
    <n v="109"/>
    <x v="1"/>
    <x v="0"/>
    <x v="0"/>
    <s v="Send cost A"/>
    <m/>
    <m/>
    <m/>
    <m/>
    <m/>
    <m/>
    <m/>
    <m/>
    <m/>
    <m/>
    <s v="Int."/>
    <s v="Gruppo struttura 1"/>
    <m/>
    <m/>
    <m/>
    <m/>
    <s v="Responsabile B"/>
    <m/>
    <m/>
    <m/>
    <m/>
    <m/>
    <m/>
    <m/>
    <m/>
    <m/>
    <m/>
    <m/>
    <m/>
    <m/>
    <n v="101"/>
    <n v="102"/>
    <n v="103"/>
    <n v="104"/>
    <n v="105"/>
    <n v="106"/>
    <n v="107"/>
    <n v="108"/>
    <n v="109"/>
    <n v="110"/>
    <m/>
    <m/>
    <n v="1055"/>
    <m/>
    <d v="2015-01-29T00:00:00"/>
    <m/>
    <m/>
    <m/>
    <d v="2015-01-28T00:00:00"/>
    <d v="2015-03-09T00:00:00"/>
    <m/>
  </r>
  <r>
    <x v="0"/>
    <x v="1"/>
    <x v="0"/>
    <x v="0"/>
    <x v="0"/>
    <x v="0"/>
    <x v="0"/>
    <x v="0"/>
    <x v="0"/>
    <x v="2"/>
    <n v="201"/>
    <n v="202"/>
    <n v="203"/>
    <n v="204"/>
    <n v="205"/>
    <n v="206"/>
    <n v="207"/>
    <n v="208"/>
    <n v="209"/>
    <n v="210"/>
    <n v="0"/>
    <n v="0"/>
    <x v="0"/>
    <s v=""/>
    <x v="0"/>
    <x v="0"/>
    <n v="209"/>
    <x v="1"/>
    <x v="0"/>
    <x v="0"/>
    <s v="Send cost B"/>
    <m/>
    <m/>
    <m/>
    <m/>
    <m/>
    <m/>
    <m/>
    <m/>
    <m/>
    <m/>
    <s v="Int."/>
    <s v="Gruppo struttura 1"/>
    <m/>
    <m/>
    <m/>
    <m/>
    <s v="Responsabile A"/>
    <m/>
    <m/>
    <m/>
    <m/>
    <m/>
    <m/>
    <m/>
    <m/>
    <m/>
    <m/>
    <m/>
    <m/>
    <m/>
    <n v="201"/>
    <n v="202"/>
    <n v="203"/>
    <n v="204"/>
    <n v="205"/>
    <n v="206"/>
    <n v="207"/>
    <n v="208"/>
    <n v="209"/>
    <n v="210"/>
    <m/>
    <m/>
    <n v="2055"/>
    <m/>
    <d v="2015-02-01T00:00:00"/>
    <m/>
    <m/>
    <m/>
    <d v="2015-01-31T00:00:00"/>
    <d v="2015-03-12T00:00:00"/>
    <m/>
  </r>
  <r>
    <x v="0"/>
    <x v="1"/>
    <x v="0"/>
    <x v="0"/>
    <x v="0"/>
    <x v="0"/>
    <x v="0"/>
    <x v="0"/>
    <x v="0"/>
    <x v="3"/>
    <n v="301"/>
    <n v="302"/>
    <n v="303"/>
    <n v="304"/>
    <n v="305"/>
    <n v="306"/>
    <n v="307"/>
    <n v="308"/>
    <n v="309"/>
    <n v="310"/>
    <n v="0"/>
    <n v="0"/>
    <x v="0"/>
    <s v=""/>
    <x v="0"/>
    <x v="0"/>
    <n v="309"/>
    <x v="1"/>
    <x v="0"/>
    <x v="0"/>
    <s v="Send cost B"/>
    <m/>
    <m/>
    <m/>
    <m/>
    <m/>
    <m/>
    <m/>
    <m/>
    <m/>
    <m/>
    <s v="Int."/>
    <s v="Gruppo struttura 1"/>
    <m/>
    <m/>
    <m/>
    <m/>
    <s v="Responsabile C"/>
    <m/>
    <m/>
    <m/>
    <m/>
    <m/>
    <m/>
    <m/>
    <m/>
    <m/>
    <m/>
    <m/>
    <m/>
    <m/>
    <n v="301"/>
    <n v="302"/>
    <n v="303"/>
    <n v="304"/>
    <n v="305"/>
    <n v="306"/>
    <n v="307"/>
    <n v="308"/>
    <n v="309"/>
    <n v="310"/>
    <m/>
    <m/>
    <n v="3055"/>
    <m/>
    <d v="2015-02-04T00:00:00"/>
    <m/>
    <m/>
    <m/>
    <d v="2015-02-03T00:00:00"/>
    <d v="2015-03-15T00:00:00"/>
    <m/>
  </r>
  <r>
    <x v="0"/>
    <x v="1"/>
    <x v="0"/>
    <x v="0"/>
    <x v="0"/>
    <x v="0"/>
    <x v="0"/>
    <x v="0"/>
    <x v="0"/>
    <x v="4"/>
    <n v="401"/>
    <n v="402"/>
    <n v="403"/>
    <n v="404"/>
    <n v="405"/>
    <n v="406"/>
    <n v="407"/>
    <n v="408"/>
    <n v="409"/>
    <n v="410"/>
    <n v="0"/>
    <n v="0"/>
    <x v="1"/>
    <s v=""/>
    <x v="0"/>
    <x v="0"/>
    <n v="409"/>
    <x v="1"/>
    <x v="0"/>
    <x v="0"/>
    <s v="Send cost B"/>
    <m/>
    <m/>
    <m/>
    <m/>
    <m/>
    <m/>
    <m/>
    <m/>
    <m/>
    <m/>
    <s v="Est."/>
    <s v="Gruppo struttura 1"/>
    <m/>
    <m/>
    <m/>
    <m/>
    <s v="Responsabile A"/>
    <m/>
    <m/>
    <m/>
    <m/>
    <m/>
    <m/>
    <m/>
    <m/>
    <m/>
    <m/>
    <m/>
    <m/>
    <m/>
    <n v="401"/>
    <n v="402"/>
    <n v="403"/>
    <n v="404"/>
    <n v="405"/>
    <n v="406"/>
    <n v="407"/>
    <n v="408"/>
    <n v="409"/>
    <n v="410"/>
    <m/>
    <m/>
    <n v="4055"/>
    <m/>
    <d v="2015-02-07T00:00:00"/>
    <m/>
    <m/>
    <m/>
    <d v="2015-02-06T00:00:00"/>
    <d v="2015-03-18T00:00:00"/>
    <m/>
  </r>
  <r>
    <x v="0"/>
    <x v="1"/>
    <x v="0"/>
    <x v="0"/>
    <x v="0"/>
    <x v="0"/>
    <x v="0"/>
    <x v="0"/>
    <x v="1"/>
    <x v="5"/>
    <n v="501"/>
    <n v="502"/>
    <n v="503"/>
    <n v="504"/>
    <n v="505"/>
    <n v="506"/>
    <n v="507"/>
    <n v="508"/>
    <n v="509"/>
    <n v="510"/>
    <n v="0"/>
    <n v="0"/>
    <x v="1"/>
    <s v=""/>
    <x v="0"/>
    <x v="0"/>
    <n v="509"/>
    <x v="1"/>
    <x v="0"/>
    <x v="0"/>
    <s v="Send cost B"/>
    <m/>
    <m/>
    <m/>
    <m/>
    <m/>
    <m/>
    <m/>
    <m/>
    <m/>
    <m/>
    <s v="Est."/>
    <s v="Gruppo struttura 2"/>
    <m/>
    <m/>
    <m/>
    <m/>
    <s v="Responsabile A"/>
    <m/>
    <m/>
    <m/>
    <m/>
    <m/>
    <m/>
    <m/>
    <m/>
    <m/>
    <m/>
    <m/>
    <m/>
    <m/>
    <n v="501"/>
    <n v="502"/>
    <n v="503"/>
    <n v="504"/>
    <n v="505"/>
    <n v="506"/>
    <n v="507"/>
    <n v="508"/>
    <n v="509"/>
    <n v="510"/>
    <m/>
    <m/>
    <n v="5055"/>
    <m/>
    <d v="2015-02-10T00:00:00"/>
    <m/>
    <m/>
    <m/>
    <d v="2015-02-09T00:00:00"/>
    <d v="2015-03-21T00:00:00"/>
    <m/>
  </r>
  <r>
    <x v="0"/>
    <x v="1"/>
    <x v="0"/>
    <x v="0"/>
    <x v="0"/>
    <x v="0"/>
    <x v="0"/>
    <x v="0"/>
    <x v="4"/>
    <x v="0"/>
    <n v="1"/>
    <n v="2"/>
    <n v="3"/>
    <n v="4"/>
    <n v="5"/>
    <n v="6"/>
    <n v="7"/>
    <n v="8"/>
    <n v="9"/>
    <n v="10"/>
    <n v="0"/>
    <n v="0"/>
    <x v="0"/>
    <s v=""/>
    <x v="0"/>
    <x v="0"/>
    <n v="9"/>
    <x v="1"/>
    <x v="0"/>
    <x v="0"/>
    <s v="Send cost B"/>
    <m/>
    <m/>
    <m/>
    <m/>
    <m/>
    <m/>
    <m/>
    <m/>
    <m/>
    <m/>
    <s v="Int."/>
    <s v="Gruppo struttura 6"/>
    <m/>
    <m/>
    <m/>
    <m/>
    <s v="Responsabile A"/>
    <m/>
    <m/>
    <m/>
    <m/>
    <m/>
    <m/>
    <m/>
    <m/>
    <m/>
    <m/>
    <m/>
    <m/>
    <m/>
    <n v="1"/>
    <n v="2"/>
    <n v="3"/>
    <n v="4"/>
    <n v="5"/>
    <n v="6"/>
    <n v="7"/>
    <n v="8"/>
    <n v="9"/>
    <n v="10"/>
    <m/>
    <m/>
    <n v="55"/>
    <m/>
    <d v="2015-02-13T00:00:00"/>
    <m/>
    <m/>
    <m/>
    <d v="2015-02-12T00:00:00"/>
    <d v="2015-03-24T00:00:00"/>
    <m/>
  </r>
  <r>
    <x v="0"/>
    <x v="1"/>
    <x v="0"/>
    <x v="0"/>
    <x v="0"/>
    <x v="0"/>
    <x v="0"/>
    <x v="0"/>
    <x v="0"/>
    <x v="1"/>
    <n v="101"/>
    <n v="102"/>
    <n v="103"/>
    <n v="104"/>
    <n v="105"/>
    <n v="106"/>
    <n v="107"/>
    <n v="108"/>
    <n v="109"/>
    <n v="110"/>
    <n v="0"/>
    <n v="0"/>
    <x v="0"/>
    <s v=""/>
    <x v="0"/>
    <x v="0"/>
    <n v="109"/>
    <x v="1"/>
    <x v="0"/>
    <x v="0"/>
    <s v="Send cost B"/>
    <m/>
    <m/>
    <m/>
    <m/>
    <m/>
    <m/>
    <m/>
    <m/>
    <m/>
    <m/>
    <s v="Int."/>
    <s v="Gruppo struttura 1"/>
    <m/>
    <m/>
    <m/>
    <m/>
    <s v="Responsabile A"/>
    <m/>
    <m/>
    <m/>
    <m/>
    <m/>
    <m/>
    <m/>
    <m/>
    <m/>
    <m/>
    <m/>
    <m/>
    <m/>
    <n v="101"/>
    <n v="102"/>
    <n v="103"/>
    <n v="104"/>
    <n v="105"/>
    <n v="106"/>
    <n v="107"/>
    <n v="108"/>
    <n v="109"/>
    <n v="110"/>
    <m/>
    <m/>
    <n v="1055"/>
    <m/>
    <d v="2015-02-16T00:00:00"/>
    <m/>
    <m/>
    <m/>
    <d v="2015-02-15T00:00:00"/>
    <d v="2015-03-27T00:00:00"/>
    <m/>
  </r>
  <r>
    <x v="0"/>
    <x v="1"/>
    <x v="0"/>
    <x v="0"/>
    <x v="0"/>
    <x v="0"/>
    <x v="0"/>
    <x v="0"/>
    <x v="2"/>
    <x v="2"/>
    <n v="201"/>
    <n v="202"/>
    <n v="203"/>
    <n v="204"/>
    <n v="205"/>
    <n v="206"/>
    <n v="207"/>
    <n v="208"/>
    <n v="209"/>
    <n v="210"/>
    <n v="0"/>
    <n v="0"/>
    <x v="0"/>
    <s v=""/>
    <x v="0"/>
    <x v="0"/>
    <n v="209"/>
    <x v="1"/>
    <x v="0"/>
    <x v="0"/>
    <s v="Send cost B"/>
    <m/>
    <m/>
    <m/>
    <m/>
    <m/>
    <m/>
    <m/>
    <m/>
    <m/>
    <m/>
    <s v="Int."/>
    <s v="Gruppo struttura 4"/>
    <m/>
    <m/>
    <m/>
    <m/>
    <s v="Responsabile A"/>
    <m/>
    <m/>
    <m/>
    <m/>
    <m/>
    <m/>
    <m/>
    <m/>
    <m/>
    <m/>
    <m/>
    <m/>
    <m/>
    <n v="201"/>
    <n v="202"/>
    <n v="203"/>
    <n v="204"/>
    <n v="205"/>
    <n v="206"/>
    <n v="207"/>
    <n v="208"/>
    <n v="209"/>
    <n v="210"/>
    <m/>
    <m/>
    <n v="2055"/>
    <m/>
    <d v="2015-02-19T00:00:00"/>
    <m/>
    <m/>
    <m/>
    <d v="2015-02-18T00:00:00"/>
    <d v="2015-03-30T00:00:00"/>
    <m/>
  </r>
  <r>
    <x v="0"/>
    <x v="1"/>
    <x v="0"/>
    <x v="0"/>
    <x v="0"/>
    <x v="0"/>
    <x v="0"/>
    <x v="0"/>
    <x v="0"/>
    <x v="3"/>
    <n v="301"/>
    <n v="302"/>
    <n v="303"/>
    <n v="304"/>
    <n v="305"/>
    <n v="306"/>
    <n v="307"/>
    <n v="308"/>
    <n v="309"/>
    <n v="310"/>
    <n v="0"/>
    <n v="0"/>
    <x v="0"/>
    <s v=""/>
    <x v="0"/>
    <x v="0"/>
    <n v="309"/>
    <x v="1"/>
    <x v="0"/>
    <x v="0"/>
    <s v="Send cost B"/>
    <m/>
    <m/>
    <m/>
    <m/>
    <m/>
    <m/>
    <m/>
    <m/>
    <m/>
    <m/>
    <s v="Int."/>
    <s v="Gruppo struttura 1"/>
    <m/>
    <m/>
    <m/>
    <m/>
    <s v="Responsabile A"/>
    <m/>
    <m/>
    <m/>
    <m/>
    <m/>
    <m/>
    <m/>
    <m/>
    <m/>
    <m/>
    <m/>
    <m/>
    <m/>
    <n v="301"/>
    <n v="302"/>
    <n v="303"/>
    <n v="304"/>
    <n v="305"/>
    <n v="306"/>
    <n v="307"/>
    <n v="308"/>
    <n v="309"/>
    <n v="310"/>
    <m/>
    <m/>
    <n v="3055"/>
    <m/>
    <d v="2015-02-22T00:00:00"/>
    <m/>
    <m/>
    <m/>
    <d v="2015-02-21T00:00:00"/>
    <d v="2015-04-02T00:00:00"/>
    <m/>
  </r>
  <r>
    <x v="0"/>
    <x v="1"/>
    <x v="0"/>
    <x v="0"/>
    <x v="0"/>
    <x v="0"/>
    <x v="0"/>
    <x v="0"/>
    <x v="5"/>
    <x v="0"/>
    <n v="1"/>
    <n v="2"/>
    <n v="3"/>
    <n v="4"/>
    <n v="5"/>
    <n v="6"/>
    <n v="7"/>
    <n v="8"/>
    <n v="9"/>
    <n v="10"/>
    <n v="0"/>
    <n v="0"/>
    <x v="0"/>
    <s v=""/>
    <x v="0"/>
    <x v="0"/>
    <n v="9"/>
    <x v="1"/>
    <x v="0"/>
    <x v="0"/>
    <s v="Send cost B"/>
    <m/>
    <m/>
    <m/>
    <m/>
    <m/>
    <m/>
    <m/>
    <m/>
    <m/>
    <m/>
    <s v="Int."/>
    <s v="Gruppo struttura 5"/>
    <m/>
    <m/>
    <m/>
    <m/>
    <s v="Responsabile C"/>
    <m/>
    <m/>
    <m/>
    <m/>
    <m/>
    <m/>
    <m/>
    <m/>
    <m/>
    <m/>
    <m/>
    <m/>
    <m/>
    <n v="1"/>
    <n v="2"/>
    <n v="3"/>
    <n v="4"/>
    <n v="5"/>
    <n v="6"/>
    <n v="7"/>
    <n v="8"/>
    <n v="9"/>
    <n v="10"/>
    <m/>
    <m/>
    <n v="55"/>
    <m/>
    <d v="2015-02-25T00:00:00"/>
    <m/>
    <m/>
    <m/>
    <d v="2015-02-24T00:00:00"/>
    <d v="2015-04-05T00:00:00"/>
    <m/>
  </r>
  <r>
    <x v="0"/>
    <x v="1"/>
    <x v="0"/>
    <x v="0"/>
    <x v="0"/>
    <x v="0"/>
    <x v="0"/>
    <x v="0"/>
    <x v="6"/>
    <x v="1"/>
    <n v="101"/>
    <n v="102"/>
    <n v="103"/>
    <n v="104"/>
    <n v="105"/>
    <n v="106"/>
    <n v="107"/>
    <n v="108"/>
    <n v="109"/>
    <n v="110"/>
    <n v="0"/>
    <n v="0"/>
    <x v="0"/>
    <s v=""/>
    <x v="0"/>
    <x v="0"/>
    <n v="109"/>
    <x v="1"/>
    <x v="0"/>
    <x v="0"/>
    <s v="Send cost B"/>
    <m/>
    <m/>
    <m/>
    <m/>
    <m/>
    <m/>
    <m/>
    <m/>
    <m/>
    <m/>
    <s v="Int."/>
    <m/>
    <m/>
    <m/>
    <m/>
    <m/>
    <s v="Responsabile B"/>
    <m/>
    <m/>
    <m/>
    <m/>
    <m/>
    <m/>
    <m/>
    <m/>
    <m/>
    <m/>
    <m/>
    <m/>
    <m/>
    <n v="101"/>
    <n v="102"/>
    <n v="103"/>
    <n v="104"/>
    <n v="105"/>
    <n v="106"/>
    <n v="107"/>
    <n v="108"/>
    <n v="109"/>
    <n v="110"/>
    <m/>
    <m/>
    <n v="1055"/>
    <m/>
    <d v="2015-02-28T00:00:00"/>
    <m/>
    <m/>
    <m/>
    <d v="2015-02-27T00:00:00"/>
    <d v="2015-04-08T00:00:00"/>
    <m/>
  </r>
  <r>
    <x v="0"/>
    <x v="2"/>
    <x v="0"/>
    <x v="0"/>
    <x v="0"/>
    <x v="0"/>
    <x v="0"/>
    <x v="0"/>
    <x v="3"/>
    <x v="2"/>
    <n v="201"/>
    <n v="202"/>
    <n v="203"/>
    <n v="204"/>
    <n v="205"/>
    <n v="206"/>
    <n v="207"/>
    <n v="208"/>
    <n v="209"/>
    <n v="210"/>
    <n v="0"/>
    <n v="0"/>
    <x v="1"/>
    <s v=""/>
    <x v="0"/>
    <x v="0"/>
    <n v="209"/>
    <x v="1"/>
    <x v="0"/>
    <x v="0"/>
    <s v="Send cost C"/>
    <m/>
    <m/>
    <m/>
    <m/>
    <m/>
    <m/>
    <m/>
    <m/>
    <m/>
    <m/>
    <s v="Est."/>
    <s v="Gruppo struttura 3"/>
    <m/>
    <m/>
    <m/>
    <m/>
    <s v="Responsabile A"/>
    <m/>
    <m/>
    <m/>
    <m/>
    <m/>
    <m/>
    <m/>
    <m/>
    <m/>
    <m/>
    <m/>
    <m/>
    <m/>
    <n v="201"/>
    <n v="202"/>
    <n v="203"/>
    <n v="204"/>
    <n v="205"/>
    <n v="206"/>
    <n v="207"/>
    <n v="208"/>
    <n v="209"/>
    <n v="210"/>
    <m/>
    <m/>
    <n v="2055"/>
    <m/>
    <d v="2015-03-03T00:00:00"/>
    <m/>
    <m/>
    <m/>
    <d v="2015-03-02T00:00:00"/>
    <d v="2015-04-11T00:00:00"/>
    <m/>
  </r>
  <r>
    <x v="0"/>
    <x v="2"/>
    <x v="0"/>
    <x v="0"/>
    <x v="0"/>
    <x v="0"/>
    <x v="0"/>
    <x v="0"/>
    <x v="0"/>
    <x v="3"/>
    <n v="301"/>
    <n v="302"/>
    <n v="303"/>
    <n v="304"/>
    <n v="305"/>
    <n v="306"/>
    <n v="307"/>
    <n v="308"/>
    <n v="309"/>
    <n v="310"/>
    <n v="0"/>
    <n v="0"/>
    <x v="1"/>
    <s v=""/>
    <x v="0"/>
    <x v="0"/>
    <n v="309"/>
    <x v="1"/>
    <x v="0"/>
    <x v="0"/>
    <s v="Send cost C"/>
    <m/>
    <m/>
    <m/>
    <m/>
    <m/>
    <m/>
    <m/>
    <m/>
    <m/>
    <m/>
    <s v="Est."/>
    <s v="Gruppo struttura 1"/>
    <m/>
    <m/>
    <m/>
    <m/>
    <s v="Responsabile A"/>
    <m/>
    <m/>
    <m/>
    <m/>
    <m/>
    <m/>
    <m/>
    <m/>
    <m/>
    <m/>
    <m/>
    <m/>
    <m/>
    <n v="301"/>
    <n v="302"/>
    <n v="303"/>
    <n v="304"/>
    <n v="305"/>
    <n v="306"/>
    <n v="307"/>
    <n v="308"/>
    <n v="309"/>
    <n v="310"/>
    <m/>
    <m/>
    <n v="3055"/>
    <m/>
    <d v="2015-03-06T00:00:00"/>
    <m/>
    <m/>
    <m/>
    <d v="2015-03-05T00:00:00"/>
    <d v="2015-04-14T00:00:00"/>
    <m/>
  </r>
  <r>
    <x v="0"/>
    <x v="2"/>
    <x v="0"/>
    <x v="0"/>
    <x v="0"/>
    <x v="0"/>
    <x v="0"/>
    <x v="0"/>
    <x v="0"/>
    <x v="4"/>
    <n v="401"/>
    <n v="402"/>
    <n v="403"/>
    <n v="404"/>
    <n v="405"/>
    <n v="406"/>
    <n v="407"/>
    <n v="408"/>
    <n v="409"/>
    <n v="410"/>
    <n v="0"/>
    <n v="0"/>
    <x v="0"/>
    <s v=""/>
    <x v="0"/>
    <x v="0"/>
    <n v="409"/>
    <x v="1"/>
    <x v="0"/>
    <x v="0"/>
    <s v="Send cost C"/>
    <m/>
    <m/>
    <m/>
    <m/>
    <m/>
    <m/>
    <m/>
    <m/>
    <m/>
    <m/>
    <s v="Int."/>
    <s v="Gruppo struttura 1"/>
    <m/>
    <m/>
    <m/>
    <m/>
    <s v="Responsabile A"/>
    <m/>
    <m/>
    <m/>
    <m/>
    <m/>
    <m/>
    <m/>
    <m/>
    <m/>
    <m/>
    <m/>
    <m/>
    <m/>
    <n v="401"/>
    <n v="402"/>
    <n v="403"/>
    <n v="404"/>
    <n v="405"/>
    <n v="406"/>
    <n v="407"/>
    <n v="408"/>
    <n v="409"/>
    <n v="410"/>
    <m/>
    <m/>
    <n v="4055"/>
    <m/>
    <d v="2015-03-09T00:00:00"/>
    <m/>
    <m/>
    <m/>
    <d v="2015-03-08T00:00:00"/>
    <d v="2015-04-17T00:00:00"/>
    <m/>
  </r>
  <r>
    <x v="0"/>
    <x v="2"/>
    <x v="0"/>
    <x v="0"/>
    <x v="0"/>
    <x v="0"/>
    <x v="0"/>
    <x v="0"/>
    <x v="2"/>
    <x v="5"/>
    <n v="501"/>
    <n v="502"/>
    <n v="503"/>
    <n v="504"/>
    <n v="505"/>
    <n v="506"/>
    <n v="507"/>
    <n v="508"/>
    <n v="509"/>
    <n v="510"/>
    <n v="0"/>
    <n v="0"/>
    <x v="0"/>
    <s v=""/>
    <x v="0"/>
    <x v="0"/>
    <n v="509"/>
    <x v="1"/>
    <x v="0"/>
    <x v="0"/>
    <s v="Send cost C"/>
    <m/>
    <m/>
    <m/>
    <m/>
    <m/>
    <m/>
    <m/>
    <m/>
    <m/>
    <m/>
    <s v="Int."/>
    <s v="Gruppo struttura 4"/>
    <m/>
    <m/>
    <m/>
    <m/>
    <s v="Responsabile A"/>
    <m/>
    <m/>
    <m/>
    <m/>
    <m/>
    <m/>
    <m/>
    <m/>
    <m/>
    <m/>
    <m/>
    <m/>
    <m/>
    <n v="501"/>
    <n v="502"/>
    <n v="503"/>
    <n v="504"/>
    <n v="505"/>
    <n v="506"/>
    <n v="507"/>
    <n v="508"/>
    <n v="509"/>
    <n v="510"/>
    <m/>
    <m/>
    <n v="5055"/>
    <m/>
    <d v="2015-03-12T00:00:00"/>
    <m/>
    <m/>
    <m/>
    <d v="2015-03-11T00:00:00"/>
    <d v="2015-04-20T00:00:00"/>
    <m/>
  </r>
  <r>
    <x v="0"/>
    <x v="2"/>
    <x v="0"/>
    <x v="0"/>
    <x v="0"/>
    <x v="0"/>
    <x v="0"/>
    <x v="0"/>
    <x v="0"/>
    <x v="6"/>
    <n v="601"/>
    <n v="602"/>
    <n v="603"/>
    <n v="604"/>
    <n v="605"/>
    <n v="606"/>
    <n v="607"/>
    <n v="608"/>
    <n v="609"/>
    <n v="610"/>
    <n v="0"/>
    <n v="0"/>
    <x v="0"/>
    <s v=""/>
    <x v="0"/>
    <x v="0"/>
    <n v="609"/>
    <x v="1"/>
    <x v="0"/>
    <x v="0"/>
    <s v="Send cost C"/>
    <m/>
    <m/>
    <m/>
    <m/>
    <m/>
    <m/>
    <m/>
    <m/>
    <m/>
    <m/>
    <s v="Int."/>
    <s v="Gruppo struttura 1"/>
    <m/>
    <m/>
    <m/>
    <m/>
    <s v="Responsabile A"/>
    <m/>
    <m/>
    <m/>
    <m/>
    <m/>
    <m/>
    <m/>
    <m/>
    <m/>
    <m/>
    <m/>
    <m/>
    <m/>
    <n v="601"/>
    <n v="602"/>
    <n v="603"/>
    <n v="604"/>
    <n v="605"/>
    <n v="606"/>
    <n v="607"/>
    <n v="608"/>
    <n v="609"/>
    <n v="610"/>
    <m/>
    <m/>
    <n v="6055"/>
    <m/>
    <d v="2015-03-15T00:00:00"/>
    <m/>
    <m/>
    <m/>
    <d v="2015-03-14T00:00:00"/>
    <d v="2015-04-23T00:00:00"/>
    <m/>
  </r>
  <r>
    <x v="0"/>
    <x v="2"/>
    <x v="0"/>
    <x v="0"/>
    <x v="0"/>
    <x v="0"/>
    <x v="0"/>
    <x v="0"/>
    <x v="0"/>
    <x v="0"/>
    <n v="1"/>
    <n v="2"/>
    <n v="3"/>
    <n v="4"/>
    <n v="5"/>
    <n v="6"/>
    <n v="7"/>
    <n v="8"/>
    <n v="9"/>
    <n v="10"/>
    <n v="0"/>
    <n v="0"/>
    <x v="0"/>
    <s v=""/>
    <x v="0"/>
    <x v="0"/>
    <n v="9"/>
    <x v="1"/>
    <x v="0"/>
    <x v="0"/>
    <s v="Send cost C"/>
    <m/>
    <m/>
    <m/>
    <m/>
    <m/>
    <m/>
    <m/>
    <m/>
    <m/>
    <m/>
    <s v="Int."/>
    <s v="Gruppo struttura 1"/>
    <m/>
    <m/>
    <m/>
    <m/>
    <s v="Responsabile A"/>
    <m/>
    <m/>
    <m/>
    <m/>
    <m/>
    <m/>
    <m/>
    <m/>
    <m/>
    <m/>
    <m/>
    <m/>
    <m/>
    <n v="1"/>
    <n v="2"/>
    <n v="3"/>
    <n v="4"/>
    <n v="5"/>
    <n v="6"/>
    <n v="7"/>
    <n v="8"/>
    <n v="9"/>
    <n v="10"/>
    <m/>
    <m/>
    <n v="55"/>
    <m/>
    <d v="2015-03-18T00:00:00"/>
    <m/>
    <m/>
    <m/>
    <d v="2015-03-17T00:00:00"/>
    <d v="2015-04-26T00:00:00"/>
    <m/>
  </r>
  <r>
    <x v="0"/>
    <x v="2"/>
    <x v="0"/>
    <x v="0"/>
    <x v="0"/>
    <x v="0"/>
    <x v="0"/>
    <x v="0"/>
    <x v="0"/>
    <x v="1"/>
    <n v="101"/>
    <n v="102"/>
    <n v="103"/>
    <n v="104"/>
    <n v="105"/>
    <n v="106"/>
    <n v="107"/>
    <n v="108"/>
    <n v="109"/>
    <n v="110"/>
    <n v="0"/>
    <n v="0"/>
    <x v="0"/>
    <s v=""/>
    <x v="0"/>
    <x v="0"/>
    <n v="109"/>
    <x v="1"/>
    <x v="0"/>
    <x v="0"/>
    <s v="Send cost C"/>
    <m/>
    <m/>
    <m/>
    <m/>
    <m/>
    <m/>
    <m/>
    <m/>
    <m/>
    <m/>
    <s v="Int."/>
    <s v="Gruppo struttura 1"/>
    <m/>
    <m/>
    <m/>
    <m/>
    <s v="Responsabile A"/>
    <m/>
    <m/>
    <m/>
    <m/>
    <m/>
    <m/>
    <m/>
    <m/>
    <m/>
    <m/>
    <m/>
    <m/>
    <m/>
    <n v="101"/>
    <n v="102"/>
    <n v="103"/>
    <n v="104"/>
    <n v="105"/>
    <n v="106"/>
    <n v="107"/>
    <n v="108"/>
    <n v="109"/>
    <n v="110"/>
    <m/>
    <m/>
    <n v="1055"/>
    <m/>
    <d v="2015-03-21T00:00:00"/>
    <m/>
    <m/>
    <m/>
    <d v="2015-03-20T00:00:00"/>
    <d v="2015-04-29T00:00:00"/>
    <m/>
  </r>
  <r>
    <x v="0"/>
    <x v="2"/>
    <x v="0"/>
    <x v="0"/>
    <x v="0"/>
    <x v="0"/>
    <x v="0"/>
    <x v="0"/>
    <x v="1"/>
    <x v="2"/>
    <n v="201"/>
    <n v="202"/>
    <n v="203"/>
    <n v="204"/>
    <n v="205"/>
    <n v="206"/>
    <n v="207"/>
    <n v="208"/>
    <n v="209"/>
    <n v="210"/>
    <n v="0"/>
    <n v="0"/>
    <x v="0"/>
    <s v=""/>
    <x v="0"/>
    <x v="0"/>
    <n v="209"/>
    <x v="1"/>
    <x v="0"/>
    <x v="0"/>
    <s v="Send cost C"/>
    <m/>
    <m/>
    <m/>
    <m/>
    <m/>
    <m/>
    <m/>
    <m/>
    <m/>
    <m/>
    <s v="Int."/>
    <s v="Gruppo struttura 2"/>
    <m/>
    <m/>
    <m/>
    <m/>
    <s v="Responsabile E"/>
    <m/>
    <m/>
    <m/>
    <m/>
    <m/>
    <m/>
    <m/>
    <m/>
    <m/>
    <m/>
    <m/>
    <m/>
    <m/>
    <n v="201"/>
    <n v="202"/>
    <n v="203"/>
    <n v="204"/>
    <n v="205"/>
    <n v="206"/>
    <n v="207"/>
    <n v="208"/>
    <n v="209"/>
    <n v="210"/>
    <m/>
    <m/>
    <n v="2055"/>
    <m/>
    <d v="2015-03-24T00:00:00"/>
    <m/>
    <m/>
    <m/>
    <d v="2015-03-23T00:00:00"/>
    <d v="2015-05-02T00:00:00"/>
    <m/>
  </r>
  <r>
    <x v="0"/>
    <x v="2"/>
    <x v="0"/>
    <x v="0"/>
    <x v="0"/>
    <x v="0"/>
    <x v="0"/>
    <x v="0"/>
    <x v="0"/>
    <x v="3"/>
    <n v="301"/>
    <n v="302"/>
    <n v="303"/>
    <n v="304"/>
    <n v="305"/>
    <n v="306"/>
    <n v="307"/>
    <n v="308"/>
    <n v="309"/>
    <n v="310"/>
    <n v="0"/>
    <n v="0"/>
    <x v="1"/>
    <s v=""/>
    <x v="0"/>
    <x v="0"/>
    <n v="309"/>
    <x v="1"/>
    <x v="0"/>
    <x v="0"/>
    <s v="Send cost C"/>
    <m/>
    <m/>
    <m/>
    <m/>
    <m/>
    <m/>
    <m/>
    <m/>
    <m/>
    <m/>
    <s v="Est."/>
    <s v="Gruppo struttura 1"/>
    <m/>
    <m/>
    <m/>
    <m/>
    <s v="Responsabile B"/>
    <m/>
    <m/>
    <m/>
    <m/>
    <m/>
    <m/>
    <m/>
    <m/>
    <m/>
    <m/>
    <m/>
    <m/>
    <m/>
    <n v="301"/>
    <n v="302"/>
    <n v="303"/>
    <n v="304"/>
    <n v="305"/>
    <n v="306"/>
    <n v="307"/>
    <n v="308"/>
    <n v="309"/>
    <n v="310"/>
    <m/>
    <m/>
    <n v="3055"/>
    <m/>
    <d v="2015-03-27T00:00:00"/>
    <m/>
    <m/>
    <m/>
    <d v="2015-03-26T00:00:00"/>
    <d v="2015-05-05T00:00:00"/>
    <m/>
  </r>
  <r>
    <x v="0"/>
    <x v="2"/>
    <x v="0"/>
    <x v="0"/>
    <x v="0"/>
    <x v="0"/>
    <x v="0"/>
    <x v="0"/>
    <x v="7"/>
    <x v="4"/>
    <n v="401"/>
    <n v="402"/>
    <n v="403"/>
    <n v="404"/>
    <n v="405"/>
    <n v="406"/>
    <n v="407"/>
    <n v="408"/>
    <n v="409"/>
    <n v="410"/>
    <n v="0"/>
    <n v="0"/>
    <x v="1"/>
    <s v=""/>
    <x v="0"/>
    <x v="0"/>
    <n v="409"/>
    <x v="1"/>
    <x v="0"/>
    <x v="0"/>
    <s v="Send cost C"/>
    <m/>
    <m/>
    <m/>
    <m/>
    <m/>
    <m/>
    <m/>
    <m/>
    <m/>
    <m/>
    <s v="Est."/>
    <m/>
    <m/>
    <m/>
    <m/>
    <m/>
    <s v="Responsabile A"/>
    <m/>
    <m/>
    <m/>
    <m/>
    <m/>
    <m/>
    <m/>
    <m/>
    <m/>
    <m/>
    <m/>
    <m/>
    <m/>
    <n v="401"/>
    <n v="402"/>
    <n v="403"/>
    <n v="404"/>
    <n v="405"/>
    <n v="406"/>
    <n v="407"/>
    <n v="408"/>
    <n v="409"/>
    <n v="410"/>
    <m/>
    <m/>
    <n v="4055"/>
    <m/>
    <d v="2015-03-30T00:00:00"/>
    <m/>
    <m/>
    <m/>
    <d v="2015-03-29T00:00:00"/>
    <d v="2015-05-08T00:00:00"/>
    <m/>
  </r>
  <r>
    <x v="0"/>
    <x v="3"/>
    <x v="0"/>
    <x v="0"/>
    <x v="0"/>
    <x v="0"/>
    <x v="0"/>
    <x v="0"/>
    <x v="7"/>
    <x v="5"/>
    <n v="501"/>
    <n v="502"/>
    <n v="503"/>
    <n v="504"/>
    <n v="505"/>
    <n v="506"/>
    <n v="507"/>
    <n v="508"/>
    <n v="509"/>
    <n v="510"/>
    <n v="0"/>
    <n v="0"/>
    <x v="1"/>
    <s v=""/>
    <x v="0"/>
    <x v="0"/>
    <n v="509"/>
    <x v="1"/>
    <x v="0"/>
    <x v="0"/>
    <s v="Send cost D"/>
    <m/>
    <m/>
    <m/>
    <m/>
    <m/>
    <m/>
    <m/>
    <m/>
    <m/>
    <m/>
    <s v="Est."/>
    <m/>
    <m/>
    <m/>
    <m/>
    <m/>
    <s v="Responsabile A"/>
    <m/>
    <m/>
    <m/>
    <m/>
    <m/>
    <m/>
    <m/>
    <m/>
    <m/>
    <m/>
    <m/>
    <m/>
    <m/>
    <n v="501"/>
    <n v="502"/>
    <n v="503"/>
    <n v="504"/>
    <n v="505"/>
    <n v="506"/>
    <n v="507"/>
    <n v="508"/>
    <n v="509"/>
    <n v="510"/>
    <m/>
    <m/>
    <n v="5055"/>
    <m/>
    <d v="2015-04-02T00:00:00"/>
    <m/>
    <m/>
    <m/>
    <d v="2015-04-01T00:00:00"/>
    <d v="2015-05-11T00:00:00"/>
    <m/>
  </r>
  <r>
    <x v="0"/>
    <x v="3"/>
    <x v="0"/>
    <x v="0"/>
    <x v="0"/>
    <x v="0"/>
    <x v="0"/>
    <x v="0"/>
    <x v="1"/>
    <x v="6"/>
    <n v="601"/>
    <n v="602"/>
    <n v="603"/>
    <n v="604"/>
    <n v="605"/>
    <n v="606"/>
    <n v="607"/>
    <n v="608"/>
    <n v="609"/>
    <n v="610"/>
    <n v="0"/>
    <n v="0"/>
    <x v="1"/>
    <s v=""/>
    <x v="0"/>
    <x v="0"/>
    <n v="609"/>
    <x v="1"/>
    <x v="0"/>
    <x v="0"/>
    <s v="Send cost D"/>
    <m/>
    <m/>
    <m/>
    <m/>
    <m/>
    <m/>
    <m/>
    <m/>
    <m/>
    <m/>
    <s v="Est."/>
    <s v="Gruppo struttura 2"/>
    <m/>
    <m/>
    <m/>
    <m/>
    <s v="Responsabile C"/>
    <m/>
    <m/>
    <m/>
    <m/>
    <m/>
    <m/>
    <m/>
    <m/>
    <m/>
    <m/>
    <m/>
    <m/>
    <m/>
    <n v="601"/>
    <n v="602"/>
    <n v="603"/>
    <n v="604"/>
    <n v="605"/>
    <n v="606"/>
    <n v="607"/>
    <n v="608"/>
    <n v="609"/>
    <n v="610"/>
    <m/>
    <m/>
    <n v="6055"/>
    <m/>
    <d v="2015-04-05T00:00:00"/>
    <m/>
    <m/>
    <m/>
    <d v="2015-04-04T00:00:00"/>
    <d v="2015-05-14T00:00:00"/>
    <m/>
  </r>
  <r>
    <x v="0"/>
    <x v="3"/>
    <x v="0"/>
    <x v="0"/>
    <x v="0"/>
    <x v="0"/>
    <x v="0"/>
    <x v="0"/>
    <x v="7"/>
    <x v="0"/>
    <n v="1"/>
    <n v="2"/>
    <n v="3"/>
    <n v="4"/>
    <n v="5"/>
    <n v="6"/>
    <n v="7"/>
    <n v="8"/>
    <n v="9"/>
    <n v="10"/>
    <n v="0"/>
    <n v="0"/>
    <x v="1"/>
    <s v=""/>
    <x v="0"/>
    <x v="0"/>
    <n v="9"/>
    <x v="1"/>
    <x v="0"/>
    <x v="0"/>
    <s v="Send cost D"/>
    <m/>
    <m/>
    <m/>
    <m/>
    <m/>
    <m/>
    <m/>
    <m/>
    <m/>
    <m/>
    <s v="Est."/>
    <m/>
    <m/>
    <m/>
    <m/>
    <m/>
    <s v="Responsabile A"/>
    <m/>
    <m/>
    <m/>
    <m/>
    <m/>
    <m/>
    <m/>
    <m/>
    <m/>
    <m/>
    <m/>
    <m/>
    <m/>
    <n v="1"/>
    <n v="2"/>
    <n v="3"/>
    <n v="4"/>
    <n v="5"/>
    <n v="6"/>
    <n v="7"/>
    <n v="8"/>
    <n v="9"/>
    <n v="10"/>
    <m/>
    <m/>
    <n v="55"/>
    <m/>
    <d v="2015-04-08T00:00:00"/>
    <m/>
    <m/>
    <m/>
    <d v="2015-04-07T00:00:00"/>
    <d v="2015-05-17T00:00:00"/>
    <m/>
  </r>
  <r>
    <x v="0"/>
    <x v="3"/>
    <x v="0"/>
    <x v="0"/>
    <x v="0"/>
    <x v="0"/>
    <x v="0"/>
    <x v="0"/>
    <x v="7"/>
    <x v="1"/>
    <n v="101"/>
    <n v="102"/>
    <n v="103"/>
    <n v="104"/>
    <n v="105"/>
    <n v="106"/>
    <n v="107"/>
    <n v="108"/>
    <n v="109"/>
    <n v="110"/>
    <n v="0"/>
    <n v="0"/>
    <x v="1"/>
    <s v=""/>
    <x v="0"/>
    <x v="0"/>
    <n v="109"/>
    <x v="1"/>
    <x v="0"/>
    <x v="0"/>
    <s v="Send cost D"/>
    <m/>
    <m/>
    <m/>
    <m/>
    <m/>
    <m/>
    <m/>
    <m/>
    <m/>
    <m/>
    <s v="Est."/>
    <m/>
    <m/>
    <m/>
    <m/>
    <m/>
    <s v="Responsabile A"/>
    <m/>
    <m/>
    <m/>
    <m/>
    <m/>
    <m/>
    <m/>
    <m/>
    <m/>
    <m/>
    <m/>
    <m/>
    <m/>
    <n v="101"/>
    <n v="102"/>
    <n v="103"/>
    <n v="104"/>
    <n v="105"/>
    <n v="106"/>
    <n v="107"/>
    <n v="108"/>
    <n v="109"/>
    <n v="110"/>
    <m/>
    <m/>
    <n v="1055"/>
    <m/>
    <d v="2015-04-11T00:00:00"/>
    <m/>
    <m/>
    <m/>
    <d v="2015-04-10T00:00:00"/>
    <d v="2015-05-20T00:00:00"/>
    <m/>
  </r>
  <r>
    <x v="0"/>
    <x v="3"/>
    <x v="0"/>
    <x v="0"/>
    <x v="0"/>
    <x v="0"/>
    <x v="0"/>
    <x v="0"/>
    <x v="3"/>
    <x v="2"/>
    <n v="201"/>
    <n v="202"/>
    <n v="203"/>
    <n v="204"/>
    <n v="205"/>
    <n v="206"/>
    <n v="207"/>
    <n v="208"/>
    <n v="209"/>
    <n v="210"/>
    <n v="0"/>
    <n v="0"/>
    <x v="1"/>
    <s v=""/>
    <x v="0"/>
    <x v="0"/>
    <n v="209"/>
    <x v="1"/>
    <x v="0"/>
    <x v="0"/>
    <s v="Send cost D"/>
    <m/>
    <m/>
    <m/>
    <m/>
    <m/>
    <m/>
    <m/>
    <m/>
    <m/>
    <m/>
    <s v="Est."/>
    <s v="Gruppo struttura 3"/>
    <m/>
    <m/>
    <m/>
    <m/>
    <s v="Responsabile A"/>
    <m/>
    <m/>
    <m/>
    <m/>
    <m/>
    <m/>
    <m/>
    <m/>
    <m/>
    <m/>
    <m/>
    <m/>
    <m/>
    <n v="201"/>
    <n v="202"/>
    <n v="203"/>
    <n v="204"/>
    <n v="205"/>
    <n v="206"/>
    <n v="207"/>
    <n v="208"/>
    <n v="209"/>
    <n v="210"/>
    <m/>
    <m/>
    <n v="2055"/>
    <m/>
    <d v="2015-04-14T00:00:00"/>
    <m/>
    <m/>
    <m/>
    <d v="2015-04-13T00:00:00"/>
    <d v="2015-05-23T00:00:00"/>
    <m/>
  </r>
  <r>
    <x v="0"/>
    <x v="3"/>
    <x v="0"/>
    <x v="0"/>
    <x v="0"/>
    <x v="0"/>
    <x v="0"/>
    <x v="0"/>
    <x v="0"/>
    <x v="3"/>
    <n v="301"/>
    <n v="302"/>
    <n v="303"/>
    <n v="304"/>
    <n v="305"/>
    <n v="306"/>
    <n v="307"/>
    <n v="308"/>
    <n v="309"/>
    <n v="310"/>
    <n v="0"/>
    <n v="0"/>
    <x v="1"/>
    <s v=""/>
    <x v="0"/>
    <x v="0"/>
    <n v="309"/>
    <x v="1"/>
    <x v="0"/>
    <x v="0"/>
    <s v="Send cost D"/>
    <m/>
    <m/>
    <m/>
    <m/>
    <m/>
    <m/>
    <m/>
    <m/>
    <m/>
    <m/>
    <s v="Est."/>
    <s v="Gruppo struttura 1"/>
    <m/>
    <m/>
    <m/>
    <m/>
    <s v="Responsabile D"/>
    <m/>
    <m/>
    <m/>
    <m/>
    <m/>
    <m/>
    <m/>
    <m/>
    <m/>
    <m/>
    <m/>
    <m/>
    <m/>
    <n v="301"/>
    <n v="302"/>
    <n v="303"/>
    <n v="304"/>
    <n v="305"/>
    <n v="306"/>
    <n v="307"/>
    <n v="308"/>
    <n v="309"/>
    <n v="310"/>
    <m/>
    <m/>
    <n v="3055"/>
    <m/>
    <d v="2015-04-17T00:00:00"/>
    <m/>
    <m/>
    <m/>
    <d v="2015-04-16T00:00:00"/>
    <d v="2015-05-26T00:00:00"/>
    <m/>
  </r>
  <r>
    <x v="0"/>
    <x v="3"/>
    <x v="0"/>
    <x v="0"/>
    <x v="0"/>
    <x v="0"/>
    <x v="0"/>
    <x v="0"/>
    <x v="4"/>
    <x v="4"/>
    <n v="401"/>
    <n v="402"/>
    <n v="403"/>
    <n v="404"/>
    <n v="405"/>
    <n v="406"/>
    <n v="407"/>
    <n v="408"/>
    <n v="409"/>
    <n v="410"/>
    <n v="0"/>
    <n v="0"/>
    <x v="1"/>
    <s v=""/>
    <x v="0"/>
    <x v="0"/>
    <n v="409"/>
    <x v="1"/>
    <x v="0"/>
    <x v="0"/>
    <s v="Send cost D"/>
    <m/>
    <m/>
    <m/>
    <m/>
    <m/>
    <m/>
    <m/>
    <m/>
    <m/>
    <m/>
    <s v="Est."/>
    <s v="Gruppo struttura 6"/>
    <m/>
    <m/>
    <m/>
    <m/>
    <s v="Responsabile A"/>
    <m/>
    <m/>
    <m/>
    <m/>
    <m/>
    <m/>
    <m/>
    <m/>
    <m/>
    <m/>
    <m/>
    <m/>
    <m/>
    <n v="401"/>
    <n v="402"/>
    <n v="403"/>
    <n v="404"/>
    <n v="405"/>
    <n v="406"/>
    <n v="407"/>
    <n v="408"/>
    <n v="409"/>
    <n v="410"/>
    <m/>
    <m/>
    <n v="4055"/>
    <m/>
    <d v="2015-04-20T00:00:00"/>
    <m/>
    <m/>
    <m/>
    <d v="2015-04-19T00:00:00"/>
    <d v="2015-05-29T00:00:00"/>
    <m/>
  </r>
  <r>
    <x v="0"/>
    <x v="3"/>
    <x v="0"/>
    <x v="0"/>
    <x v="0"/>
    <x v="0"/>
    <x v="0"/>
    <x v="0"/>
    <x v="0"/>
    <x v="5"/>
    <n v="501"/>
    <n v="502"/>
    <n v="503"/>
    <n v="504"/>
    <n v="505"/>
    <n v="506"/>
    <n v="507"/>
    <n v="508"/>
    <n v="509"/>
    <n v="510"/>
    <n v="0"/>
    <n v="0"/>
    <x v="1"/>
    <s v=""/>
    <x v="0"/>
    <x v="0"/>
    <n v="509"/>
    <x v="1"/>
    <x v="0"/>
    <x v="0"/>
    <s v="Send cost D"/>
    <m/>
    <m/>
    <m/>
    <m/>
    <m/>
    <m/>
    <m/>
    <m/>
    <m/>
    <m/>
    <s v="Est."/>
    <s v="Gruppo struttura 1"/>
    <m/>
    <m/>
    <m/>
    <m/>
    <s v="Responsabile A"/>
    <m/>
    <m/>
    <m/>
    <m/>
    <m/>
    <m/>
    <m/>
    <m/>
    <m/>
    <m/>
    <m/>
    <m/>
    <m/>
    <n v="501"/>
    <n v="502"/>
    <n v="503"/>
    <n v="504"/>
    <n v="505"/>
    <n v="506"/>
    <n v="507"/>
    <n v="508"/>
    <n v="509"/>
    <n v="510"/>
    <m/>
    <m/>
    <n v="5055"/>
    <m/>
    <d v="2015-04-23T00:00:00"/>
    <m/>
    <m/>
    <m/>
    <d v="2015-04-22T00:00:00"/>
    <d v="2015-06-01T00:00:00"/>
    <m/>
  </r>
  <r>
    <x v="0"/>
    <x v="3"/>
    <x v="0"/>
    <x v="0"/>
    <x v="0"/>
    <x v="0"/>
    <x v="0"/>
    <x v="0"/>
    <x v="0"/>
    <x v="6"/>
    <n v="601"/>
    <n v="602"/>
    <n v="603"/>
    <n v="604"/>
    <n v="605"/>
    <n v="606"/>
    <n v="607"/>
    <n v="608"/>
    <n v="609"/>
    <n v="610"/>
    <n v="0"/>
    <n v="0"/>
    <x v="1"/>
    <s v=""/>
    <x v="0"/>
    <x v="0"/>
    <n v="609"/>
    <x v="1"/>
    <x v="0"/>
    <x v="0"/>
    <s v="Send cost D"/>
    <m/>
    <m/>
    <m/>
    <m/>
    <m/>
    <m/>
    <m/>
    <m/>
    <m/>
    <m/>
    <s v="Est."/>
    <s v="Gruppo struttura 1"/>
    <m/>
    <m/>
    <m/>
    <m/>
    <s v="Responsabile A"/>
    <m/>
    <m/>
    <m/>
    <m/>
    <m/>
    <m/>
    <m/>
    <m/>
    <m/>
    <m/>
    <m/>
    <m/>
    <m/>
    <n v="601"/>
    <n v="602"/>
    <n v="603"/>
    <n v="604"/>
    <n v="605"/>
    <n v="606"/>
    <n v="607"/>
    <n v="608"/>
    <n v="609"/>
    <n v="610"/>
    <m/>
    <m/>
    <n v="6055"/>
    <m/>
    <d v="2015-04-26T00:00:00"/>
    <m/>
    <m/>
    <m/>
    <d v="2015-04-25T00:00:00"/>
    <d v="2015-06-04T00:00:00"/>
    <m/>
  </r>
  <r>
    <x v="0"/>
    <x v="3"/>
    <x v="0"/>
    <x v="0"/>
    <x v="0"/>
    <x v="0"/>
    <x v="0"/>
    <x v="0"/>
    <x v="0"/>
    <x v="0"/>
    <n v="1"/>
    <n v="2"/>
    <n v="3"/>
    <n v="4"/>
    <n v="5"/>
    <n v="6"/>
    <n v="7"/>
    <n v="8"/>
    <n v="9"/>
    <n v="10"/>
    <n v="0"/>
    <n v="0"/>
    <x v="1"/>
    <s v=""/>
    <x v="0"/>
    <x v="0"/>
    <n v="9"/>
    <x v="1"/>
    <x v="0"/>
    <x v="0"/>
    <s v="Send cost D"/>
    <m/>
    <m/>
    <m/>
    <m/>
    <m/>
    <m/>
    <m/>
    <m/>
    <m/>
    <m/>
    <s v="Est."/>
    <s v="Gruppo struttura 1"/>
    <m/>
    <m/>
    <m/>
    <m/>
    <s v="Responsabile C"/>
    <m/>
    <m/>
    <m/>
    <m/>
    <m/>
    <m/>
    <m/>
    <m/>
    <m/>
    <m/>
    <m/>
    <m/>
    <m/>
    <n v="1"/>
    <n v="2"/>
    <n v="3"/>
    <n v="4"/>
    <n v="5"/>
    <n v="6"/>
    <n v="7"/>
    <n v="8"/>
    <n v="9"/>
    <n v="10"/>
    <m/>
    <m/>
    <n v="55"/>
    <m/>
    <d v="2015-04-29T00:00:00"/>
    <m/>
    <m/>
    <m/>
    <d v="2015-04-28T00:00:00"/>
    <d v="2015-06-07T00:00:00"/>
    <m/>
  </r>
  <r>
    <x v="0"/>
    <x v="4"/>
    <x v="0"/>
    <x v="0"/>
    <x v="0"/>
    <x v="0"/>
    <x v="0"/>
    <x v="0"/>
    <x v="2"/>
    <x v="1"/>
    <n v="101"/>
    <n v="102"/>
    <n v="103"/>
    <n v="104"/>
    <n v="105"/>
    <n v="106"/>
    <n v="107"/>
    <n v="108"/>
    <n v="109"/>
    <n v="110"/>
    <n v="0"/>
    <n v="0"/>
    <x v="1"/>
    <s v=""/>
    <x v="0"/>
    <x v="0"/>
    <n v="109"/>
    <x v="1"/>
    <x v="0"/>
    <x v="0"/>
    <s v="Send cost E"/>
    <m/>
    <m/>
    <m/>
    <m/>
    <m/>
    <m/>
    <m/>
    <m/>
    <m/>
    <m/>
    <s v="Est."/>
    <s v="Gruppo struttura 4"/>
    <m/>
    <m/>
    <m/>
    <m/>
    <s v="Responsabile B"/>
    <m/>
    <m/>
    <m/>
    <m/>
    <m/>
    <m/>
    <m/>
    <m/>
    <m/>
    <m/>
    <m/>
    <m/>
    <m/>
    <n v="101"/>
    <n v="102"/>
    <n v="103"/>
    <n v="104"/>
    <n v="105"/>
    <n v="106"/>
    <n v="107"/>
    <n v="108"/>
    <n v="109"/>
    <n v="110"/>
    <m/>
    <m/>
    <n v="1055"/>
    <m/>
    <d v="2015-05-02T00:00:00"/>
    <m/>
    <m/>
    <m/>
    <d v="2015-05-01T00:00:00"/>
    <d v="2015-06-10T00:00:00"/>
    <m/>
  </r>
  <r>
    <x v="0"/>
    <x v="4"/>
    <x v="0"/>
    <x v="0"/>
    <x v="0"/>
    <x v="0"/>
    <x v="0"/>
    <x v="0"/>
    <x v="2"/>
    <x v="2"/>
    <n v="201"/>
    <n v="202"/>
    <n v="203"/>
    <n v="204"/>
    <n v="205"/>
    <n v="206"/>
    <n v="207"/>
    <n v="208"/>
    <n v="209"/>
    <n v="210"/>
    <n v="0"/>
    <n v="0"/>
    <x v="0"/>
    <s v=""/>
    <x v="0"/>
    <x v="0"/>
    <n v="209"/>
    <x v="1"/>
    <x v="0"/>
    <x v="0"/>
    <s v="Send cost E"/>
    <m/>
    <m/>
    <m/>
    <m/>
    <m/>
    <m/>
    <m/>
    <m/>
    <m/>
    <m/>
    <s v="Int."/>
    <s v="Gruppo struttura 4"/>
    <m/>
    <m/>
    <m/>
    <m/>
    <s v="Responsabile A"/>
    <m/>
    <m/>
    <m/>
    <m/>
    <m/>
    <m/>
    <m/>
    <m/>
    <m/>
    <m/>
    <m/>
    <m/>
    <m/>
    <n v="201"/>
    <n v="202"/>
    <n v="203"/>
    <n v="204"/>
    <n v="205"/>
    <n v="206"/>
    <n v="207"/>
    <n v="208"/>
    <n v="209"/>
    <n v="210"/>
    <m/>
    <m/>
    <n v="2055"/>
    <m/>
    <d v="2015-05-05T00:00:00"/>
    <m/>
    <m/>
    <m/>
    <d v="2015-05-04T00:00:00"/>
    <d v="2015-06-13T00:00:00"/>
    <m/>
  </r>
  <r>
    <x v="0"/>
    <x v="4"/>
    <x v="0"/>
    <x v="0"/>
    <x v="0"/>
    <x v="0"/>
    <x v="0"/>
    <x v="0"/>
    <x v="0"/>
    <x v="3"/>
    <n v="301"/>
    <n v="302"/>
    <n v="303"/>
    <n v="304"/>
    <n v="305"/>
    <n v="306"/>
    <n v="307"/>
    <n v="308"/>
    <n v="309"/>
    <n v="310"/>
    <n v="0"/>
    <n v="0"/>
    <x v="0"/>
    <s v=""/>
    <x v="0"/>
    <x v="0"/>
    <n v="309"/>
    <x v="1"/>
    <x v="0"/>
    <x v="0"/>
    <s v="Send cost E"/>
    <m/>
    <m/>
    <m/>
    <m/>
    <m/>
    <m/>
    <m/>
    <m/>
    <m/>
    <m/>
    <s v="Int."/>
    <s v="Gruppo struttura 1"/>
    <m/>
    <m/>
    <m/>
    <m/>
    <s v="Responsabile E"/>
    <m/>
    <m/>
    <m/>
    <m/>
    <m/>
    <m/>
    <m/>
    <m/>
    <m/>
    <m/>
    <m/>
    <m/>
    <m/>
    <n v="301"/>
    <n v="302"/>
    <n v="303"/>
    <n v="304"/>
    <n v="305"/>
    <n v="306"/>
    <n v="307"/>
    <n v="308"/>
    <n v="309"/>
    <n v="310"/>
    <m/>
    <m/>
    <n v="3055"/>
    <m/>
    <d v="2015-05-08T00:00:00"/>
    <m/>
    <m/>
    <m/>
    <d v="2015-05-07T00:00:00"/>
    <d v="2015-06-16T00:00:00"/>
    <m/>
  </r>
  <r>
    <x v="0"/>
    <x v="4"/>
    <x v="0"/>
    <x v="0"/>
    <x v="0"/>
    <x v="0"/>
    <x v="0"/>
    <x v="0"/>
    <x v="0"/>
    <x v="4"/>
    <n v="401"/>
    <n v="402"/>
    <n v="403"/>
    <n v="404"/>
    <n v="405"/>
    <n v="406"/>
    <n v="407"/>
    <n v="408"/>
    <n v="409"/>
    <n v="410"/>
    <n v="0"/>
    <n v="0"/>
    <x v="0"/>
    <s v=""/>
    <x v="0"/>
    <x v="0"/>
    <n v="409"/>
    <x v="1"/>
    <x v="0"/>
    <x v="0"/>
    <s v="Send cost E"/>
    <m/>
    <m/>
    <m/>
    <m/>
    <m/>
    <m/>
    <m/>
    <m/>
    <m/>
    <m/>
    <s v="Int."/>
    <s v="Gruppo struttura 1"/>
    <m/>
    <m/>
    <m/>
    <m/>
    <s v="Responsabile A"/>
    <m/>
    <m/>
    <m/>
    <m/>
    <m/>
    <m/>
    <m/>
    <m/>
    <m/>
    <m/>
    <m/>
    <m/>
    <m/>
    <n v="401"/>
    <n v="402"/>
    <n v="403"/>
    <n v="404"/>
    <n v="405"/>
    <n v="406"/>
    <n v="407"/>
    <n v="408"/>
    <n v="409"/>
    <n v="410"/>
    <m/>
    <m/>
    <n v="4055"/>
    <m/>
    <d v="2015-05-11T00:00:00"/>
    <m/>
    <m/>
    <m/>
    <d v="2015-05-10T00:00:00"/>
    <d v="2015-06-19T00:00:00"/>
    <m/>
  </r>
  <r>
    <x v="0"/>
    <x v="4"/>
    <x v="0"/>
    <x v="0"/>
    <x v="0"/>
    <x v="0"/>
    <x v="0"/>
    <x v="0"/>
    <x v="0"/>
    <x v="5"/>
    <n v="501"/>
    <n v="502"/>
    <n v="503"/>
    <n v="504"/>
    <n v="505"/>
    <n v="506"/>
    <n v="507"/>
    <n v="508"/>
    <n v="509"/>
    <n v="510"/>
    <n v="0"/>
    <n v="0"/>
    <x v="0"/>
    <s v=""/>
    <x v="0"/>
    <x v="0"/>
    <n v="509"/>
    <x v="1"/>
    <x v="0"/>
    <x v="0"/>
    <s v="Send cost E"/>
    <m/>
    <m/>
    <m/>
    <m/>
    <m/>
    <m/>
    <m/>
    <m/>
    <m/>
    <m/>
    <s v="Int."/>
    <s v="Gruppo struttura 1"/>
    <m/>
    <m/>
    <m/>
    <m/>
    <s v="Responsabile A"/>
    <m/>
    <m/>
    <m/>
    <m/>
    <m/>
    <m/>
    <m/>
    <m/>
    <m/>
    <m/>
    <m/>
    <m/>
    <m/>
    <n v="501"/>
    <n v="502"/>
    <n v="503"/>
    <n v="504"/>
    <n v="505"/>
    <n v="506"/>
    <n v="507"/>
    <n v="508"/>
    <n v="509"/>
    <n v="510"/>
    <m/>
    <m/>
    <n v="5055"/>
    <m/>
    <d v="2015-05-14T00:00:00"/>
    <m/>
    <m/>
    <m/>
    <d v="2015-05-13T00:00:00"/>
    <d v="2015-06-22T00:00:00"/>
    <m/>
  </r>
  <r>
    <x v="0"/>
    <x v="4"/>
    <x v="0"/>
    <x v="0"/>
    <x v="0"/>
    <x v="0"/>
    <x v="0"/>
    <x v="0"/>
    <x v="2"/>
    <x v="6"/>
    <n v="601"/>
    <n v="602"/>
    <n v="603"/>
    <n v="604"/>
    <n v="605"/>
    <n v="606"/>
    <n v="607"/>
    <n v="608"/>
    <n v="609"/>
    <n v="610"/>
    <n v="0"/>
    <n v="0"/>
    <x v="1"/>
    <s v=""/>
    <x v="0"/>
    <x v="0"/>
    <n v="609"/>
    <x v="1"/>
    <x v="0"/>
    <x v="0"/>
    <s v="Send cost E"/>
    <m/>
    <m/>
    <m/>
    <m/>
    <m/>
    <m/>
    <m/>
    <m/>
    <m/>
    <m/>
    <s v="Est."/>
    <s v="Gruppo struttura 4"/>
    <m/>
    <m/>
    <m/>
    <m/>
    <s v="Responsabile A"/>
    <m/>
    <m/>
    <m/>
    <m/>
    <m/>
    <m/>
    <m/>
    <m/>
    <m/>
    <m/>
    <m/>
    <m/>
    <m/>
    <n v="601"/>
    <n v="602"/>
    <n v="603"/>
    <n v="604"/>
    <n v="605"/>
    <n v="606"/>
    <n v="607"/>
    <n v="608"/>
    <n v="609"/>
    <n v="610"/>
    <m/>
    <m/>
    <n v="6055"/>
    <m/>
    <d v="2015-05-17T00:00:00"/>
    <m/>
    <m/>
    <m/>
    <d v="2015-05-16T00:00:00"/>
    <d v="2015-06-25T00:00:00"/>
    <m/>
  </r>
  <r>
    <x v="0"/>
    <x v="4"/>
    <x v="0"/>
    <x v="0"/>
    <x v="0"/>
    <x v="0"/>
    <x v="0"/>
    <x v="0"/>
    <x v="2"/>
    <x v="0"/>
    <n v="1"/>
    <n v="2"/>
    <n v="3"/>
    <n v="4"/>
    <n v="5"/>
    <n v="6"/>
    <n v="7"/>
    <n v="8"/>
    <n v="9"/>
    <n v="10"/>
    <n v="0"/>
    <n v="0"/>
    <x v="1"/>
    <s v=""/>
    <x v="0"/>
    <x v="0"/>
    <n v="9"/>
    <x v="1"/>
    <x v="0"/>
    <x v="0"/>
    <s v="Send cost E"/>
    <m/>
    <m/>
    <m/>
    <m/>
    <m/>
    <m/>
    <m/>
    <m/>
    <m/>
    <m/>
    <s v="Est."/>
    <s v="Gruppo struttura 4"/>
    <m/>
    <m/>
    <m/>
    <m/>
    <s v="Responsabile A"/>
    <m/>
    <m/>
    <m/>
    <m/>
    <m/>
    <m/>
    <m/>
    <m/>
    <m/>
    <m/>
    <m/>
    <m/>
    <m/>
    <n v="1"/>
    <n v="2"/>
    <n v="3"/>
    <n v="4"/>
    <n v="5"/>
    <n v="6"/>
    <n v="7"/>
    <n v="8"/>
    <n v="9"/>
    <n v="10"/>
    <m/>
    <m/>
    <n v="55"/>
    <m/>
    <d v="2015-05-20T00:00:00"/>
    <m/>
    <m/>
    <m/>
    <d v="2015-05-19T00:00:00"/>
    <d v="2015-06-28T00:00:00"/>
    <m/>
  </r>
  <r>
    <x v="0"/>
    <x v="4"/>
    <x v="0"/>
    <x v="0"/>
    <x v="0"/>
    <x v="0"/>
    <x v="0"/>
    <x v="0"/>
    <x v="3"/>
    <x v="1"/>
    <n v="101"/>
    <n v="102"/>
    <n v="103"/>
    <n v="104"/>
    <n v="105"/>
    <n v="106"/>
    <n v="107"/>
    <n v="108"/>
    <n v="109"/>
    <n v="110"/>
    <n v="0"/>
    <n v="0"/>
    <x v="1"/>
    <s v=""/>
    <x v="0"/>
    <x v="0"/>
    <n v="109"/>
    <x v="1"/>
    <x v="0"/>
    <x v="0"/>
    <s v="Send cost E"/>
    <m/>
    <m/>
    <m/>
    <m/>
    <m/>
    <m/>
    <m/>
    <m/>
    <m/>
    <m/>
    <s v="Est."/>
    <s v="Gruppo struttura 3"/>
    <m/>
    <m/>
    <m/>
    <m/>
    <s v="Responsabile C"/>
    <m/>
    <m/>
    <m/>
    <m/>
    <m/>
    <m/>
    <m/>
    <m/>
    <m/>
    <m/>
    <m/>
    <m/>
    <m/>
    <n v="101"/>
    <n v="102"/>
    <n v="103"/>
    <n v="104"/>
    <n v="105"/>
    <n v="106"/>
    <n v="107"/>
    <n v="108"/>
    <n v="109"/>
    <n v="110"/>
    <m/>
    <m/>
    <n v="1055"/>
    <m/>
    <d v="2015-05-23T00:00:00"/>
    <m/>
    <m/>
    <m/>
    <d v="2015-05-22T00:00:00"/>
    <d v="2015-07-01T00:00:00"/>
    <m/>
  </r>
  <r>
    <x v="0"/>
    <x v="4"/>
    <x v="0"/>
    <x v="0"/>
    <x v="0"/>
    <x v="0"/>
    <x v="0"/>
    <x v="0"/>
    <x v="3"/>
    <x v="2"/>
    <n v="201"/>
    <n v="202"/>
    <n v="203"/>
    <n v="204"/>
    <n v="205"/>
    <n v="206"/>
    <n v="207"/>
    <n v="208"/>
    <n v="209"/>
    <n v="210"/>
    <n v="0"/>
    <n v="0"/>
    <x v="1"/>
    <s v=""/>
    <x v="0"/>
    <x v="0"/>
    <n v="209"/>
    <x v="1"/>
    <x v="0"/>
    <x v="0"/>
    <s v="Send cost E"/>
    <m/>
    <m/>
    <m/>
    <m/>
    <m/>
    <m/>
    <m/>
    <m/>
    <m/>
    <m/>
    <s v="Est."/>
    <s v="Gruppo struttura 3"/>
    <m/>
    <m/>
    <m/>
    <m/>
    <s v="Responsabile A"/>
    <m/>
    <m/>
    <m/>
    <m/>
    <m/>
    <m/>
    <m/>
    <m/>
    <m/>
    <m/>
    <m/>
    <m/>
    <m/>
    <n v="201"/>
    <n v="202"/>
    <n v="203"/>
    <n v="204"/>
    <n v="205"/>
    <n v="206"/>
    <n v="207"/>
    <n v="208"/>
    <n v="209"/>
    <n v="210"/>
    <m/>
    <m/>
    <n v="2055"/>
    <m/>
    <d v="2015-05-26T00:00:00"/>
    <m/>
    <m/>
    <m/>
    <d v="2015-05-25T00:00:00"/>
    <d v="2015-07-04T00:00:00"/>
    <m/>
  </r>
  <r>
    <x v="0"/>
    <x v="4"/>
    <x v="0"/>
    <x v="0"/>
    <x v="0"/>
    <x v="0"/>
    <x v="0"/>
    <x v="0"/>
    <x v="3"/>
    <x v="3"/>
    <n v="301"/>
    <n v="302"/>
    <n v="303"/>
    <n v="304"/>
    <n v="305"/>
    <n v="306"/>
    <n v="307"/>
    <n v="308"/>
    <n v="309"/>
    <n v="310"/>
    <n v="0"/>
    <n v="0"/>
    <x v="1"/>
    <s v=""/>
    <x v="0"/>
    <x v="0"/>
    <n v="309"/>
    <x v="1"/>
    <x v="0"/>
    <x v="0"/>
    <s v="Send cost E"/>
    <m/>
    <m/>
    <m/>
    <m/>
    <m/>
    <m/>
    <m/>
    <m/>
    <m/>
    <m/>
    <s v="Est."/>
    <s v="Gruppo struttura 3"/>
    <m/>
    <m/>
    <m/>
    <m/>
    <s v="Responsabile B"/>
    <m/>
    <m/>
    <m/>
    <m/>
    <m/>
    <m/>
    <m/>
    <m/>
    <m/>
    <m/>
    <m/>
    <m/>
    <m/>
    <n v="301"/>
    <n v="302"/>
    <n v="303"/>
    <n v="304"/>
    <n v="305"/>
    <n v="306"/>
    <n v="307"/>
    <n v="308"/>
    <n v="309"/>
    <n v="310"/>
    <m/>
    <m/>
    <n v="3055"/>
    <m/>
    <d v="2015-05-29T00:00:00"/>
    <m/>
    <m/>
    <m/>
    <d v="2015-05-28T00:00:00"/>
    <d v="2015-07-07T00:00:00"/>
    <m/>
  </r>
  <r>
    <x v="0"/>
    <x v="5"/>
    <x v="0"/>
    <x v="0"/>
    <x v="0"/>
    <x v="0"/>
    <x v="0"/>
    <x v="0"/>
    <x v="5"/>
    <x v="4"/>
    <n v="401"/>
    <n v="402"/>
    <n v="403"/>
    <n v="404"/>
    <n v="405"/>
    <n v="406"/>
    <n v="407"/>
    <n v="408"/>
    <n v="409"/>
    <n v="410"/>
    <n v="0"/>
    <n v="0"/>
    <x v="0"/>
    <s v=""/>
    <x v="0"/>
    <x v="0"/>
    <n v="409"/>
    <x v="1"/>
    <x v="0"/>
    <x v="0"/>
    <s v="Send cost F"/>
    <m/>
    <m/>
    <m/>
    <m/>
    <m/>
    <m/>
    <m/>
    <m/>
    <m/>
    <m/>
    <s v="Int."/>
    <s v="Gruppo struttura 5"/>
    <m/>
    <m/>
    <m/>
    <m/>
    <s v="Responsabile D"/>
    <m/>
    <m/>
    <m/>
    <m/>
    <m/>
    <m/>
    <m/>
    <m/>
    <m/>
    <m/>
    <m/>
    <m/>
    <m/>
    <n v="401"/>
    <n v="402"/>
    <n v="403"/>
    <n v="404"/>
    <n v="405"/>
    <n v="406"/>
    <n v="407"/>
    <n v="408"/>
    <n v="409"/>
    <n v="410"/>
    <m/>
    <m/>
    <n v="4055"/>
    <m/>
    <d v="2015-06-01T00:00:00"/>
    <m/>
    <m/>
    <m/>
    <d v="2015-05-31T00:00:00"/>
    <d v="2015-07-10T00:00:00"/>
    <m/>
  </r>
  <r>
    <x v="0"/>
    <x v="5"/>
    <x v="0"/>
    <x v="0"/>
    <x v="0"/>
    <x v="0"/>
    <x v="0"/>
    <x v="0"/>
    <x v="8"/>
    <x v="5"/>
    <n v="501"/>
    <n v="502"/>
    <n v="503"/>
    <n v="504"/>
    <n v="505"/>
    <n v="506"/>
    <n v="507"/>
    <n v="508"/>
    <n v="509"/>
    <n v="510"/>
    <n v="0"/>
    <n v="0"/>
    <x v="1"/>
    <s v=""/>
    <x v="0"/>
    <x v="0"/>
    <n v="509"/>
    <x v="1"/>
    <x v="0"/>
    <x v="0"/>
    <s v="Send cost F"/>
    <m/>
    <m/>
    <m/>
    <m/>
    <m/>
    <m/>
    <m/>
    <m/>
    <m/>
    <m/>
    <s v="Est."/>
    <m/>
    <m/>
    <m/>
    <m/>
    <m/>
    <s v="Responsabile D"/>
    <m/>
    <m/>
    <m/>
    <m/>
    <m/>
    <m/>
    <m/>
    <m/>
    <m/>
    <m/>
    <m/>
    <m/>
    <m/>
    <n v="501"/>
    <n v="502"/>
    <n v="503"/>
    <n v="504"/>
    <n v="505"/>
    <n v="506"/>
    <n v="507"/>
    <n v="508"/>
    <n v="509"/>
    <n v="510"/>
    <m/>
    <m/>
    <n v="5055"/>
    <m/>
    <d v="2015-06-04T00:00:00"/>
    <m/>
    <m/>
    <m/>
    <d v="2015-06-03T00:00:00"/>
    <d v="2015-07-13T00:00:00"/>
    <m/>
  </r>
  <r>
    <x v="0"/>
    <x v="5"/>
    <x v="0"/>
    <x v="0"/>
    <x v="0"/>
    <x v="0"/>
    <x v="0"/>
    <x v="0"/>
    <x v="7"/>
    <x v="0"/>
    <n v="1"/>
    <n v="2"/>
    <n v="3"/>
    <n v="4"/>
    <n v="5"/>
    <n v="6"/>
    <n v="7"/>
    <n v="8"/>
    <n v="9"/>
    <n v="10"/>
    <n v="0"/>
    <n v="0"/>
    <x v="1"/>
    <s v=""/>
    <x v="0"/>
    <x v="0"/>
    <n v="9"/>
    <x v="1"/>
    <x v="0"/>
    <x v="0"/>
    <s v="Send cost F"/>
    <m/>
    <m/>
    <m/>
    <m/>
    <m/>
    <m/>
    <m/>
    <m/>
    <m/>
    <m/>
    <s v="Est."/>
    <m/>
    <m/>
    <m/>
    <m/>
    <m/>
    <s v="Responsabile A"/>
    <m/>
    <m/>
    <m/>
    <m/>
    <m/>
    <m/>
    <m/>
    <m/>
    <m/>
    <m/>
    <m/>
    <m/>
    <m/>
    <n v="1"/>
    <n v="2"/>
    <n v="3"/>
    <n v="4"/>
    <n v="5"/>
    <n v="6"/>
    <n v="7"/>
    <n v="8"/>
    <n v="9"/>
    <n v="10"/>
    <m/>
    <m/>
    <n v="55"/>
    <m/>
    <d v="2015-06-07T00:00:00"/>
    <m/>
    <m/>
    <m/>
    <d v="2015-06-06T00:00:00"/>
    <d v="2015-07-16T00:00:00"/>
    <m/>
  </r>
  <r>
    <x v="0"/>
    <x v="5"/>
    <x v="0"/>
    <x v="0"/>
    <x v="0"/>
    <x v="0"/>
    <x v="0"/>
    <x v="0"/>
    <x v="7"/>
    <x v="1"/>
    <n v="101"/>
    <n v="102"/>
    <n v="103"/>
    <n v="104"/>
    <n v="105"/>
    <n v="106"/>
    <n v="107"/>
    <n v="108"/>
    <n v="109"/>
    <n v="110"/>
    <n v="0"/>
    <n v="0"/>
    <x v="1"/>
    <s v=""/>
    <x v="0"/>
    <x v="0"/>
    <n v="109"/>
    <x v="1"/>
    <x v="0"/>
    <x v="0"/>
    <s v="Send cost F"/>
    <m/>
    <m/>
    <m/>
    <m/>
    <m/>
    <m/>
    <m/>
    <m/>
    <m/>
    <m/>
    <s v="Est."/>
    <m/>
    <m/>
    <m/>
    <m/>
    <m/>
    <s v="Responsabile A"/>
    <m/>
    <m/>
    <m/>
    <m/>
    <m/>
    <m/>
    <m/>
    <m/>
    <m/>
    <m/>
    <m/>
    <m/>
    <m/>
    <n v="101"/>
    <n v="102"/>
    <n v="103"/>
    <n v="104"/>
    <n v="105"/>
    <n v="106"/>
    <n v="107"/>
    <n v="108"/>
    <n v="109"/>
    <n v="110"/>
    <m/>
    <m/>
    <n v="1055"/>
    <m/>
    <d v="2015-06-10T00:00:00"/>
    <m/>
    <m/>
    <m/>
    <d v="2015-06-09T00:00:00"/>
    <d v="2015-07-19T00:00:00"/>
    <m/>
  </r>
  <r>
    <x v="0"/>
    <x v="5"/>
    <x v="0"/>
    <x v="0"/>
    <x v="0"/>
    <x v="0"/>
    <x v="0"/>
    <x v="0"/>
    <x v="7"/>
    <x v="2"/>
    <n v="201"/>
    <n v="202"/>
    <n v="203"/>
    <n v="204"/>
    <n v="205"/>
    <n v="206"/>
    <n v="207"/>
    <n v="208"/>
    <n v="209"/>
    <n v="210"/>
    <n v="0"/>
    <n v="0"/>
    <x v="1"/>
    <s v=""/>
    <x v="0"/>
    <x v="0"/>
    <n v="209"/>
    <x v="1"/>
    <x v="0"/>
    <x v="0"/>
    <s v="Send cost F"/>
    <m/>
    <m/>
    <m/>
    <m/>
    <m/>
    <m/>
    <m/>
    <m/>
    <m/>
    <m/>
    <s v="Est."/>
    <m/>
    <m/>
    <m/>
    <m/>
    <m/>
    <s v="Responsabile A"/>
    <m/>
    <m/>
    <m/>
    <m/>
    <m/>
    <m/>
    <m/>
    <m/>
    <m/>
    <m/>
    <m/>
    <m/>
    <m/>
    <n v="201"/>
    <n v="202"/>
    <n v="203"/>
    <n v="204"/>
    <n v="205"/>
    <n v="206"/>
    <n v="207"/>
    <n v="208"/>
    <n v="209"/>
    <n v="210"/>
    <m/>
    <m/>
    <n v="2055"/>
    <m/>
    <d v="2015-06-13T00:00:00"/>
    <m/>
    <m/>
    <m/>
    <d v="2015-06-12T00:00:00"/>
    <d v="2015-07-22T00:00:00"/>
    <m/>
  </r>
  <r>
    <x v="0"/>
    <x v="5"/>
    <x v="0"/>
    <x v="0"/>
    <x v="0"/>
    <x v="0"/>
    <x v="0"/>
    <x v="0"/>
    <x v="2"/>
    <x v="3"/>
    <n v="301"/>
    <n v="302"/>
    <n v="303"/>
    <n v="304"/>
    <n v="305"/>
    <n v="306"/>
    <n v="307"/>
    <n v="308"/>
    <n v="309"/>
    <n v="310"/>
    <n v="0"/>
    <n v="0"/>
    <x v="0"/>
    <s v=""/>
    <x v="0"/>
    <x v="0"/>
    <n v="309"/>
    <x v="1"/>
    <x v="0"/>
    <x v="0"/>
    <s v="Send cost F"/>
    <m/>
    <m/>
    <m/>
    <m/>
    <m/>
    <m/>
    <m/>
    <m/>
    <m/>
    <m/>
    <s v="Int."/>
    <s v="Gruppo struttura 4"/>
    <m/>
    <m/>
    <m/>
    <m/>
    <s v="Responsabile E"/>
    <m/>
    <m/>
    <m/>
    <m/>
    <m/>
    <m/>
    <m/>
    <m/>
    <m/>
    <m/>
    <m/>
    <m/>
    <m/>
    <n v="301"/>
    <n v="302"/>
    <n v="303"/>
    <n v="304"/>
    <n v="305"/>
    <n v="306"/>
    <n v="307"/>
    <n v="308"/>
    <n v="309"/>
    <n v="310"/>
    <m/>
    <m/>
    <n v="3055"/>
    <m/>
    <d v="2015-06-16T00:00:00"/>
    <m/>
    <m/>
    <m/>
    <d v="2015-06-15T00:00:00"/>
    <d v="2015-07-25T00:00:00"/>
    <m/>
  </r>
  <r>
    <x v="0"/>
    <x v="5"/>
    <x v="0"/>
    <x v="0"/>
    <x v="0"/>
    <x v="0"/>
    <x v="0"/>
    <x v="0"/>
    <x v="0"/>
    <x v="4"/>
    <n v="401"/>
    <n v="402"/>
    <n v="403"/>
    <n v="404"/>
    <n v="405"/>
    <n v="406"/>
    <n v="407"/>
    <n v="408"/>
    <n v="409"/>
    <n v="410"/>
    <n v="0"/>
    <n v="0"/>
    <x v="0"/>
    <s v=""/>
    <x v="0"/>
    <x v="0"/>
    <n v="409"/>
    <x v="1"/>
    <x v="0"/>
    <x v="0"/>
    <s v="Send cost F"/>
    <m/>
    <m/>
    <m/>
    <m/>
    <m/>
    <m/>
    <m/>
    <m/>
    <m/>
    <m/>
    <s v="Int."/>
    <s v="Gruppo struttura 1"/>
    <m/>
    <m/>
    <m/>
    <m/>
    <s v="Responsabile A"/>
    <m/>
    <m/>
    <m/>
    <m/>
    <m/>
    <m/>
    <m/>
    <m/>
    <m/>
    <m/>
    <m/>
    <m/>
    <m/>
    <n v="401"/>
    <n v="402"/>
    <n v="403"/>
    <n v="404"/>
    <n v="405"/>
    <n v="406"/>
    <n v="407"/>
    <n v="408"/>
    <n v="409"/>
    <n v="410"/>
    <m/>
    <m/>
    <n v="4055"/>
    <m/>
    <d v="2015-06-19T00:00:00"/>
    <m/>
    <m/>
    <m/>
    <d v="2015-06-18T00:00:00"/>
    <d v="2015-07-28T00:00:00"/>
    <m/>
  </r>
  <r>
    <x v="0"/>
    <x v="5"/>
    <x v="0"/>
    <x v="0"/>
    <x v="0"/>
    <x v="0"/>
    <x v="0"/>
    <x v="0"/>
    <x v="0"/>
    <x v="5"/>
    <n v="501"/>
    <n v="502"/>
    <n v="503"/>
    <n v="504"/>
    <n v="505"/>
    <n v="506"/>
    <n v="507"/>
    <n v="508"/>
    <n v="509"/>
    <n v="510"/>
    <n v="0"/>
    <n v="0"/>
    <x v="0"/>
    <s v=""/>
    <x v="0"/>
    <x v="0"/>
    <n v="509"/>
    <x v="1"/>
    <x v="0"/>
    <x v="0"/>
    <s v="Send cost F"/>
    <m/>
    <m/>
    <m/>
    <m/>
    <m/>
    <m/>
    <m/>
    <m/>
    <m/>
    <m/>
    <s v="Int."/>
    <s v="Gruppo struttura 1"/>
    <m/>
    <m/>
    <m/>
    <m/>
    <s v="Responsabile D"/>
    <m/>
    <m/>
    <m/>
    <m/>
    <m/>
    <m/>
    <m/>
    <m/>
    <m/>
    <m/>
    <m/>
    <m/>
    <m/>
    <n v="501"/>
    <n v="502"/>
    <n v="503"/>
    <n v="504"/>
    <n v="505"/>
    <n v="506"/>
    <n v="507"/>
    <n v="508"/>
    <n v="509"/>
    <n v="510"/>
    <m/>
    <m/>
    <n v="5055"/>
    <m/>
    <d v="2015-06-22T00:00:00"/>
    <m/>
    <m/>
    <m/>
    <d v="2015-06-21T00:00:00"/>
    <d v="2015-07-31T00:00:00"/>
    <m/>
  </r>
  <r>
    <x v="0"/>
    <x v="5"/>
    <x v="0"/>
    <x v="0"/>
    <x v="0"/>
    <x v="0"/>
    <x v="0"/>
    <x v="0"/>
    <x v="7"/>
    <x v="6"/>
    <n v="601"/>
    <n v="602"/>
    <n v="603"/>
    <n v="604"/>
    <n v="605"/>
    <n v="606"/>
    <n v="607"/>
    <n v="608"/>
    <n v="609"/>
    <n v="610"/>
    <n v="0"/>
    <n v="0"/>
    <x v="0"/>
    <s v=""/>
    <x v="0"/>
    <x v="0"/>
    <n v="609"/>
    <x v="1"/>
    <x v="0"/>
    <x v="0"/>
    <s v="Send cost F"/>
    <m/>
    <m/>
    <m/>
    <m/>
    <m/>
    <m/>
    <m/>
    <m/>
    <m/>
    <m/>
    <s v="Int."/>
    <m/>
    <m/>
    <m/>
    <m/>
    <m/>
    <s v="Responsabile A"/>
    <m/>
    <m/>
    <m/>
    <m/>
    <m/>
    <m/>
    <m/>
    <m/>
    <m/>
    <m/>
    <m/>
    <m/>
    <m/>
    <n v="601"/>
    <n v="602"/>
    <n v="603"/>
    <n v="604"/>
    <n v="605"/>
    <n v="606"/>
    <n v="607"/>
    <n v="608"/>
    <n v="609"/>
    <n v="610"/>
    <m/>
    <m/>
    <n v="6055"/>
    <m/>
    <d v="2015-06-25T00:00:00"/>
    <m/>
    <m/>
    <m/>
    <d v="2015-06-24T00:00:00"/>
    <d v="2015-08-03T00:00:00"/>
    <m/>
  </r>
  <r>
    <x v="0"/>
    <x v="5"/>
    <x v="0"/>
    <x v="0"/>
    <x v="0"/>
    <x v="0"/>
    <x v="0"/>
    <x v="0"/>
    <x v="1"/>
    <x v="0"/>
    <n v="1"/>
    <n v="2"/>
    <n v="3"/>
    <n v="4"/>
    <n v="5"/>
    <n v="6"/>
    <n v="7"/>
    <n v="8"/>
    <n v="9"/>
    <n v="10"/>
    <n v="0"/>
    <n v="0"/>
    <x v="0"/>
    <s v=""/>
    <x v="0"/>
    <x v="0"/>
    <n v="9"/>
    <x v="1"/>
    <x v="0"/>
    <x v="0"/>
    <s v="Send cost F"/>
    <m/>
    <m/>
    <m/>
    <m/>
    <m/>
    <m/>
    <m/>
    <m/>
    <m/>
    <m/>
    <s v="Int."/>
    <s v="Gruppo struttura 2"/>
    <m/>
    <m/>
    <m/>
    <m/>
    <s v="Responsabile A"/>
    <m/>
    <m/>
    <m/>
    <m/>
    <m/>
    <m/>
    <m/>
    <m/>
    <m/>
    <m/>
    <m/>
    <m/>
    <m/>
    <n v="1"/>
    <n v="2"/>
    <n v="3"/>
    <n v="4"/>
    <n v="5"/>
    <n v="6"/>
    <n v="7"/>
    <n v="8"/>
    <n v="9"/>
    <n v="10"/>
    <m/>
    <m/>
    <n v="55"/>
    <m/>
    <d v="2015-06-28T00:00:00"/>
    <m/>
    <m/>
    <m/>
    <d v="2015-06-27T00:00:00"/>
    <d v="2015-08-06T00:00:00"/>
    <m/>
  </r>
  <r>
    <x v="0"/>
    <x v="6"/>
    <x v="0"/>
    <x v="0"/>
    <x v="0"/>
    <x v="0"/>
    <x v="0"/>
    <x v="0"/>
    <x v="0"/>
    <x v="1"/>
    <n v="101"/>
    <n v="102"/>
    <n v="103"/>
    <n v="104"/>
    <n v="105"/>
    <n v="106"/>
    <n v="107"/>
    <n v="108"/>
    <n v="109"/>
    <n v="110"/>
    <n v="0"/>
    <n v="0"/>
    <x v="0"/>
    <s v=""/>
    <x v="0"/>
    <x v="0"/>
    <n v="109"/>
    <x v="1"/>
    <x v="0"/>
    <x v="0"/>
    <s v="Send cost G"/>
    <m/>
    <m/>
    <m/>
    <m/>
    <m/>
    <m/>
    <m/>
    <m/>
    <m/>
    <m/>
    <s v="Int."/>
    <s v="Gruppo struttura 1"/>
    <m/>
    <m/>
    <m/>
    <m/>
    <s v="Responsabile A"/>
    <m/>
    <m/>
    <m/>
    <m/>
    <m/>
    <m/>
    <m/>
    <m/>
    <m/>
    <m/>
    <m/>
    <m/>
    <m/>
    <n v="101"/>
    <n v="102"/>
    <n v="103"/>
    <n v="104"/>
    <n v="105"/>
    <n v="106"/>
    <n v="107"/>
    <n v="108"/>
    <n v="109"/>
    <n v="110"/>
    <m/>
    <m/>
    <n v="1055"/>
    <m/>
    <d v="2015-07-01T00:00:00"/>
    <m/>
    <m/>
    <m/>
    <d v="2015-06-30T00:00:00"/>
    <d v="2015-08-09T00:00:00"/>
    <m/>
  </r>
  <r>
    <x v="0"/>
    <x v="6"/>
    <x v="0"/>
    <x v="0"/>
    <x v="0"/>
    <x v="0"/>
    <x v="0"/>
    <x v="0"/>
    <x v="3"/>
    <x v="2"/>
    <n v="201"/>
    <n v="202"/>
    <n v="203"/>
    <n v="204"/>
    <n v="205"/>
    <n v="206"/>
    <n v="207"/>
    <n v="208"/>
    <n v="209"/>
    <n v="210"/>
    <n v="0"/>
    <n v="0"/>
    <x v="0"/>
    <s v=""/>
    <x v="0"/>
    <x v="0"/>
    <n v="209"/>
    <x v="1"/>
    <x v="0"/>
    <x v="0"/>
    <s v="Send cost G"/>
    <m/>
    <m/>
    <m/>
    <m/>
    <m/>
    <m/>
    <m/>
    <m/>
    <m/>
    <m/>
    <s v="Int."/>
    <s v="Gruppo struttura 3"/>
    <m/>
    <m/>
    <m/>
    <m/>
    <s v="Responsabile A"/>
    <m/>
    <m/>
    <m/>
    <m/>
    <m/>
    <m/>
    <m/>
    <m/>
    <m/>
    <m/>
    <m/>
    <m/>
    <m/>
    <n v="201"/>
    <n v="202"/>
    <n v="203"/>
    <n v="204"/>
    <n v="205"/>
    <n v="206"/>
    <n v="207"/>
    <n v="208"/>
    <n v="209"/>
    <n v="210"/>
    <m/>
    <m/>
    <n v="2055"/>
    <m/>
    <d v="2015-07-04T00:00:00"/>
    <m/>
    <m/>
    <m/>
    <d v="2015-07-03T00:00:00"/>
    <d v="2015-08-12T00:00:00"/>
    <m/>
  </r>
  <r>
    <x v="0"/>
    <x v="6"/>
    <x v="0"/>
    <x v="0"/>
    <x v="0"/>
    <x v="0"/>
    <x v="0"/>
    <x v="0"/>
    <x v="0"/>
    <x v="3"/>
    <n v="301"/>
    <n v="302"/>
    <n v="303"/>
    <n v="304"/>
    <n v="305"/>
    <n v="306"/>
    <n v="307"/>
    <n v="308"/>
    <n v="309"/>
    <n v="310"/>
    <n v="0"/>
    <n v="0"/>
    <x v="0"/>
    <s v=""/>
    <x v="0"/>
    <x v="0"/>
    <n v="309"/>
    <x v="1"/>
    <x v="0"/>
    <x v="0"/>
    <s v="Send cost G"/>
    <m/>
    <m/>
    <m/>
    <m/>
    <m/>
    <m/>
    <m/>
    <m/>
    <m/>
    <m/>
    <s v="Int."/>
    <s v="Gruppo struttura 1"/>
    <m/>
    <m/>
    <m/>
    <m/>
    <s v="Responsabile A"/>
    <m/>
    <m/>
    <m/>
    <m/>
    <m/>
    <m/>
    <m/>
    <m/>
    <m/>
    <m/>
    <m/>
    <m/>
    <m/>
    <n v="301"/>
    <n v="302"/>
    <n v="303"/>
    <n v="304"/>
    <n v="305"/>
    <n v="306"/>
    <n v="307"/>
    <n v="308"/>
    <n v="309"/>
    <n v="310"/>
    <m/>
    <m/>
    <n v="3055"/>
    <m/>
    <d v="2015-07-07T00:00:00"/>
    <m/>
    <m/>
    <m/>
    <d v="2015-07-06T00:00:00"/>
    <d v="2015-08-15T00:00:00"/>
    <m/>
  </r>
  <r>
    <x v="0"/>
    <x v="6"/>
    <x v="0"/>
    <x v="0"/>
    <x v="0"/>
    <x v="0"/>
    <x v="0"/>
    <x v="0"/>
    <x v="0"/>
    <x v="4"/>
    <n v="401"/>
    <n v="402"/>
    <n v="403"/>
    <n v="404"/>
    <n v="405"/>
    <n v="406"/>
    <n v="407"/>
    <n v="408"/>
    <n v="409"/>
    <n v="410"/>
    <n v="0"/>
    <n v="0"/>
    <x v="0"/>
    <s v=""/>
    <x v="0"/>
    <x v="0"/>
    <n v="409"/>
    <x v="1"/>
    <x v="0"/>
    <x v="0"/>
    <s v="Send cost G"/>
    <m/>
    <m/>
    <m/>
    <m/>
    <m/>
    <m/>
    <m/>
    <m/>
    <m/>
    <m/>
    <s v="Int."/>
    <s v="Gruppo struttura 1"/>
    <m/>
    <m/>
    <m/>
    <m/>
    <s v="Responsabile A"/>
    <m/>
    <m/>
    <m/>
    <m/>
    <m/>
    <m/>
    <m/>
    <m/>
    <m/>
    <m/>
    <m/>
    <m/>
    <m/>
    <n v="401"/>
    <n v="402"/>
    <n v="403"/>
    <n v="404"/>
    <n v="405"/>
    <n v="406"/>
    <n v="407"/>
    <n v="408"/>
    <n v="409"/>
    <n v="410"/>
    <m/>
    <m/>
    <n v="4055"/>
    <m/>
    <d v="2015-07-10T00:00:00"/>
    <m/>
    <m/>
    <m/>
    <d v="2015-07-09T00:00:00"/>
    <d v="2015-08-18T00:00:00"/>
    <m/>
  </r>
  <r>
    <x v="0"/>
    <x v="6"/>
    <x v="0"/>
    <x v="0"/>
    <x v="0"/>
    <x v="0"/>
    <x v="0"/>
    <x v="0"/>
    <x v="4"/>
    <x v="5"/>
    <n v="501"/>
    <n v="502"/>
    <n v="503"/>
    <n v="504"/>
    <n v="505"/>
    <n v="506"/>
    <n v="507"/>
    <n v="508"/>
    <n v="509"/>
    <n v="510"/>
    <n v="0"/>
    <n v="0"/>
    <x v="1"/>
    <s v=""/>
    <x v="0"/>
    <x v="0"/>
    <n v="509"/>
    <x v="1"/>
    <x v="0"/>
    <x v="0"/>
    <s v="Send cost G"/>
    <m/>
    <m/>
    <m/>
    <m/>
    <m/>
    <m/>
    <m/>
    <m/>
    <m/>
    <m/>
    <s v="Est."/>
    <s v="Gruppo struttura 6"/>
    <m/>
    <m/>
    <m/>
    <m/>
    <s v="Responsabile A"/>
    <m/>
    <m/>
    <m/>
    <m/>
    <m/>
    <m/>
    <m/>
    <m/>
    <m/>
    <m/>
    <m/>
    <m/>
    <m/>
    <n v="501"/>
    <n v="502"/>
    <n v="503"/>
    <n v="504"/>
    <n v="505"/>
    <n v="506"/>
    <n v="507"/>
    <n v="508"/>
    <n v="509"/>
    <n v="510"/>
    <m/>
    <m/>
    <n v="5055"/>
    <m/>
    <d v="2015-07-13T00:00:00"/>
    <m/>
    <m/>
    <m/>
    <d v="2015-07-12T00:00:00"/>
    <d v="2015-08-21T00:00:00"/>
    <m/>
  </r>
  <r>
    <x v="0"/>
    <x v="6"/>
    <x v="0"/>
    <x v="0"/>
    <x v="0"/>
    <x v="0"/>
    <x v="0"/>
    <x v="0"/>
    <x v="0"/>
    <x v="6"/>
    <n v="601"/>
    <n v="602"/>
    <n v="603"/>
    <n v="604"/>
    <n v="605"/>
    <n v="606"/>
    <n v="607"/>
    <n v="608"/>
    <n v="609"/>
    <n v="610"/>
    <n v="0"/>
    <n v="0"/>
    <x v="1"/>
    <s v=""/>
    <x v="0"/>
    <x v="0"/>
    <n v="609"/>
    <x v="1"/>
    <x v="0"/>
    <x v="0"/>
    <s v="Send cost G"/>
    <m/>
    <m/>
    <m/>
    <m/>
    <m/>
    <m/>
    <m/>
    <m/>
    <m/>
    <m/>
    <s v="Est."/>
    <s v="Gruppo struttura 1"/>
    <m/>
    <m/>
    <m/>
    <m/>
    <s v="Responsabile A"/>
    <m/>
    <m/>
    <m/>
    <m/>
    <m/>
    <m/>
    <m/>
    <m/>
    <m/>
    <m/>
    <m/>
    <m/>
    <m/>
    <n v="601"/>
    <n v="602"/>
    <n v="603"/>
    <n v="604"/>
    <n v="605"/>
    <n v="606"/>
    <n v="607"/>
    <n v="608"/>
    <n v="609"/>
    <n v="610"/>
    <m/>
    <m/>
    <n v="6055"/>
    <m/>
    <d v="2015-07-16T00:00:00"/>
    <m/>
    <m/>
    <m/>
    <d v="2015-07-15T00:00:00"/>
    <d v="2015-08-24T00:00:00"/>
    <m/>
  </r>
  <r>
    <x v="0"/>
    <x v="6"/>
    <x v="0"/>
    <x v="0"/>
    <x v="0"/>
    <x v="0"/>
    <x v="0"/>
    <x v="0"/>
    <x v="3"/>
    <x v="0"/>
    <n v="1"/>
    <n v="2"/>
    <n v="3"/>
    <n v="4"/>
    <n v="5"/>
    <n v="6"/>
    <n v="7"/>
    <n v="8"/>
    <n v="9"/>
    <n v="10"/>
    <n v="0"/>
    <n v="0"/>
    <x v="1"/>
    <s v=""/>
    <x v="0"/>
    <x v="0"/>
    <n v="9"/>
    <x v="1"/>
    <x v="0"/>
    <x v="0"/>
    <s v="Send cost G"/>
    <m/>
    <m/>
    <m/>
    <m/>
    <m/>
    <m/>
    <m/>
    <m/>
    <m/>
    <m/>
    <s v="Est."/>
    <s v="Gruppo struttura 3"/>
    <m/>
    <m/>
    <m/>
    <m/>
    <s v="Responsabile E"/>
    <m/>
    <m/>
    <m/>
    <m/>
    <m/>
    <m/>
    <m/>
    <m/>
    <m/>
    <m/>
    <m/>
    <m/>
    <m/>
    <n v="1"/>
    <n v="2"/>
    <n v="3"/>
    <n v="4"/>
    <n v="5"/>
    <n v="6"/>
    <n v="7"/>
    <n v="8"/>
    <n v="9"/>
    <n v="10"/>
    <m/>
    <m/>
    <n v="55"/>
    <m/>
    <d v="2015-07-19T00:00:00"/>
    <m/>
    <m/>
    <m/>
    <d v="2015-07-18T00:00:00"/>
    <d v="2015-08-27T00:00:00"/>
    <m/>
  </r>
  <r>
    <x v="0"/>
    <x v="6"/>
    <x v="0"/>
    <x v="0"/>
    <x v="0"/>
    <x v="0"/>
    <x v="0"/>
    <x v="0"/>
    <x v="3"/>
    <x v="1"/>
    <n v="101"/>
    <n v="102"/>
    <n v="103"/>
    <n v="104"/>
    <n v="105"/>
    <n v="106"/>
    <n v="107"/>
    <n v="108"/>
    <n v="109"/>
    <n v="110"/>
    <n v="0"/>
    <n v="0"/>
    <x v="1"/>
    <s v=""/>
    <x v="0"/>
    <x v="0"/>
    <n v="109"/>
    <x v="1"/>
    <x v="0"/>
    <x v="0"/>
    <s v="Send cost G"/>
    <m/>
    <m/>
    <m/>
    <m/>
    <m/>
    <m/>
    <m/>
    <m/>
    <m/>
    <m/>
    <s v="Est."/>
    <s v="Gruppo struttura 3"/>
    <m/>
    <m/>
    <m/>
    <m/>
    <s v="Responsabile D"/>
    <m/>
    <m/>
    <m/>
    <m/>
    <m/>
    <m/>
    <m/>
    <m/>
    <m/>
    <m/>
    <m/>
    <m/>
    <m/>
    <n v="101"/>
    <n v="102"/>
    <n v="103"/>
    <n v="104"/>
    <n v="105"/>
    <n v="106"/>
    <n v="107"/>
    <n v="108"/>
    <n v="109"/>
    <n v="110"/>
    <m/>
    <m/>
    <n v="1055"/>
    <m/>
    <d v="2015-07-22T00:00:00"/>
    <m/>
    <m/>
    <m/>
    <d v="2015-07-21T00:00:00"/>
    <d v="2015-08-30T00:00:00"/>
    <m/>
  </r>
  <r>
    <x v="0"/>
    <x v="6"/>
    <x v="0"/>
    <x v="0"/>
    <x v="0"/>
    <x v="0"/>
    <x v="0"/>
    <x v="0"/>
    <x v="0"/>
    <x v="2"/>
    <n v="201"/>
    <n v="202"/>
    <n v="203"/>
    <n v="204"/>
    <n v="205"/>
    <n v="206"/>
    <n v="207"/>
    <n v="208"/>
    <n v="209"/>
    <n v="210"/>
    <n v="0"/>
    <n v="0"/>
    <x v="1"/>
    <s v=""/>
    <x v="0"/>
    <x v="0"/>
    <n v="209"/>
    <x v="1"/>
    <x v="0"/>
    <x v="0"/>
    <s v="Send cost G"/>
    <m/>
    <m/>
    <m/>
    <m/>
    <m/>
    <m/>
    <m/>
    <m/>
    <m/>
    <m/>
    <s v="Est."/>
    <s v="Gruppo struttura 1"/>
    <m/>
    <m/>
    <m/>
    <m/>
    <s v="Responsabile A"/>
    <m/>
    <m/>
    <m/>
    <m/>
    <m/>
    <m/>
    <m/>
    <m/>
    <m/>
    <m/>
    <m/>
    <m/>
    <m/>
    <n v="201"/>
    <n v="202"/>
    <n v="203"/>
    <n v="204"/>
    <n v="205"/>
    <n v="206"/>
    <n v="207"/>
    <n v="208"/>
    <n v="209"/>
    <n v="210"/>
    <m/>
    <m/>
    <n v="2055"/>
    <m/>
    <d v="2015-07-25T00:00:00"/>
    <m/>
    <m/>
    <m/>
    <d v="2015-07-24T00:00:00"/>
    <d v="2015-09-02T00:00:00"/>
    <m/>
  </r>
  <r>
    <x v="0"/>
    <x v="6"/>
    <x v="0"/>
    <x v="0"/>
    <x v="0"/>
    <x v="0"/>
    <x v="0"/>
    <x v="0"/>
    <x v="5"/>
    <x v="3"/>
    <n v="301"/>
    <n v="302"/>
    <n v="303"/>
    <n v="304"/>
    <n v="305"/>
    <n v="306"/>
    <n v="307"/>
    <n v="308"/>
    <n v="309"/>
    <n v="310"/>
    <n v="0"/>
    <n v="0"/>
    <x v="1"/>
    <s v=""/>
    <x v="0"/>
    <x v="0"/>
    <n v="309"/>
    <x v="1"/>
    <x v="0"/>
    <x v="0"/>
    <s v="Send cost G"/>
    <m/>
    <m/>
    <m/>
    <m/>
    <m/>
    <m/>
    <m/>
    <m/>
    <m/>
    <m/>
    <s v="Est."/>
    <s v="Gruppo struttura 5"/>
    <m/>
    <m/>
    <m/>
    <m/>
    <s v="Responsabile A"/>
    <m/>
    <m/>
    <m/>
    <m/>
    <m/>
    <m/>
    <m/>
    <m/>
    <m/>
    <m/>
    <m/>
    <m/>
    <m/>
    <n v="301"/>
    <n v="302"/>
    <n v="303"/>
    <n v="304"/>
    <n v="305"/>
    <n v="306"/>
    <n v="307"/>
    <n v="308"/>
    <n v="309"/>
    <n v="310"/>
    <m/>
    <m/>
    <n v="3055"/>
    <m/>
    <d v="2015-07-28T00:00:00"/>
    <m/>
    <m/>
    <m/>
    <d v="2015-07-27T00:00:00"/>
    <d v="2015-09-05T00:00:00"/>
    <m/>
  </r>
  <r>
    <x v="0"/>
    <x v="7"/>
    <x v="0"/>
    <x v="0"/>
    <x v="0"/>
    <x v="0"/>
    <x v="0"/>
    <x v="0"/>
    <x v="0"/>
    <x v="4"/>
    <n v="401"/>
    <n v="402"/>
    <n v="403"/>
    <n v="404"/>
    <n v="405"/>
    <n v="406"/>
    <n v="407"/>
    <n v="408"/>
    <n v="409"/>
    <n v="410"/>
    <n v="0"/>
    <n v="0"/>
    <x v="0"/>
    <s v=""/>
    <x v="0"/>
    <x v="0"/>
    <n v="409"/>
    <x v="1"/>
    <x v="0"/>
    <x v="0"/>
    <s v="Send cost H"/>
    <m/>
    <m/>
    <m/>
    <m/>
    <m/>
    <m/>
    <m/>
    <m/>
    <m/>
    <m/>
    <s v="Int."/>
    <s v="Gruppo struttura 1"/>
    <m/>
    <m/>
    <m/>
    <m/>
    <s v="Responsabile B"/>
    <m/>
    <m/>
    <m/>
    <m/>
    <m/>
    <m/>
    <m/>
    <m/>
    <m/>
    <m/>
    <m/>
    <m/>
    <m/>
    <n v="401"/>
    <n v="402"/>
    <n v="403"/>
    <n v="404"/>
    <n v="405"/>
    <n v="406"/>
    <n v="407"/>
    <n v="408"/>
    <n v="409"/>
    <n v="410"/>
    <m/>
    <m/>
    <n v="4055"/>
    <m/>
    <d v="2015-07-31T00:00:00"/>
    <m/>
    <m/>
    <m/>
    <d v="2015-07-30T00:00:00"/>
    <d v="2015-09-08T00:00:00"/>
    <m/>
  </r>
  <r>
    <x v="0"/>
    <x v="7"/>
    <x v="0"/>
    <x v="0"/>
    <x v="0"/>
    <x v="0"/>
    <x v="0"/>
    <x v="0"/>
    <x v="0"/>
    <x v="5"/>
    <n v="501"/>
    <n v="502"/>
    <n v="503"/>
    <n v="504"/>
    <n v="505"/>
    <n v="506"/>
    <n v="507"/>
    <n v="508"/>
    <n v="509"/>
    <n v="510"/>
    <n v="0"/>
    <n v="0"/>
    <x v="0"/>
    <s v=""/>
    <x v="0"/>
    <x v="0"/>
    <n v="509"/>
    <x v="1"/>
    <x v="0"/>
    <x v="0"/>
    <s v="Send cost H"/>
    <m/>
    <m/>
    <m/>
    <m/>
    <m/>
    <m/>
    <m/>
    <m/>
    <m/>
    <m/>
    <s v="Int."/>
    <s v="Gruppo struttura 1"/>
    <m/>
    <m/>
    <m/>
    <m/>
    <s v="Responsabile A"/>
    <m/>
    <m/>
    <m/>
    <m/>
    <m/>
    <m/>
    <m/>
    <m/>
    <m/>
    <m/>
    <m/>
    <m/>
    <m/>
    <n v="501"/>
    <n v="502"/>
    <n v="503"/>
    <n v="504"/>
    <n v="505"/>
    <n v="506"/>
    <n v="507"/>
    <n v="508"/>
    <n v="509"/>
    <n v="510"/>
    <m/>
    <m/>
    <n v="5055"/>
    <m/>
    <d v="2015-08-03T00:00:00"/>
    <m/>
    <m/>
    <m/>
    <d v="2015-08-02T00:00:00"/>
    <d v="2015-09-11T00:00:00"/>
    <m/>
  </r>
  <r>
    <x v="0"/>
    <x v="7"/>
    <x v="0"/>
    <x v="0"/>
    <x v="0"/>
    <x v="0"/>
    <x v="0"/>
    <x v="0"/>
    <x v="0"/>
    <x v="6"/>
    <n v="601"/>
    <n v="602"/>
    <n v="603"/>
    <n v="604"/>
    <n v="605"/>
    <n v="606"/>
    <n v="607"/>
    <n v="608"/>
    <n v="609"/>
    <n v="610"/>
    <n v="0"/>
    <n v="0"/>
    <x v="0"/>
    <s v=""/>
    <x v="0"/>
    <x v="0"/>
    <n v="609"/>
    <x v="1"/>
    <x v="0"/>
    <x v="0"/>
    <s v="Send cost H"/>
    <m/>
    <m/>
    <m/>
    <m/>
    <m/>
    <m/>
    <m/>
    <m/>
    <m/>
    <m/>
    <s v="Int."/>
    <s v="Gruppo struttura 1"/>
    <m/>
    <m/>
    <m/>
    <m/>
    <s v="Responsabile E"/>
    <m/>
    <m/>
    <m/>
    <m/>
    <m/>
    <m/>
    <m/>
    <m/>
    <m/>
    <m/>
    <m/>
    <m/>
    <m/>
    <n v="601"/>
    <n v="602"/>
    <n v="603"/>
    <n v="604"/>
    <n v="605"/>
    <n v="606"/>
    <n v="607"/>
    <n v="608"/>
    <n v="609"/>
    <n v="610"/>
    <m/>
    <m/>
    <n v="6055"/>
    <m/>
    <d v="2015-08-06T00:00:00"/>
    <m/>
    <m/>
    <m/>
    <d v="2015-08-05T00:00:00"/>
    <d v="2015-09-14T00:00:00"/>
    <m/>
  </r>
  <r>
    <x v="0"/>
    <x v="7"/>
    <x v="0"/>
    <x v="0"/>
    <x v="0"/>
    <x v="0"/>
    <x v="0"/>
    <x v="0"/>
    <x v="4"/>
    <x v="0"/>
    <n v="1"/>
    <n v="2"/>
    <n v="3"/>
    <n v="4"/>
    <n v="5"/>
    <n v="6"/>
    <n v="7"/>
    <n v="8"/>
    <n v="9"/>
    <n v="10"/>
    <n v="0"/>
    <n v="0"/>
    <x v="0"/>
    <s v=""/>
    <x v="0"/>
    <x v="0"/>
    <n v="9"/>
    <x v="1"/>
    <x v="0"/>
    <x v="0"/>
    <s v="Send cost H"/>
    <m/>
    <m/>
    <m/>
    <m/>
    <m/>
    <m/>
    <m/>
    <m/>
    <m/>
    <m/>
    <s v="Int."/>
    <s v="Gruppo struttura 6"/>
    <m/>
    <m/>
    <m/>
    <m/>
    <s v="Responsabile A"/>
    <m/>
    <m/>
    <m/>
    <m/>
    <m/>
    <m/>
    <m/>
    <m/>
    <m/>
    <m/>
    <m/>
    <m/>
    <m/>
    <n v="1"/>
    <n v="2"/>
    <n v="3"/>
    <n v="4"/>
    <n v="5"/>
    <n v="6"/>
    <n v="7"/>
    <n v="8"/>
    <n v="9"/>
    <n v="10"/>
    <m/>
    <m/>
    <n v="55"/>
    <m/>
    <d v="2015-08-09T00:00:00"/>
    <m/>
    <m/>
    <m/>
    <d v="2015-08-08T00:00:00"/>
    <d v="2015-09-17T00:00:00"/>
    <m/>
  </r>
  <r>
    <x v="0"/>
    <x v="7"/>
    <x v="0"/>
    <x v="0"/>
    <x v="0"/>
    <x v="0"/>
    <x v="0"/>
    <x v="0"/>
    <x v="1"/>
    <x v="1"/>
    <n v="101"/>
    <n v="102"/>
    <n v="103"/>
    <n v="104"/>
    <n v="105"/>
    <n v="106"/>
    <n v="107"/>
    <n v="108"/>
    <n v="109"/>
    <n v="110"/>
    <n v="0"/>
    <n v="0"/>
    <x v="1"/>
    <s v=""/>
    <x v="0"/>
    <x v="0"/>
    <n v="109"/>
    <x v="1"/>
    <x v="0"/>
    <x v="0"/>
    <s v="Send cost H"/>
    <m/>
    <m/>
    <m/>
    <m/>
    <m/>
    <m/>
    <m/>
    <m/>
    <m/>
    <m/>
    <s v="Est."/>
    <s v="Gruppo struttura 2"/>
    <m/>
    <m/>
    <m/>
    <m/>
    <s v="Responsabile A"/>
    <m/>
    <m/>
    <m/>
    <m/>
    <m/>
    <m/>
    <m/>
    <m/>
    <m/>
    <m/>
    <m/>
    <m/>
    <m/>
    <n v="101"/>
    <n v="102"/>
    <n v="103"/>
    <n v="104"/>
    <n v="105"/>
    <n v="106"/>
    <n v="107"/>
    <n v="108"/>
    <n v="109"/>
    <n v="110"/>
    <m/>
    <m/>
    <n v="1055"/>
    <m/>
    <d v="2015-08-12T00:00:00"/>
    <m/>
    <m/>
    <m/>
    <d v="2015-08-11T00:00:00"/>
    <d v="2015-09-20T00:00:00"/>
    <m/>
  </r>
  <r>
    <x v="0"/>
    <x v="7"/>
    <x v="0"/>
    <x v="0"/>
    <x v="0"/>
    <x v="0"/>
    <x v="0"/>
    <x v="0"/>
    <x v="1"/>
    <x v="2"/>
    <n v="201"/>
    <n v="202"/>
    <n v="203"/>
    <n v="204"/>
    <n v="205"/>
    <n v="206"/>
    <n v="207"/>
    <n v="208"/>
    <n v="209"/>
    <n v="210"/>
    <n v="0"/>
    <n v="0"/>
    <x v="1"/>
    <s v=""/>
    <x v="0"/>
    <x v="0"/>
    <n v="209"/>
    <x v="1"/>
    <x v="0"/>
    <x v="0"/>
    <s v="Send cost H"/>
    <m/>
    <m/>
    <m/>
    <m/>
    <m/>
    <m/>
    <m/>
    <m/>
    <m/>
    <m/>
    <s v="Est."/>
    <s v="Gruppo struttura 2"/>
    <m/>
    <m/>
    <m/>
    <m/>
    <s v="Responsabile A"/>
    <m/>
    <m/>
    <m/>
    <m/>
    <m/>
    <m/>
    <m/>
    <m/>
    <m/>
    <m/>
    <m/>
    <m/>
    <m/>
    <n v="201"/>
    <n v="202"/>
    <n v="203"/>
    <n v="204"/>
    <n v="205"/>
    <n v="206"/>
    <n v="207"/>
    <n v="208"/>
    <n v="209"/>
    <n v="210"/>
    <m/>
    <m/>
    <n v="2055"/>
    <m/>
    <d v="2015-08-15T00:00:00"/>
    <m/>
    <m/>
    <m/>
    <d v="2015-08-14T00:00:00"/>
    <d v="2015-09-23T00:00:00"/>
    <m/>
  </r>
  <r>
    <x v="0"/>
    <x v="7"/>
    <x v="0"/>
    <x v="0"/>
    <x v="0"/>
    <x v="0"/>
    <x v="0"/>
    <x v="0"/>
    <x v="0"/>
    <x v="3"/>
    <n v="301"/>
    <n v="302"/>
    <n v="303"/>
    <n v="304"/>
    <n v="305"/>
    <n v="306"/>
    <n v="307"/>
    <n v="308"/>
    <n v="309"/>
    <n v="310"/>
    <n v="0"/>
    <n v="0"/>
    <x v="1"/>
    <s v=""/>
    <x v="0"/>
    <x v="0"/>
    <n v="309"/>
    <x v="1"/>
    <x v="0"/>
    <x v="0"/>
    <s v="Send cost H"/>
    <m/>
    <m/>
    <m/>
    <m/>
    <m/>
    <m/>
    <m/>
    <m/>
    <m/>
    <m/>
    <s v="Est."/>
    <s v="Gruppo struttura 1"/>
    <m/>
    <m/>
    <m/>
    <m/>
    <s v="Responsabile A"/>
    <m/>
    <m/>
    <m/>
    <m/>
    <m/>
    <m/>
    <m/>
    <m/>
    <m/>
    <m/>
    <m/>
    <m/>
    <m/>
    <n v="301"/>
    <n v="302"/>
    <n v="303"/>
    <n v="304"/>
    <n v="305"/>
    <n v="306"/>
    <n v="307"/>
    <n v="308"/>
    <n v="309"/>
    <n v="310"/>
    <m/>
    <m/>
    <n v="3055"/>
    <m/>
    <d v="2015-08-18T00:00:00"/>
    <m/>
    <m/>
    <m/>
    <d v="2015-08-17T00:00:00"/>
    <d v="2015-09-26T00:00:00"/>
    <m/>
  </r>
  <r>
    <x v="0"/>
    <x v="7"/>
    <x v="0"/>
    <x v="0"/>
    <x v="0"/>
    <x v="0"/>
    <x v="0"/>
    <x v="0"/>
    <x v="0"/>
    <x v="4"/>
    <n v="401"/>
    <n v="402"/>
    <n v="403"/>
    <n v="404"/>
    <n v="405"/>
    <n v="406"/>
    <n v="407"/>
    <n v="408"/>
    <n v="409"/>
    <n v="410"/>
    <n v="0"/>
    <n v="0"/>
    <x v="0"/>
    <s v=""/>
    <x v="0"/>
    <x v="0"/>
    <n v="409"/>
    <x v="1"/>
    <x v="0"/>
    <x v="0"/>
    <s v="Send cost H"/>
    <m/>
    <m/>
    <m/>
    <m/>
    <m/>
    <m/>
    <m/>
    <m/>
    <m/>
    <m/>
    <s v="Int."/>
    <s v="Gruppo struttura 1"/>
    <m/>
    <m/>
    <m/>
    <m/>
    <s v="Responsabile A"/>
    <m/>
    <m/>
    <m/>
    <m/>
    <m/>
    <m/>
    <m/>
    <m/>
    <m/>
    <m/>
    <m/>
    <m/>
    <m/>
    <n v="401"/>
    <n v="402"/>
    <n v="403"/>
    <n v="404"/>
    <n v="405"/>
    <n v="406"/>
    <n v="407"/>
    <n v="408"/>
    <n v="409"/>
    <n v="410"/>
    <m/>
    <m/>
    <n v="4055"/>
    <m/>
    <d v="2015-08-21T00:00:00"/>
    <m/>
    <m/>
    <m/>
    <d v="2015-08-20T00:00:00"/>
    <d v="2015-09-29T00:00:00"/>
    <m/>
  </r>
  <r>
    <x v="0"/>
    <x v="7"/>
    <x v="0"/>
    <x v="0"/>
    <x v="0"/>
    <x v="0"/>
    <x v="0"/>
    <x v="0"/>
    <x v="0"/>
    <x v="5"/>
    <n v="501"/>
    <n v="502"/>
    <n v="503"/>
    <n v="504"/>
    <n v="505"/>
    <n v="506"/>
    <n v="507"/>
    <n v="508"/>
    <n v="509"/>
    <n v="510"/>
    <n v="0"/>
    <n v="0"/>
    <x v="1"/>
    <s v=""/>
    <x v="0"/>
    <x v="0"/>
    <n v="509"/>
    <x v="1"/>
    <x v="0"/>
    <x v="0"/>
    <s v="Send cost H"/>
    <m/>
    <m/>
    <m/>
    <m/>
    <m/>
    <m/>
    <m/>
    <m/>
    <m/>
    <m/>
    <s v="Est."/>
    <s v="Gruppo struttura 1"/>
    <m/>
    <m/>
    <m/>
    <m/>
    <s v="Responsabile A"/>
    <m/>
    <m/>
    <m/>
    <m/>
    <m/>
    <m/>
    <m/>
    <m/>
    <m/>
    <m/>
    <m/>
    <m/>
    <m/>
    <n v="501"/>
    <n v="502"/>
    <n v="503"/>
    <n v="504"/>
    <n v="505"/>
    <n v="506"/>
    <n v="507"/>
    <n v="508"/>
    <n v="509"/>
    <n v="510"/>
    <m/>
    <m/>
    <n v="5055"/>
    <m/>
    <d v="2015-08-24T00:00:00"/>
    <m/>
    <m/>
    <m/>
    <d v="2015-08-23T00:00:00"/>
    <d v="2015-10-02T00:00:00"/>
    <m/>
  </r>
  <r>
    <x v="0"/>
    <x v="7"/>
    <x v="0"/>
    <x v="0"/>
    <x v="0"/>
    <x v="0"/>
    <x v="0"/>
    <x v="0"/>
    <x v="5"/>
    <x v="6"/>
    <n v="601"/>
    <n v="602"/>
    <n v="603"/>
    <n v="604"/>
    <n v="605"/>
    <n v="606"/>
    <n v="607"/>
    <n v="608"/>
    <n v="609"/>
    <n v="610"/>
    <n v="0"/>
    <n v="0"/>
    <x v="1"/>
    <s v=""/>
    <x v="0"/>
    <x v="0"/>
    <n v="609"/>
    <x v="1"/>
    <x v="0"/>
    <x v="0"/>
    <s v="Send cost H"/>
    <m/>
    <m/>
    <m/>
    <m/>
    <m/>
    <m/>
    <m/>
    <m/>
    <m/>
    <m/>
    <s v="Est."/>
    <s v="Gruppo struttura 5"/>
    <m/>
    <m/>
    <m/>
    <m/>
    <s v="Responsabile B"/>
    <m/>
    <m/>
    <m/>
    <m/>
    <m/>
    <m/>
    <m/>
    <m/>
    <m/>
    <m/>
    <m/>
    <m/>
    <m/>
    <n v="601"/>
    <n v="602"/>
    <n v="603"/>
    <n v="604"/>
    <n v="605"/>
    <n v="606"/>
    <n v="607"/>
    <n v="608"/>
    <n v="609"/>
    <n v="610"/>
    <m/>
    <m/>
    <n v="6055"/>
    <m/>
    <d v="2015-08-27T00:00:00"/>
    <m/>
    <m/>
    <m/>
    <d v="2015-08-26T00:00:00"/>
    <d v="2015-10-05T00:00:00"/>
    <m/>
  </r>
  <r>
    <x v="0"/>
    <x v="8"/>
    <x v="0"/>
    <x v="0"/>
    <x v="0"/>
    <x v="0"/>
    <x v="0"/>
    <x v="0"/>
    <x v="0"/>
    <x v="0"/>
    <n v="1"/>
    <n v="2"/>
    <n v="3"/>
    <n v="4"/>
    <n v="5"/>
    <n v="6"/>
    <n v="7"/>
    <n v="8"/>
    <n v="9"/>
    <n v="10"/>
    <n v="0"/>
    <n v="0"/>
    <x v="1"/>
    <s v=""/>
    <x v="0"/>
    <x v="0"/>
    <n v="9"/>
    <x v="1"/>
    <x v="0"/>
    <x v="0"/>
    <s v="Send cost I"/>
    <m/>
    <m/>
    <m/>
    <m/>
    <m/>
    <m/>
    <m/>
    <m/>
    <m/>
    <m/>
    <s v="Est."/>
    <s v="Gruppo struttura 1"/>
    <m/>
    <m/>
    <m/>
    <m/>
    <s v="Responsabile A"/>
    <m/>
    <m/>
    <m/>
    <m/>
    <m/>
    <m/>
    <m/>
    <m/>
    <m/>
    <m/>
    <m/>
    <m/>
    <m/>
    <n v="1"/>
    <n v="2"/>
    <n v="3"/>
    <n v="4"/>
    <n v="5"/>
    <n v="6"/>
    <n v="7"/>
    <n v="8"/>
    <n v="9"/>
    <n v="10"/>
    <m/>
    <m/>
    <n v="55"/>
    <m/>
    <d v="2015-08-30T00:00:00"/>
    <m/>
    <m/>
    <m/>
    <d v="2015-08-29T00:00:00"/>
    <d v="2015-10-08T00:00:00"/>
    <m/>
  </r>
  <r>
    <x v="0"/>
    <x v="8"/>
    <x v="0"/>
    <x v="0"/>
    <x v="0"/>
    <x v="0"/>
    <x v="0"/>
    <x v="0"/>
    <x v="9"/>
    <x v="1"/>
    <n v="101"/>
    <n v="102"/>
    <n v="103"/>
    <n v="104"/>
    <n v="105"/>
    <n v="106"/>
    <n v="107"/>
    <n v="108"/>
    <n v="109"/>
    <n v="110"/>
    <n v="0"/>
    <n v="0"/>
    <x v="1"/>
    <s v=""/>
    <x v="0"/>
    <x v="0"/>
    <n v="109"/>
    <x v="1"/>
    <x v="0"/>
    <x v="0"/>
    <s v="Send cost I"/>
    <m/>
    <m/>
    <m/>
    <m/>
    <m/>
    <m/>
    <m/>
    <m/>
    <m/>
    <m/>
    <s v="Est."/>
    <m/>
    <m/>
    <m/>
    <m/>
    <m/>
    <s v="Responsabile C"/>
    <m/>
    <m/>
    <m/>
    <m/>
    <m/>
    <m/>
    <m/>
    <m/>
    <m/>
    <m/>
    <m/>
    <m/>
    <m/>
    <n v="101"/>
    <n v="102"/>
    <n v="103"/>
    <n v="104"/>
    <n v="105"/>
    <n v="106"/>
    <n v="107"/>
    <n v="108"/>
    <n v="109"/>
    <n v="110"/>
    <m/>
    <m/>
    <n v="1055"/>
    <m/>
    <d v="2015-09-02T00:00:00"/>
    <m/>
    <m/>
    <m/>
    <d v="2015-09-01T00:00:00"/>
    <d v="2015-10-11T00:00:00"/>
    <m/>
  </r>
  <r>
    <x v="0"/>
    <x v="8"/>
    <x v="0"/>
    <x v="0"/>
    <x v="0"/>
    <x v="0"/>
    <x v="0"/>
    <x v="0"/>
    <x v="1"/>
    <x v="2"/>
    <n v="201"/>
    <n v="202"/>
    <n v="203"/>
    <n v="204"/>
    <n v="205"/>
    <n v="206"/>
    <n v="207"/>
    <n v="208"/>
    <n v="209"/>
    <n v="210"/>
    <n v="0"/>
    <n v="0"/>
    <x v="0"/>
    <s v=""/>
    <x v="0"/>
    <x v="0"/>
    <n v="209"/>
    <x v="1"/>
    <x v="0"/>
    <x v="0"/>
    <s v="Send cost I"/>
    <m/>
    <m/>
    <m/>
    <m/>
    <m/>
    <m/>
    <m/>
    <m/>
    <m/>
    <m/>
    <s v="Int."/>
    <s v="Gruppo struttura 2"/>
    <m/>
    <m/>
    <m/>
    <m/>
    <s v="Responsabile A"/>
    <m/>
    <m/>
    <m/>
    <m/>
    <m/>
    <m/>
    <m/>
    <m/>
    <m/>
    <m/>
    <m/>
    <m/>
    <m/>
    <n v="201"/>
    <n v="202"/>
    <n v="203"/>
    <n v="204"/>
    <n v="205"/>
    <n v="206"/>
    <n v="207"/>
    <n v="208"/>
    <n v="209"/>
    <n v="210"/>
    <m/>
    <m/>
    <n v="2055"/>
    <m/>
    <d v="2015-09-05T00:00:00"/>
    <m/>
    <m/>
    <m/>
    <d v="2015-09-04T00:00:00"/>
    <d v="2015-10-14T00:00:00"/>
    <m/>
  </r>
  <r>
    <x v="0"/>
    <x v="8"/>
    <x v="0"/>
    <x v="0"/>
    <x v="0"/>
    <x v="0"/>
    <x v="0"/>
    <x v="0"/>
    <x v="3"/>
    <x v="3"/>
    <n v="301"/>
    <n v="302"/>
    <n v="303"/>
    <n v="304"/>
    <n v="305"/>
    <n v="306"/>
    <n v="307"/>
    <n v="308"/>
    <n v="309"/>
    <n v="310"/>
    <n v="0"/>
    <n v="0"/>
    <x v="1"/>
    <s v=""/>
    <x v="0"/>
    <x v="0"/>
    <n v="309"/>
    <x v="1"/>
    <x v="0"/>
    <x v="0"/>
    <s v="Send cost I"/>
    <m/>
    <m/>
    <m/>
    <m/>
    <m/>
    <m/>
    <m/>
    <m/>
    <m/>
    <m/>
    <s v="Est."/>
    <s v="Gruppo struttura 3"/>
    <m/>
    <m/>
    <m/>
    <m/>
    <s v="Responsabile A"/>
    <m/>
    <m/>
    <m/>
    <m/>
    <m/>
    <m/>
    <m/>
    <m/>
    <m/>
    <m/>
    <m/>
    <m/>
    <m/>
    <n v="301"/>
    <n v="302"/>
    <n v="303"/>
    <n v="304"/>
    <n v="305"/>
    <n v="306"/>
    <n v="307"/>
    <n v="308"/>
    <n v="309"/>
    <n v="310"/>
    <m/>
    <m/>
    <n v="3055"/>
    <m/>
    <d v="2015-09-08T00:00:00"/>
    <m/>
    <m/>
    <m/>
    <d v="2015-09-07T00:00:00"/>
    <d v="2015-10-17T00:00:00"/>
    <m/>
  </r>
  <r>
    <x v="0"/>
    <x v="8"/>
    <x v="0"/>
    <x v="0"/>
    <x v="0"/>
    <x v="0"/>
    <x v="0"/>
    <x v="0"/>
    <x v="0"/>
    <x v="4"/>
    <n v="401"/>
    <n v="402"/>
    <n v="403"/>
    <n v="404"/>
    <n v="405"/>
    <n v="406"/>
    <n v="407"/>
    <n v="408"/>
    <n v="409"/>
    <n v="410"/>
    <n v="0"/>
    <n v="0"/>
    <x v="1"/>
    <s v=""/>
    <x v="0"/>
    <x v="0"/>
    <n v="409"/>
    <x v="1"/>
    <x v="0"/>
    <x v="0"/>
    <s v="Send cost I"/>
    <m/>
    <m/>
    <m/>
    <m/>
    <m/>
    <m/>
    <m/>
    <m/>
    <m/>
    <m/>
    <s v="Est."/>
    <s v="Gruppo struttura 1"/>
    <m/>
    <m/>
    <m/>
    <m/>
    <s v="Responsabile A"/>
    <m/>
    <m/>
    <m/>
    <m/>
    <m/>
    <m/>
    <m/>
    <m/>
    <m/>
    <m/>
    <m/>
    <m/>
    <m/>
    <n v="401"/>
    <n v="402"/>
    <n v="403"/>
    <n v="404"/>
    <n v="405"/>
    <n v="406"/>
    <n v="407"/>
    <n v="408"/>
    <n v="409"/>
    <n v="410"/>
    <m/>
    <m/>
    <n v="4055"/>
    <m/>
    <d v="2015-09-11T00:00:00"/>
    <m/>
    <m/>
    <m/>
    <d v="2015-09-10T00:00:00"/>
    <d v="2015-10-20T00:00:00"/>
    <m/>
  </r>
  <r>
    <x v="0"/>
    <x v="8"/>
    <x v="0"/>
    <x v="0"/>
    <x v="0"/>
    <x v="0"/>
    <x v="0"/>
    <x v="0"/>
    <x v="0"/>
    <x v="5"/>
    <n v="501"/>
    <n v="502"/>
    <n v="503"/>
    <n v="504"/>
    <n v="505"/>
    <n v="506"/>
    <n v="507"/>
    <n v="508"/>
    <n v="509"/>
    <n v="510"/>
    <n v="0"/>
    <n v="0"/>
    <x v="0"/>
    <s v=""/>
    <x v="0"/>
    <x v="0"/>
    <n v="509"/>
    <x v="1"/>
    <x v="0"/>
    <x v="0"/>
    <s v="Send cost I"/>
    <m/>
    <m/>
    <m/>
    <m/>
    <m/>
    <m/>
    <m/>
    <m/>
    <m/>
    <m/>
    <s v="Int."/>
    <s v="Gruppo struttura 1"/>
    <m/>
    <m/>
    <m/>
    <m/>
    <s v="Responsabile A"/>
    <m/>
    <m/>
    <m/>
    <m/>
    <m/>
    <m/>
    <m/>
    <m/>
    <m/>
    <m/>
    <m/>
    <m/>
    <m/>
    <n v="501"/>
    <n v="502"/>
    <n v="503"/>
    <n v="504"/>
    <n v="505"/>
    <n v="506"/>
    <n v="507"/>
    <n v="508"/>
    <n v="509"/>
    <n v="510"/>
    <m/>
    <m/>
    <n v="5055"/>
    <m/>
    <d v="2015-09-14T00:00:00"/>
    <m/>
    <m/>
    <m/>
    <d v="2015-09-13T00:00:00"/>
    <d v="2015-10-23T00:00:00"/>
    <m/>
  </r>
  <r>
    <x v="0"/>
    <x v="8"/>
    <x v="0"/>
    <x v="0"/>
    <x v="0"/>
    <x v="0"/>
    <x v="0"/>
    <x v="0"/>
    <x v="0"/>
    <x v="6"/>
    <n v="601"/>
    <n v="602"/>
    <n v="603"/>
    <n v="604"/>
    <n v="605"/>
    <n v="606"/>
    <n v="607"/>
    <n v="608"/>
    <n v="609"/>
    <n v="610"/>
    <n v="0"/>
    <n v="0"/>
    <x v="0"/>
    <s v=""/>
    <x v="0"/>
    <x v="0"/>
    <n v="609"/>
    <x v="1"/>
    <x v="0"/>
    <x v="0"/>
    <s v="Send cost I"/>
    <m/>
    <m/>
    <m/>
    <m/>
    <m/>
    <m/>
    <m/>
    <m/>
    <m/>
    <m/>
    <s v="Int."/>
    <s v="Gruppo struttura 1"/>
    <m/>
    <m/>
    <m/>
    <m/>
    <s v="Responsabile A"/>
    <m/>
    <m/>
    <m/>
    <m/>
    <m/>
    <m/>
    <m/>
    <m/>
    <m/>
    <m/>
    <m/>
    <m/>
    <m/>
    <n v="601"/>
    <n v="602"/>
    <n v="603"/>
    <n v="604"/>
    <n v="605"/>
    <n v="606"/>
    <n v="607"/>
    <n v="608"/>
    <n v="609"/>
    <n v="610"/>
    <m/>
    <m/>
    <n v="6055"/>
    <m/>
    <d v="2015-09-17T00:00:00"/>
    <m/>
    <m/>
    <m/>
    <d v="2015-09-16T00:00:00"/>
    <d v="2015-10-26T00:00:00"/>
    <m/>
  </r>
  <r>
    <x v="0"/>
    <x v="8"/>
    <x v="0"/>
    <x v="0"/>
    <x v="0"/>
    <x v="0"/>
    <x v="0"/>
    <x v="0"/>
    <x v="0"/>
    <x v="0"/>
    <n v="1"/>
    <n v="2"/>
    <n v="3"/>
    <n v="4"/>
    <n v="5"/>
    <n v="6"/>
    <n v="7"/>
    <n v="8"/>
    <n v="9"/>
    <n v="10"/>
    <n v="0"/>
    <n v="0"/>
    <x v="0"/>
    <s v=""/>
    <x v="0"/>
    <x v="0"/>
    <n v="9"/>
    <x v="1"/>
    <x v="0"/>
    <x v="0"/>
    <s v="Send cost I"/>
    <m/>
    <m/>
    <m/>
    <m/>
    <m/>
    <m/>
    <m/>
    <m/>
    <m/>
    <m/>
    <s v="Int."/>
    <s v="Gruppo struttura 1"/>
    <m/>
    <m/>
    <m/>
    <m/>
    <s v="Responsabile A"/>
    <m/>
    <m/>
    <m/>
    <m/>
    <m/>
    <m/>
    <m/>
    <m/>
    <m/>
    <m/>
    <m/>
    <m/>
    <m/>
    <n v="1"/>
    <n v="2"/>
    <n v="3"/>
    <n v="4"/>
    <n v="5"/>
    <n v="6"/>
    <n v="7"/>
    <n v="8"/>
    <n v="9"/>
    <n v="10"/>
    <m/>
    <m/>
    <n v="55"/>
    <m/>
    <d v="2015-09-20T00:00:00"/>
    <m/>
    <m/>
    <m/>
    <d v="2015-09-19T00:00:00"/>
    <d v="2015-10-29T00:00:00"/>
    <m/>
  </r>
  <r>
    <x v="0"/>
    <x v="8"/>
    <x v="0"/>
    <x v="0"/>
    <x v="0"/>
    <x v="0"/>
    <x v="0"/>
    <x v="0"/>
    <x v="2"/>
    <x v="1"/>
    <n v="101"/>
    <n v="102"/>
    <n v="103"/>
    <n v="104"/>
    <n v="105"/>
    <n v="106"/>
    <n v="107"/>
    <n v="108"/>
    <n v="109"/>
    <n v="110"/>
    <n v="0"/>
    <n v="0"/>
    <x v="0"/>
    <s v=""/>
    <x v="0"/>
    <x v="0"/>
    <n v="109"/>
    <x v="1"/>
    <x v="0"/>
    <x v="0"/>
    <s v="Send cost I"/>
    <m/>
    <m/>
    <m/>
    <m/>
    <m/>
    <m/>
    <m/>
    <m/>
    <m/>
    <m/>
    <s v="Int."/>
    <s v="Gruppo struttura 4"/>
    <m/>
    <m/>
    <m/>
    <m/>
    <s v="Responsabile A"/>
    <m/>
    <m/>
    <m/>
    <m/>
    <m/>
    <m/>
    <m/>
    <m/>
    <m/>
    <m/>
    <m/>
    <m/>
    <m/>
    <n v="101"/>
    <n v="102"/>
    <n v="103"/>
    <n v="104"/>
    <n v="105"/>
    <n v="106"/>
    <n v="107"/>
    <n v="108"/>
    <n v="109"/>
    <n v="110"/>
    <m/>
    <m/>
    <n v="1055"/>
    <m/>
    <d v="2015-09-23T00:00:00"/>
    <m/>
    <m/>
    <m/>
    <d v="2015-09-22T00:00:00"/>
    <d v="2015-11-01T00:00:00"/>
    <m/>
  </r>
  <r>
    <x v="0"/>
    <x v="8"/>
    <x v="0"/>
    <x v="0"/>
    <x v="0"/>
    <x v="0"/>
    <x v="0"/>
    <x v="0"/>
    <x v="7"/>
    <x v="2"/>
    <n v="201"/>
    <n v="202"/>
    <n v="203"/>
    <n v="204"/>
    <n v="205"/>
    <n v="206"/>
    <n v="207"/>
    <n v="208"/>
    <n v="209"/>
    <n v="210"/>
    <n v="0"/>
    <n v="0"/>
    <x v="0"/>
    <s v=""/>
    <x v="0"/>
    <x v="0"/>
    <n v="209"/>
    <x v="1"/>
    <x v="0"/>
    <x v="0"/>
    <s v="Send cost I"/>
    <m/>
    <m/>
    <m/>
    <m/>
    <m/>
    <m/>
    <m/>
    <m/>
    <m/>
    <m/>
    <s v="Int."/>
    <m/>
    <m/>
    <m/>
    <m/>
    <m/>
    <s v="Responsabile A"/>
    <m/>
    <m/>
    <m/>
    <m/>
    <m/>
    <m/>
    <m/>
    <m/>
    <m/>
    <m/>
    <m/>
    <m/>
    <m/>
    <n v="201"/>
    <n v="202"/>
    <n v="203"/>
    <n v="204"/>
    <n v="205"/>
    <n v="206"/>
    <n v="207"/>
    <n v="208"/>
    <n v="209"/>
    <n v="210"/>
    <m/>
    <m/>
    <n v="2055"/>
    <m/>
    <d v="2015-09-26T00:00:00"/>
    <m/>
    <m/>
    <m/>
    <d v="2015-09-25T00:00:00"/>
    <d v="2015-11-04T00:00:00"/>
    <m/>
  </r>
  <r>
    <x v="0"/>
    <x v="9"/>
    <x v="0"/>
    <x v="0"/>
    <x v="0"/>
    <x v="0"/>
    <x v="0"/>
    <x v="0"/>
    <x v="8"/>
    <x v="3"/>
    <n v="301"/>
    <n v="302"/>
    <n v="303"/>
    <n v="304"/>
    <n v="305"/>
    <n v="306"/>
    <n v="307"/>
    <n v="308"/>
    <n v="309"/>
    <n v="310"/>
    <n v="0"/>
    <n v="0"/>
    <x v="0"/>
    <s v=""/>
    <x v="0"/>
    <x v="0"/>
    <n v="309"/>
    <x v="1"/>
    <x v="0"/>
    <x v="0"/>
    <s v="Send cost L"/>
    <m/>
    <m/>
    <m/>
    <m/>
    <m/>
    <m/>
    <m/>
    <m/>
    <m/>
    <m/>
    <s v="Int."/>
    <m/>
    <m/>
    <m/>
    <m/>
    <m/>
    <s v="Responsabile D"/>
    <m/>
    <m/>
    <m/>
    <m/>
    <m/>
    <m/>
    <m/>
    <m/>
    <m/>
    <m/>
    <m/>
    <m/>
    <m/>
    <n v="301"/>
    <n v="302"/>
    <n v="303"/>
    <n v="304"/>
    <n v="305"/>
    <n v="306"/>
    <n v="307"/>
    <n v="308"/>
    <n v="309"/>
    <n v="310"/>
    <m/>
    <m/>
    <n v="3055"/>
    <m/>
    <d v="2015-09-29T00:00:00"/>
    <m/>
    <m/>
    <m/>
    <d v="2015-09-28T00:00:00"/>
    <d v="2015-11-07T00:00:00"/>
    <m/>
  </r>
  <r>
    <x v="0"/>
    <x v="9"/>
    <x v="0"/>
    <x v="0"/>
    <x v="0"/>
    <x v="0"/>
    <x v="0"/>
    <x v="0"/>
    <x v="1"/>
    <x v="4"/>
    <n v="401"/>
    <n v="402"/>
    <n v="403"/>
    <n v="404"/>
    <n v="405"/>
    <n v="406"/>
    <n v="407"/>
    <n v="408"/>
    <n v="409"/>
    <n v="410"/>
    <n v="0"/>
    <n v="0"/>
    <x v="0"/>
    <s v=""/>
    <x v="0"/>
    <x v="0"/>
    <n v="409"/>
    <x v="1"/>
    <x v="0"/>
    <x v="0"/>
    <s v="Send cost L"/>
    <m/>
    <m/>
    <m/>
    <m/>
    <m/>
    <m/>
    <m/>
    <m/>
    <m/>
    <m/>
    <s v="Int."/>
    <s v="Gruppo struttura 2"/>
    <m/>
    <m/>
    <m/>
    <m/>
    <s v="Responsabile A"/>
    <m/>
    <m/>
    <m/>
    <m/>
    <m/>
    <m/>
    <m/>
    <m/>
    <m/>
    <m/>
    <m/>
    <m/>
    <m/>
    <n v="401"/>
    <n v="402"/>
    <n v="403"/>
    <n v="404"/>
    <n v="405"/>
    <n v="406"/>
    <n v="407"/>
    <n v="408"/>
    <n v="409"/>
    <n v="410"/>
    <m/>
    <m/>
    <n v="4055"/>
    <m/>
    <d v="2015-10-02T00:00:00"/>
    <m/>
    <m/>
    <m/>
    <d v="2015-10-01T00:00:00"/>
    <d v="2015-11-10T00:00:00"/>
    <m/>
  </r>
  <r>
    <x v="0"/>
    <x v="9"/>
    <x v="0"/>
    <x v="0"/>
    <x v="0"/>
    <x v="0"/>
    <x v="0"/>
    <x v="0"/>
    <x v="0"/>
    <x v="5"/>
    <n v="501"/>
    <n v="502"/>
    <n v="503"/>
    <n v="504"/>
    <n v="505"/>
    <n v="506"/>
    <n v="507"/>
    <n v="508"/>
    <n v="509"/>
    <n v="510"/>
    <n v="0"/>
    <n v="0"/>
    <x v="0"/>
    <s v=""/>
    <x v="0"/>
    <x v="0"/>
    <n v="509"/>
    <x v="1"/>
    <x v="0"/>
    <x v="0"/>
    <s v="Send cost L"/>
    <m/>
    <m/>
    <m/>
    <m/>
    <m/>
    <m/>
    <m/>
    <m/>
    <m/>
    <m/>
    <s v="Int."/>
    <s v="Gruppo struttura 1"/>
    <m/>
    <m/>
    <m/>
    <m/>
    <s v="Responsabile B"/>
    <m/>
    <m/>
    <m/>
    <m/>
    <m/>
    <m/>
    <m/>
    <m/>
    <m/>
    <m/>
    <m/>
    <m/>
    <m/>
    <n v="501"/>
    <n v="502"/>
    <n v="503"/>
    <n v="504"/>
    <n v="505"/>
    <n v="506"/>
    <n v="507"/>
    <n v="508"/>
    <n v="509"/>
    <n v="510"/>
    <m/>
    <m/>
    <n v="5055"/>
    <m/>
    <d v="2015-10-05T00:00:00"/>
    <m/>
    <m/>
    <m/>
    <d v="2015-10-04T00:00:00"/>
    <d v="2015-11-13T00:00:00"/>
    <m/>
  </r>
  <r>
    <x v="0"/>
    <x v="9"/>
    <x v="0"/>
    <x v="0"/>
    <x v="0"/>
    <x v="0"/>
    <x v="0"/>
    <x v="0"/>
    <x v="0"/>
    <x v="6"/>
    <n v="601"/>
    <n v="602"/>
    <n v="603"/>
    <n v="604"/>
    <n v="605"/>
    <n v="606"/>
    <n v="607"/>
    <n v="608"/>
    <n v="609"/>
    <n v="610"/>
    <n v="0"/>
    <n v="0"/>
    <x v="0"/>
    <s v=""/>
    <x v="0"/>
    <x v="0"/>
    <n v="609"/>
    <x v="1"/>
    <x v="0"/>
    <x v="0"/>
    <s v="Send cost L"/>
    <m/>
    <m/>
    <m/>
    <m/>
    <m/>
    <m/>
    <m/>
    <m/>
    <m/>
    <m/>
    <s v="Int."/>
    <s v="Gruppo struttura 1"/>
    <m/>
    <m/>
    <m/>
    <m/>
    <s v="Responsabile C"/>
    <m/>
    <m/>
    <m/>
    <m/>
    <m/>
    <m/>
    <m/>
    <m/>
    <m/>
    <m/>
    <m/>
    <m/>
    <m/>
    <n v="601"/>
    <n v="602"/>
    <n v="603"/>
    <n v="604"/>
    <n v="605"/>
    <n v="606"/>
    <n v="607"/>
    <n v="608"/>
    <n v="609"/>
    <n v="610"/>
    <m/>
    <m/>
    <n v="6055"/>
    <m/>
    <d v="2015-10-08T00:00:00"/>
    <m/>
    <m/>
    <m/>
    <d v="2015-10-07T00:00:00"/>
    <d v="2015-11-16T00:00:00"/>
    <m/>
  </r>
  <r>
    <x v="0"/>
    <x v="9"/>
    <x v="0"/>
    <x v="0"/>
    <x v="0"/>
    <x v="0"/>
    <x v="0"/>
    <x v="0"/>
    <x v="0"/>
    <x v="0"/>
    <n v="1"/>
    <n v="2"/>
    <n v="3"/>
    <n v="4"/>
    <n v="5"/>
    <n v="6"/>
    <n v="7"/>
    <n v="8"/>
    <n v="9"/>
    <n v="10"/>
    <n v="0"/>
    <n v="0"/>
    <x v="0"/>
    <s v=""/>
    <x v="0"/>
    <x v="0"/>
    <n v="9"/>
    <x v="1"/>
    <x v="0"/>
    <x v="0"/>
    <s v="Send cost L"/>
    <m/>
    <m/>
    <m/>
    <m/>
    <m/>
    <m/>
    <m/>
    <m/>
    <m/>
    <m/>
    <s v="Int."/>
    <s v="Gruppo struttura 1"/>
    <m/>
    <m/>
    <m/>
    <m/>
    <s v="Responsabile A"/>
    <m/>
    <m/>
    <m/>
    <m/>
    <m/>
    <m/>
    <m/>
    <m/>
    <m/>
    <m/>
    <m/>
    <m/>
    <m/>
    <n v="1"/>
    <n v="2"/>
    <n v="3"/>
    <n v="4"/>
    <n v="5"/>
    <n v="6"/>
    <n v="7"/>
    <n v="8"/>
    <n v="9"/>
    <n v="10"/>
    <m/>
    <m/>
    <n v="55"/>
    <m/>
    <d v="2015-10-11T00:00:00"/>
    <m/>
    <m/>
    <m/>
    <d v="2015-10-10T00:00:00"/>
    <d v="2015-11-19T00:00:00"/>
    <m/>
  </r>
  <r>
    <x v="0"/>
    <x v="9"/>
    <x v="0"/>
    <x v="0"/>
    <x v="0"/>
    <x v="0"/>
    <x v="0"/>
    <x v="0"/>
    <x v="2"/>
    <x v="1"/>
    <n v="101"/>
    <n v="102"/>
    <n v="103"/>
    <n v="104"/>
    <n v="105"/>
    <n v="106"/>
    <n v="107"/>
    <n v="108"/>
    <n v="109"/>
    <n v="110"/>
    <n v="0"/>
    <n v="0"/>
    <x v="0"/>
    <s v=""/>
    <x v="0"/>
    <x v="0"/>
    <n v="109"/>
    <x v="1"/>
    <x v="0"/>
    <x v="0"/>
    <s v="Send cost L"/>
    <m/>
    <m/>
    <m/>
    <m/>
    <m/>
    <m/>
    <m/>
    <m/>
    <m/>
    <m/>
    <s v="Int."/>
    <s v="Gruppo struttura 4"/>
    <m/>
    <m/>
    <m/>
    <m/>
    <s v="Responsabile A"/>
    <m/>
    <m/>
    <m/>
    <m/>
    <m/>
    <m/>
    <m/>
    <m/>
    <m/>
    <m/>
    <m/>
    <m/>
    <m/>
    <n v="101"/>
    <n v="102"/>
    <n v="103"/>
    <n v="104"/>
    <n v="105"/>
    <n v="106"/>
    <n v="107"/>
    <n v="108"/>
    <n v="109"/>
    <n v="110"/>
    <m/>
    <m/>
    <n v="1055"/>
    <m/>
    <d v="2015-10-14T00:00:00"/>
    <m/>
    <m/>
    <m/>
    <d v="2015-10-13T00:00:00"/>
    <d v="2015-11-22T00:00:00"/>
    <m/>
  </r>
  <r>
    <x v="0"/>
    <x v="9"/>
    <x v="0"/>
    <x v="0"/>
    <x v="0"/>
    <x v="0"/>
    <x v="0"/>
    <x v="0"/>
    <x v="0"/>
    <x v="2"/>
    <n v="201"/>
    <n v="202"/>
    <n v="203"/>
    <n v="204"/>
    <n v="205"/>
    <n v="206"/>
    <n v="207"/>
    <n v="208"/>
    <n v="209"/>
    <n v="210"/>
    <n v="0"/>
    <n v="0"/>
    <x v="0"/>
    <s v=""/>
    <x v="0"/>
    <x v="0"/>
    <n v="209"/>
    <x v="1"/>
    <x v="0"/>
    <x v="0"/>
    <s v="Send cost L"/>
    <m/>
    <m/>
    <m/>
    <m/>
    <m/>
    <m/>
    <m/>
    <m/>
    <m/>
    <m/>
    <s v="Int."/>
    <s v="Gruppo struttura 1"/>
    <m/>
    <m/>
    <m/>
    <m/>
    <s v="Responsabile B"/>
    <m/>
    <m/>
    <m/>
    <m/>
    <m/>
    <m/>
    <m/>
    <m/>
    <m/>
    <m/>
    <m/>
    <m/>
    <m/>
    <n v="201"/>
    <n v="202"/>
    <n v="203"/>
    <n v="204"/>
    <n v="205"/>
    <n v="206"/>
    <n v="207"/>
    <n v="208"/>
    <n v="209"/>
    <n v="210"/>
    <m/>
    <m/>
    <n v="2055"/>
    <m/>
    <d v="2015-10-17T00:00:00"/>
    <m/>
    <m/>
    <m/>
    <d v="2015-10-16T00:00:00"/>
    <d v="2015-11-25T00:00:00"/>
    <m/>
  </r>
  <r>
    <x v="0"/>
    <x v="9"/>
    <x v="0"/>
    <x v="0"/>
    <x v="0"/>
    <x v="0"/>
    <x v="0"/>
    <x v="0"/>
    <x v="5"/>
    <x v="3"/>
    <n v="301"/>
    <n v="302"/>
    <n v="303"/>
    <n v="304"/>
    <n v="305"/>
    <n v="306"/>
    <n v="307"/>
    <n v="308"/>
    <n v="309"/>
    <n v="310"/>
    <n v="0"/>
    <n v="0"/>
    <x v="0"/>
    <s v=""/>
    <x v="0"/>
    <x v="0"/>
    <n v="309"/>
    <x v="1"/>
    <x v="0"/>
    <x v="0"/>
    <s v="Send cost L"/>
    <m/>
    <m/>
    <m/>
    <m/>
    <m/>
    <m/>
    <m/>
    <m/>
    <m/>
    <m/>
    <s v="Int."/>
    <s v="Gruppo struttura 5"/>
    <m/>
    <m/>
    <m/>
    <m/>
    <s v="Responsabile D"/>
    <m/>
    <m/>
    <m/>
    <m/>
    <m/>
    <m/>
    <m/>
    <m/>
    <m/>
    <m/>
    <m/>
    <m/>
    <m/>
    <n v="301"/>
    <n v="302"/>
    <n v="303"/>
    <n v="304"/>
    <n v="305"/>
    <n v="306"/>
    <n v="307"/>
    <n v="308"/>
    <n v="309"/>
    <n v="310"/>
    <m/>
    <m/>
    <n v="3055"/>
    <m/>
    <d v="2015-10-20T00:00:00"/>
    <m/>
    <m/>
    <m/>
    <d v="2015-10-19T00:00:00"/>
    <d v="2015-11-28T00:00:00"/>
    <m/>
  </r>
  <r>
    <x v="0"/>
    <x v="9"/>
    <x v="0"/>
    <x v="0"/>
    <x v="0"/>
    <x v="0"/>
    <x v="0"/>
    <x v="0"/>
    <x v="1"/>
    <x v="4"/>
    <n v="401"/>
    <n v="402"/>
    <n v="403"/>
    <n v="404"/>
    <n v="405"/>
    <n v="406"/>
    <n v="407"/>
    <n v="408"/>
    <n v="409"/>
    <n v="410"/>
    <n v="0"/>
    <n v="0"/>
    <x v="1"/>
    <s v=""/>
    <x v="0"/>
    <x v="0"/>
    <n v="409"/>
    <x v="1"/>
    <x v="0"/>
    <x v="0"/>
    <s v="Send cost L"/>
    <m/>
    <m/>
    <m/>
    <m/>
    <m/>
    <m/>
    <m/>
    <m/>
    <m/>
    <m/>
    <s v="Est."/>
    <s v="Gruppo struttura 2"/>
    <m/>
    <m/>
    <m/>
    <m/>
    <s v="Responsabile A"/>
    <m/>
    <m/>
    <m/>
    <m/>
    <m/>
    <m/>
    <m/>
    <m/>
    <m/>
    <m/>
    <m/>
    <m/>
    <m/>
    <n v="401"/>
    <n v="402"/>
    <n v="403"/>
    <n v="404"/>
    <n v="405"/>
    <n v="406"/>
    <n v="407"/>
    <n v="408"/>
    <n v="409"/>
    <n v="410"/>
    <m/>
    <m/>
    <n v="4055"/>
    <m/>
    <d v="2015-10-23T00:00:00"/>
    <m/>
    <m/>
    <m/>
    <d v="2015-10-22T00:00:00"/>
    <d v="2015-12-01T00:00:00"/>
    <m/>
  </r>
  <r>
    <x v="0"/>
    <x v="9"/>
    <x v="0"/>
    <x v="0"/>
    <x v="0"/>
    <x v="0"/>
    <x v="0"/>
    <x v="0"/>
    <x v="1"/>
    <x v="5"/>
    <n v="501"/>
    <n v="502"/>
    <n v="503"/>
    <n v="504"/>
    <n v="505"/>
    <n v="506"/>
    <n v="507"/>
    <n v="508"/>
    <n v="509"/>
    <n v="510"/>
    <n v="0"/>
    <n v="0"/>
    <x v="0"/>
    <s v=""/>
    <x v="0"/>
    <x v="0"/>
    <n v="509"/>
    <x v="1"/>
    <x v="0"/>
    <x v="0"/>
    <s v="Send cost L"/>
    <m/>
    <m/>
    <m/>
    <m/>
    <m/>
    <m/>
    <m/>
    <m/>
    <m/>
    <m/>
    <s v="Int."/>
    <s v="Gruppo struttura 2"/>
    <m/>
    <m/>
    <m/>
    <m/>
    <s v="Responsabile A"/>
    <m/>
    <m/>
    <m/>
    <m/>
    <m/>
    <m/>
    <m/>
    <m/>
    <m/>
    <m/>
    <m/>
    <m/>
    <m/>
    <n v="501"/>
    <n v="502"/>
    <n v="503"/>
    <n v="504"/>
    <n v="505"/>
    <n v="506"/>
    <n v="507"/>
    <n v="508"/>
    <n v="509"/>
    <n v="510"/>
    <m/>
    <m/>
    <n v="5055"/>
    <m/>
    <d v="2015-10-26T00:00:00"/>
    <m/>
    <m/>
    <m/>
    <d v="2015-10-25T00:00:00"/>
    <d v="2015-12-04T00:00: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983B66-B099-438E-BDD3-F97341231C91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82">
    <pivotField showAll="0"/>
    <pivotField dataField="1" showAll="0"/>
    <pivotField showAll="0"/>
    <pivotField axis="axisRow" showAll="0" sortType="ascending">
      <items count="5">
        <item x="0"/>
        <item m="1" x="3"/>
        <item m="1" x="2"/>
        <item m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dataFields count="1">
    <dataField name="Min of Anno_" fld="1" subtotal="min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57C0F6-FA0D-4958-AE67-5FF8582D06AF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4:Q33" firstHeaderRow="0" firstDataRow="1" firstDataCol="1" rowPageCount="2" colPageCount="1"/>
  <pivotFields count="82">
    <pivotField axis="axisPage" showAll="0">
      <items count="2">
        <item x="0"/>
        <item t="default"/>
      </items>
    </pivotField>
    <pivotField axis="axisPage" showAll="0">
      <items count="12">
        <item x="6"/>
        <item x="7"/>
        <item x="8"/>
        <item x="9"/>
        <item m="1" x="10"/>
        <item x="1"/>
        <item x="2"/>
        <item x="3"/>
        <item x="4"/>
        <item x="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3">
        <item m="1" x="10"/>
        <item m="1" x="11"/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axis="axisRow" showAll="0">
      <items count="4">
        <item x="0"/>
        <item m="1"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8"/>
    <field x="22"/>
  </rowFields>
  <rowItems count="29">
    <i>
      <x v="2"/>
    </i>
    <i r="1">
      <x/>
    </i>
    <i r="1">
      <x v="2"/>
    </i>
    <i>
      <x v="3"/>
    </i>
    <i r="1">
      <x/>
    </i>
    <i r="1">
      <x v="2"/>
    </i>
    <i>
      <x v="4"/>
    </i>
    <i r="1">
      <x/>
    </i>
    <i r="1">
      <x v="2"/>
    </i>
    <i>
      <x v="5"/>
    </i>
    <i r="1">
      <x/>
    </i>
    <i r="1">
      <x v="2"/>
    </i>
    <i>
      <x v="6"/>
    </i>
    <i r="1">
      <x/>
    </i>
    <i r="1">
      <x v="2"/>
    </i>
    <i>
      <x v="7"/>
    </i>
    <i r="1">
      <x/>
    </i>
    <i r="1">
      <x v="2"/>
    </i>
    <i>
      <x v="8"/>
    </i>
    <i r="1">
      <x/>
    </i>
    <i>
      <x v="9"/>
    </i>
    <i r="1">
      <x/>
    </i>
    <i r="1">
      <x v="2"/>
    </i>
    <i>
      <x v="10"/>
    </i>
    <i r="1">
      <x/>
    </i>
    <i r="1">
      <x v="2"/>
    </i>
    <i>
      <x v="11"/>
    </i>
    <i r="1">
      <x v="2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2">
    <pageField fld="0" hier="-1"/>
    <pageField fld="1" hier="-1"/>
  </pageFields>
  <dataFields count="13">
    <dataField name="Sum of ORE_" fld="9" baseField="8" baseItem="0"/>
    <dataField name="Sum of gen_" fld="10" baseField="0" baseItem="0"/>
    <dataField name="Sum of feb_" fld="11" baseField="0" baseItem="0"/>
    <dataField name="Sum of mar_" fld="12" baseField="0" baseItem="0"/>
    <dataField name="Sum of apr_" fld="13" baseField="0" baseItem="0"/>
    <dataField name="Sum of mag_" fld="14" baseField="0" baseItem="0"/>
    <dataField name="Sum of giu_" fld="15" baseField="0" baseItem="0"/>
    <dataField name="Sum of lug_" fld="16" baseField="0" baseItem="0"/>
    <dataField name="Sum of ago_" fld="17" baseField="0" baseItem="0"/>
    <dataField name="Sum of set_" fld="18" baseField="0" baseItem="0"/>
    <dataField name="Sum of ott_" fld="19" baseField="0" baseItem="0"/>
    <dataField name="Sum of nov_" fld="20" baseField="0" baseItem="0"/>
    <dataField name="Sum of dic_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EDCF11-CF63-4D5E-8AD8-38C76ED48B2A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4:O8" firstHeaderRow="1" firstDataRow="2" firstDataCol="1" rowPageCount="2" colPageCount="1"/>
  <pivotFields count="82">
    <pivotField axis="axisPage" showAll="0">
      <items count="2">
        <item x="0"/>
        <item t="default"/>
      </items>
    </pivotField>
    <pivotField axis="axisPage" showAll="0">
      <items count="12">
        <item x="0"/>
        <item x="1"/>
        <item x="2"/>
        <item x="3"/>
        <item x="4"/>
        <item x="5"/>
        <item x="6"/>
        <item x="7"/>
        <item x="8"/>
        <item x="9"/>
        <item m="1" x="10"/>
        <item t="default"/>
      </items>
    </pivotField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axis="axisRow" showAll="0">
      <items count="2">
        <item x="0"/>
        <item t="default"/>
      </items>
    </pivotField>
    <pivotField axis="axisCol" showAll="0">
      <items count="13">
        <item x="0"/>
        <item x="1"/>
        <item x="3"/>
        <item x="2"/>
        <item x="5"/>
        <item x="4"/>
        <item m="1" x="10"/>
        <item x="7"/>
        <item x="6"/>
        <item x="9"/>
        <item x="8"/>
        <item m="1" x="1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numFmtId="14" showAll="0"/>
    <pivotField numFmtId="14" showAll="0"/>
    <pivotField showAll="0"/>
  </pivotFields>
  <rowFields count="2">
    <field x="7"/>
    <field x="5"/>
  </rowFields>
  <rowItems count="3">
    <i>
      <x/>
    </i>
    <i r="1">
      <x/>
    </i>
    <i t="grand">
      <x/>
    </i>
  </rowItems>
  <colFields count="1">
    <field x="8"/>
  </colFields>
  <colItems count="11">
    <i>
      <x/>
    </i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0"/>
    </i>
    <i t="grand">
      <x/>
    </i>
  </colItems>
  <pageFields count="2">
    <pageField fld="0" hier="-1"/>
    <pageField fld="1" hier="-1"/>
  </pageFields>
  <dataFields count="1">
    <dataField name="Sum of ORE_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3BB690-E767-4E00-8E3D-2AD942E02F1A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4:E19" firstHeaderRow="1" firstDataRow="1" firstDataCol="1" rowPageCount="2" colPageCount="1"/>
  <pivotFields count="82">
    <pivotField axis="axisPage" showAll="0">
      <items count="2">
        <item x="0"/>
        <item t="default"/>
      </items>
    </pivotField>
    <pivotField axis="axisPage" showAll="0">
      <items count="12">
        <item x="0"/>
        <item x="1"/>
        <item x="2"/>
        <item x="3"/>
        <item x="4"/>
        <item x="5"/>
        <item x="6"/>
        <item x="7"/>
        <item x="8"/>
        <item x="9"/>
        <item m="1" x="10"/>
        <item t="default"/>
      </items>
    </pivotField>
    <pivotField axis="axisRow" showAll="0">
      <items count="2">
        <item x="0"/>
        <item t="default"/>
      </items>
    </pivotField>
    <pivotField axis="axisRow" showAll="0">
      <items count="5">
        <item x="0"/>
        <item m="1" x="3"/>
        <item m="1" x="2"/>
        <item m="1" x="1"/>
        <item t="default"/>
      </items>
    </pivotField>
    <pivotField axis="axisRow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showAll="0"/>
    <pivotField axis="axisRow" showAll="0">
      <items count="13">
        <item x="0"/>
        <item x="1"/>
        <item x="3"/>
        <item x="2"/>
        <item x="5"/>
        <item x="4"/>
        <item m="1" x="10"/>
        <item x="7"/>
        <item x="6"/>
        <item x="9"/>
        <item x="8"/>
        <item m="1" x="1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numFmtId="14" showAll="0"/>
    <pivotField numFmtId="14" showAll="0"/>
    <pivotField showAll="0"/>
  </pivotFields>
  <rowFields count="5">
    <field x="2"/>
    <field x="3"/>
    <field x="4"/>
    <field x="5"/>
    <field x="8"/>
  </rowFields>
  <rowItems count="15">
    <i>
      <x/>
    </i>
    <i r="1">
      <x/>
    </i>
    <i r="2">
      <x/>
    </i>
    <i r="3">
      <x/>
    </i>
    <i r="4">
      <x/>
    </i>
    <i r="4">
      <x v="1"/>
    </i>
    <i r="4">
      <x v="2"/>
    </i>
    <i r="4">
      <x v="3"/>
    </i>
    <i r="4">
      <x v="4"/>
    </i>
    <i r="4">
      <x v="5"/>
    </i>
    <i r="4">
      <x v="7"/>
    </i>
    <i r="4">
      <x v="8"/>
    </i>
    <i r="4">
      <x v="9"/>
    </i>
    <i r="4">
      <x v="10"/>
    </i>
    <i t="grand">
      <x/>
    </i>
  </rowItems>
  <colItems count="1">
    <i/>
  </colItems>
  <pageFields count="2">
    <pageField fld="0" hier="-1"/>
    <pageField fld="1" hier="-1"/>
  </pageFields>
  <dataFields count="1">
    <dataField name="Sum of ORE_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991F8C-DBC9-4533-93F7-FB07977D75D1}" name="PivotTable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4:E8" firstHeaderRow="1" firstDataRow="1" firstDataCol="1" rowPageCount="2" colPageCount="1"/>
  <pivotFields count="82">
    <pivotField axis="axisPage" showAll="0">
      <items count="2">
        <item x="0"/>
        <item t="default"/>
      </items>
    </pivotField>
    <pivotField dataField="1" showAll="0"/>
    <pivotField axis="axisPage" showAll="0">
      <items count="2">
        <item x="0"/>
        <item t="default"/>
      </items>
    </pivotField>
    <pivotField axis="axisRow" showAll="0">
      <items count="5">
        <item x="0"/>
        <item m="1" x="3"/>
        <item m="1" x="2"/>
        <item m="1" x="1"/>
        <item t="default"/>
      </items>
    </pivotField>
    <pivotField axis="axisRow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numFmtId="14" showAll="0"/>
    <pivotField numFmtId="14" showAll="0"/>
    <pivotField showAll="0"/>
  </pivotFields>
  <rowFields count="3">
    <field x="3"/>
    <field x="4"/>
    <field x="5"/>
  </rowFields>
  <rowItems count="4">
    <i>
      <x/>
    </i>
    <i r="1">
      <x/>
    </i>
    <i r="2">
      <x/>
    </i>
    <i t="grand">
      <x/>
    </i>
  </rowItems>
  <colItems count="1">
    <i/>
  </colItems>
  <pageFields count="2">
    <pageField fld="0" hier="-1"/>
    <pageField fld="2" hier="-1"/>
  </pageFields>
  <dataFields count="1">
    <dataField name="Sum of Anno_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323593-AC87-4AD9-9948-75B7FBF715D3}" name="PivotTable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4:F27" firstHeaderRow="0" firstDataRow="1" firstDataCol="1" rowPageCount="2" colPageCount="1"/>
  <pivotFields count="82">
    <pivotField axis="axisPage" showAll="0">
      <items count="2">
        <item x="0"/>
        <item t="default"/>
      </items>
    </pivotField>
    <pivotField dataField="1" showAll="0"/>
    <pivotField axis="axisPage" showAll="0">
      <items count="2">
        <item x="0"/>
        <item t="default"/>
      </items>
    </pivotField>
    <pivotField axis="axisRow" showAll="0">
      <items count="5">
        <item x="0"/>
        <item m="1" x="3"/>
        <item m="1" x="2"/>
        <item m="1" x="1"/>
        <item t="default"/>
      </items>
    </pivotField>
    <pivotField axis="axisRow" showAll="0">
      <items count="2">
        <item x="0"/>
        <item t="default"/>
      </items>
    </pivotField>
    <pivotField showAll="0"/>
    <pivotField showAll="0"/>
    <pivotField axis="axisRow" showAll="0">
      <items count="2">
        <item x="0"/>
        <item t="default"/>
      </items>
    </pivotField>
    <pivotField axis="axisRow" showAll="0">
      <items count="13">
        <item x="0"/>
        <item x="1"/>
        <item x="3"/>
        <item x="2"/>
        <item x="5"/>
        <item x="4"/>
        <item m="1" x="10"/>
        <item x="7"/>
        <item x="6"/>
        <item x="9"/>
        <item x="8"/>
        <item m="1" x="1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numFmtId="14" showAll="0"/>
    <pivotField numFmtId="14" showAll="0"/>
    <pivotField showAll="0"/>
  </pivotFields>
  <rowFields count="4">
    <field x="3"/>
    <field x="4"/>
    <field x="8"/>
    <field x="7"/>
  </rowFields>
  <rowItems count="23">
    <i>
      <x/>
    </i>
    <i r="1">
      <x/>
    </i>
    <i r="2">
      <x/>
    </i>
    <i r="3">
      <x/>
    </i>
    <i r="2">
      <x v="1"/>
    </i>
    <i r="3">
      <x/>
    </i>
    <i r="2">
      <x v="2"/>
    </i>
    <i r="3">
      <x/>
    </i>
    <i r="2">
      <x v="3"/>
    </i>
    <i r="3">
      <x/>
    </i>
    <i r="2">
      <x v="4"/>
    </i>
    <i r="3">
      <x/>
    </i>
    <i r="2">
      <x v="5"/>
    </i>
    <i r="3">
      <x/>
    </i>
    <i r="2">
      <x v="7"/>
    </i>
    <i r="3">
      <x/>
    </i>
    <i r="2">
      <x v="8"/>
    </i>
    <i r="3">
      <x/>
    </i>
    <i r="2">
      <x v="9"/>
    </i>
    <i r="3">
      <x/>
    </i>
    <i r="2">
      <x v="10"/>
    </i>
    <i r="3">
      <x/>
    </i>
    <i t="grand">
      <x/>
    </i>
  </rowItems>
  <colFields count="1">
    <field x="-2"/>
  </colFields>
  <colItems count="2">
    <i>
      <x/>
    </i>
    <i i="1">
      <x v="1"/>
    </i>
  </colItems>
  <pageFields count="2">
    <pageField fld="0" hier="-1"/>
    <pageField fld="2" hier="-1"/>
  </pageFields>
  <dataFields count="2">
    <dataField name="Sum of Anno_" fld="1" baseField="0" baseItem="0"/>
    <dataField name="Sum of ORE_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9AF10E-1F7A-4580-A1D1-B0B4AAA2419B}" name="PivotTable4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4:F9" firstHeaderRow="0" firstDataRow="1" firstDataCol="1" rowPageCount="2" colPageCount="1"/>
  <pivotFields count="82">
    <pivotField axis="axisPage" showAll="0">
      <items count="2">
        <item x="0"/>
        <item t="default"/>
      </items>
    </pivotField>
    <pivotField dataField="1" showAll="0"/>
    <pivotField axis="axisPage" showAll="0">
      <items count="2">
        <item x="0"/>
        <item t="default"/>
      </items>
    </pivotField>
    <pivotField axis="axisRow" showAll="0">
      <items count="5">
        <item x="0"/>
        <item m="1" x="3"/>
        <item m="1" x="2"/>
        <item m="1" x="1"/>
        <item t="default"/>
      </items>
    </pivotField>
    <pivotField axis="axisRow" showAll="0">
      <items count="2">
        <item x="0"/>
        <item t="default"/>
      </items>
    </pivotField>
    <pivotField dataField="1" showAll="0"/>
    <pivotField axis="axisRow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numFmtId="14" showAll="0"/>
    <pivotField numFmtId="14" showAll="0"/>
    <pivotField showAll="0"/>
  </pivotFields>
  <rowFields count="4">
    <field x="3"/>
    <field x="4"/>
    <field x="6"/>
    <field x="7"/>
  </rowFields>
  <rowItems count="5">
    <i>
      <x/>
    </i>
    <i r="1">
      <x/>
    </i>
    <i r="2">
      <x/>
    </i>
    <i r="3">
      <x/>
    </i>
    <i t="grand">
      <x/>
    </i>
  </rowItems>
  <colFields count="1">
    <field x="-2"/>
  </colFields>
  <colItems count="2">
    <i>
      <x/>
    </i>
    <i i="1">
      <x v="1"/>
    </i>
  </colItems>
  <pageFields count="2">
    <pageField fld="0" hier="-1"/>
    <pageField fld="2" hier="-1"/>
  </pageFields>
  <dataFields count="2">
    <dataField name="Sum of Anno_" fld="1" baseField="0" baseItem="0"/>
    <dataField name="Count of U ProjType_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00ED34-3C11-4822-ABCE-E1C14DA73164}" name="PivotTable5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4:F26" firstHeaderRow="0" firstDataRow="1" firstDataCol="1" rowPageCount="2" colPageCount="1"/>
  <pivotFields count="82">
    <pivotField axis="axisPage" showAll="0">
      <items count="2">
        <item x="0"/>
        <item t="default"/>
      </items>
    </pivotField>
    <pivotField axis="axisPage" showAll="0">
      <items count="12">
        <item x="0"/>
        <item x="1"/>
        <item x="2"/>
        <item x="3"/>
        <item x="4"/>
        <item x="5"/>
        <item x="6"/>
        <item x="7"/>
        <item x="8"/>
        <item x="9"/>
        <item m="1" x="10"/>
        <item t="default"/>
      </items>
    </pivotField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axis="axisRow" showAll="0">
      <items count="13">
        <item x="0"/>
        <item x="1"/>
        <item x="3"/>
        <item x="2"/>
        <item x="5"/>
        <item x="4"/>
        <item m="1" x="10"/>
        <item x="7"/>
        <item x="6"/>
        <item x="9"/>
        <item x="8"/>
        <item m="1" x="11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numFmtId="14" showAll="0"/>
    <pivotField numFmtId="14" showAll="0"/>
    <pivotField showAll="0"/>
  </pivotFields>
  <rowFields count="3">
    <field x="7"/>
    <field x="8"/>
    <field x="6"/>
  </rowFields>
  <rowItems count="22">
    <i>
      <x/>
    </i>
    <i r="1">
      <x/>
    </i>
    <i r="2">
      <x/>
    </i>
    <i r="1">
      <x v="1"/>
    </i>
    <i r="2">
      <x/>
    </i>
    <i r="1">
      <x v="2"/>
    </i>
    <i r="2">
      <x/>
    </i>
    <i r="1">
      <x v="3"/>
    </i>
    <i r="2">
      <x/>
    </i>
    <i r="1">
      <x v="4"/>
    </i>
    <i r="2">
      <x/>
    </i>
    <i r="1">
      <x v="5"/>
    </i>
    <i r="2">
      <x/>
    </i>
    <i r="1">
      <x v="7"/>
    </i>
    <i r="2">
      <x/>
    </i>
    <i r="1">
      <x v="8"/>
    </i>
    <i r="2">
      <x/>
    </i>
    <i r="1">
      <x v="9"/>
    </i>
    <i r="2">
      <x/>
    </i>
    <i r="1">
      <x v="10"/>
    </i>
    <i r="2">
      <x/>
    </i>
    <i t="grand">
      <x/>
    </i>
  </rowItems>
  <colFields count="1">
    <field x="-2"/>
  </colFields>
  <colItems count="2">
    <i>
      <x/>
    </i>
    <i i="1">
      <x v="1"/>
    </i>
  </colItems>
  <pageFields count="2">
    <pageField fld="0" hier="-1"/>
    <pageField fld="1" hier="-1"/>
  </pageFields>
  <dataFields count="2">
    <dataField name="Sum of ORE_" fld="9" baseField="0" baseItem="0"/>
    <dataField name="Sum of gen_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5B6861-2D30-4BF2-890F-2923B6346322}" name="PivotTable6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4:G9" firstHeaderRow="1" firstDataRow="3" firstDataCol="1" rowPageCount="2" colPageCount="1"/>
  <pivotFields count="82">
    <pivotField axis="axisPage" showAll="0">
      <items count="2">
        <item x="0"/>
        <item t="default"/>
      </items>
    </pivotField>
    <pivotField axis="axisPage" showAll="0">
      <items count="12">
        <item x="0"/>
        <item x="1"/>
        <item x="2"/>
        <item x="3"/>
        <item x="4"/>
        <item x="5"/>
        <item x="6"/>
        <item x="7"/>
        <item x="8"/>
        <item x="9"/>
        <item m="1" x="10"/>
        <item t="default"/>
      </items>
    </pivotField>
    <pivotField axis="axisCol" showAll="0">
      <items count="2">
        <item x="0"/>
        <item t="default"/>
      </items>
    </pivotField>
    <pivotField axis="axisRow" showAll="0">
      <items count="5">
        <item x="0"/>
        <item m="1" x="3"/>
        <item m="1" x="2"/>
        <item m="1" x="1"/>
        <item t="default"/>
      </items>
    </pivotField>
    <pivotField dataField="1" showAll="0"/>
    <pivotField axis="axisRow" showAll="0">
      <items count="2">
        <item x="0"/>
        <item t="default"/>
      </items>
    </pivotField>
    <pivotField showAll="0"/>
    <pivotField axis="axisCol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numFmtId="14" showAll="0"/>
    <pivotField numFmtId="14" showAll="0"/>
    <pivotField showAll="0"/>
  </pivotFields>
  <rowFields count="2">
    <field x="3"/>
    <field x="5"/>
  </rowFields>
  <rowItems count="3">
    <i>
      <x/>
    </i>
    <i r="1">
      <x/>
    </i>
    <i t="grand">
      <x/>
    </i>
  </rowItems>
  <colFields count="2">
    <field x="7"/>
    <field x="2"/>
  </colFields>
  <colItems count="3">
    <i>
      <x/>
      <x/>
    </i>
    <i t="default">
      <x/>
    </i>
    <i t="grand">
      <x/>
    </i>
  </colItems>
  <pageFields count="2">
    <pageField fld="0" hier="-1"/>
    <pageField fld="1" hier="-1"/>
  </pageFields>
  <dataFields count="1">
    <dataField name="Count of ProjType_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FFD4FF-C2EF-4E02-ABF6-FE6D93E8E1DB}" name="PivotTable7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5:E15" firstHeaderRow="1" firstDataRow="1" firstDataCol="1" rowPageCount="3" colPageCount="1"/>
  <pivotFields count="82">
    <pivotField axis="axisPage" showAll="0">
      <items count="2">
        <item x="0"/>
        <item t="default"/>
      </items>
    </pivotField>
    <pivotField axis="axisPage" showAll="0">
      <items count="12">
        <item x="0"/>
        <item x="1"/>
        <item x="2"/>
        <item x="3"/>
        <item x="4"/>
        <item x="5"/>
        <item x="6"/>
        <item x="7"/>
        <item x="8"/>
        <item x="9"/>
        <item m="1" x="10"/>
        <item t="default"/>
      </items>
    </pivotField>
    <pivotField showAll="0"/>
    <pivotField showAll="0"/>
    <pivotField axis="axisPage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m="1" x="2"/>
        <item x="1"/>
        <item x="0"/>
        <item t="default"/>
      </items>
    </pivotField>
    <pivotField showAll="0"/>
    <pivotField axis="axisRow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numFmtId="14" showAll="0"/>
    <pivotField numFmtId="14" showAll="0"/>
    <pivotField showAll="0"/>
  </pivotFields>
  <rowFields count="4">
    <field x="22"/>
    <field x="25"/>
    <field x="24"/>
    <field x="27"/>
  </rowFields>
  <rowItems count="10">
    <i>
      <x v="1"/>
    </i>
    <i r="1">
      <x/>
    </i>
    <i r="2">
      <x/>
    </i>
    <i r="3">
      <x v="1"/>
    </i>
    <i>
      <x v="2"/>
    </i>
    <i r="1">
      <x/>
    </i>
    <i r="2">
      <x/>
    </i>
    <i r="3">
      <x/>
    </i>
    <i r="3">
      <x v="1"/>
    </i>
    <i t="grand">
      <x/>
    </i>
  </rowItems>
  <colItems count="1">
    <i/>
  </colItems>
  <pageFields count="3">
    <pageField fld="0" hier="-1"/>
    <pageField fld="1" hier="-1"/>
    <pageField fld="4" hier="-1"/>
  </pageFields>
  <dataFields count="1">
    <dataField name="Sum of WBE description_" fld="2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FCE06C-D6B9-448D-BB57-AA2F20629D75}" name="PivotTable8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4:T17" firstHeaderRow="1" firstDataRow="3" firstDataCol="1" rowPageCount="2" colPageCount="1"/>
  <pivotFields count="82">
    <pivotField axis="axisPage" showAll="0">
      <items count="2">
        <item x="0"/>
        <item t="default"/>
      </items>
    </pivotField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  <pivotField axis="axisRow" showAll="0">
      <items count="13">
        <item x="0"/>
        <item x="1"/>
        <item x="3"/>
        <item x="2"/>
        <item x="5"/>
        <item x="4"/>
        <item m="1" x="10"/>
        <item x="7"/>
        <item x="6"/>
        <item x="9"/>
        <item x="8"/>
        <item m="1" x="11"/>
        <item t="default"/>
      </items>
    </pivotField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numFmtId="14" showAll="0"/>
    <pivotField numFmtId="14" showAll="0"/>
    <pivotField showAll="0"/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0"/>
    </i>
    <i t="grand">
      <x/>
    </i>
  </rowItems>
  <colFields count="2">
    <field x="-2"/>
    <field x="9"/>
  </colFields>
  <colItems count="16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i="1">
      <x v="1"/>
      <x/>
    </i>
    <i r="1" i="1">
      <x v="1"/>
    </i>
    <i r="1" i="1">
      <x v="2"/>
    </i>
    <i r="1" i="1">
      <x v="3"/>
    </i>
    <i r="1" i="1">
      <x v="4"/>
    </i>
    <i r="1" i="1">
      <x v="5"/>
    </i>
    <i r="1" i="1">
      <x v="6"/>
    </i>
    <i t="grand">
      <x/>
    </i>
    <i t="grand" i="1">
      <x/>
    </i>
  </colItems>
  <pageFields count="2">
    <pageField fld="0" hier="-1"/>
    <pageField fld="5" hier="-1"/>
  </pageFields>
  <dataFields count="2">
    <dataField name="Sum of gen_" fld="10" baseField="0" baseItem="0"/>
    <dataField name="Sum of feb_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A0F701-29E0-4972-92A7-64A0C9BCA360}" name="PivotTable9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4:E15" firstHeaderRow="1" firstDataRow="1" firstDataCol="1" rowPageCount="2" colPageCount="1"/>
  <pivotFields count="82">
    <pivotField axis="axisPage" showAll="0">
      <items count="2">
        <item x="0"/>
        <item t="default"/>
      </items>
    </pivotField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dataField="1" showAll="0"/>
    <pivotField axis="axisRow" showAll="0">
      <items count="3">
        <item x="0"/>
        <item x="1"/>
        <item t="default"/>
      </items>
    </pivotField>
    <pivotField axis="axisRow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numFmtId="14" showAll="0"/>
    <pivotField numFmtId="14" showAll="0"/>
    <pivotField showAll="0"/>
  </pivotFields>
  <rowFields count="5">
    <field x="27"/>
    <field x="25"/>
    <field x="24"/>
    <field x="28"/>
    <field x="29"/>
  </rowFields>
  <rowItems count="11">
    <i>
      <x/>
    </i>
    <i r="1">
      <x/>
    </i>
    <i r="2">
      <x/>
    </i>
    <i r="3">
      <x/>
    </i>
    <i r="4">
      <x/>
    </i>
    <i>
      <x v="1"/>
    </i>
    <i r="1">
      <x/>
    </i>
    <i r="2">
      <x/>
    </i>
    <i r="3">
      <x/>
    </i>
    <i r="4">
      <x/>
    </i>
    <i t="grand">
      <x/>
    </i>
  </rowItems>
  <colItems count="1">
    <i/>
  </colItems>
  <pageFields count="2">
    <pageField fld="0" hier="-1"/>
    <pageField fld="5" hier="-1"/>
  </pageFields>
  <dataFields count="1">
    <dataField name="Sum of WBE description_" fld="2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4590A6-8D38-4668-9539-D0592C64C045}" name="PivotTable10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4:E15" firstHeaderRow="1" firstDataRow="1" firstDataCol="1" rowPageCount="2" colPageCount="1"/>
  <pivotFields count="82">
    <pivotField axis="axisPage" showAll="0">
      <items count="2">
        <item x="0"/>
        <item t="default"/>
      </items>
    </pivotField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dataField="1" showAll="0"/>
    <pivotField axis="axisRow" showAll="0">
      <items count="3">
        <item x="0"/>
        <item x="1"/>
        <item t="default"/>
      </items>
    </pivotField>
    <pivotField axis="axisRow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numFmtId="14" showAll="0"/>
    <pivotField numFmtId="14" showAll="0"/>
    <pivotField showAll="0"/>
  </pivotFields>
  <rowFields count="5">
    <field x="27"/>
    <field x="25"/>
    <field x="24"/>
    <field x="28"/>
    <field x="29"/>
  </rowFields>
  <rowItems count="11">
    <i>
      <x/>
    </i>
    <i r="1">
      <x/>
    </i>
    <i r="2">
      <x/>
    </i>
    <i r="3">
      <x/>
    </i>
    <i r="4">
      <x/>
    </i>
    <i>
      <x v="1"/>
    </i>
    <i r="1">
      <x/>
    </i>
    <i r="2">
      <x/>
    </i>
    <i r="3">
      <x/>
    </i>
    <i r="4">
      <x/>
    </i>
    <i t="grand">
      <x/>
    </i>
  </rowItems>
  <colItems count="1">
    <i/>
  </colItems>
  <pageFields count="2">
    <pageField fld="0" hier="-1"/>
    <pageField fld="5" hier="-1"/>
  </pageFields>
  <dataFields count="1">
    <dataField name="Sum of WBE description_" fld="2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blBudget" displayName="tblBudget" ref="A2:S3" totalsRowShown="0">
  <autoFilter ref="A2:S3" xr:uid="{00000000-0009-0000-0100-000002000000}"/>
  <tableColumns count="19">
    <tableColumn id="1" xr3:uid="{00000000-0010-0000-0000-000001000000}" name="da considerare?_" dataDxfId="82">
      <calculatedColumnFormula>IF(  AND(  tblBudget[[#This Row],[Business ]]&gt;"",  tblBudget[[#This Row],[CATEGORIA]]=""), "no", "sì")</calculatedColumnFormula>
    </tableColumn>
    <tableColumn id="2" xr3:uid="{00000000-0010-0000-0000-000002000000}" name="BusinessArea_">
      <calculatedColumnFormula>tblBudget[[#This Row],[Business ]]</calculatedColumnFormula>
    </tableColumn>
    <tableColumn id="3" xr3:uid="{00000000-0010-0000-0000-000003000000}" name="ProjType_" dataDxfId="81">
      <calculatedColumnFormula>INDEX( tab_ProjTypeCluster[ProjType],
         MATCH(   tblBudget[[#This Row],[CATEGORIA]],
                      tab_ProjTypeCluster[Macro area], 0)  )</calculatedColumnFormula>
    </tableColumn>
    <tableColumn id="4" xr3:uid="{00000000-0010-0000-0000-000004000000}" name="ProjType Cluster 1_" dataDxfId="80">
      <calculatedColumnFormula>INDEX( tab_ProjTypeCluster[ProjType Cluster 1],   MATCH(tblBudget[[#This Row],[CATEGORIA]], tab_ProjTypeCluster[Macro area], 0 ) )</calculatedColumnFormula>
    </tableColumn>
    <tableColumn id="5" xr3:uid="{00000000-0010-0000-0000-000005000000}" name="ProjType Cluster 2_" dataDxfId="79">
      <calculatedColumnFormula>INDEX( tab_ProjTypeCluster[ProjType Cluster 2],   MATCH(tblBudget[[#This Row],[CATEGORIA]], tab_ProjTypeCluster[Macro area], 0) )</calculatedColumnFormula>
    </tableColumn>
    <tableColumn id="6" xr3:uid="{00000000-0010-0000-0000-000006000000}" name="Nome progetto_" dataDxfId="78"/>
    <tableColumn id="7" xr3:uid="{00000000-0010-0000-0000-000007000000}" name="EngUnit area cluster 1_" dataDxfId="77">
      <calculatedColumnFormula>INDEX(tab_resp1liv[EngUnit area cluster 1_],
                    MATCH(SUBSTITUTE( SUBSTITUTE(#REF!, "(ai)", ""), " ", ""),
                                      tab_resp1liv[SearchKey], 0  ) )</calculatedColumnFormula>
    </tableColumn>
    <tableColumn id="8" xr3:uid="{00000000-0010-0000-0000-000008000000}" name="BDG est_" dataDxfId="76">
      <calculatedColumnFormula>tblBudget[[#This Row],[EST]]+tblBudget[[#This Row],[EST3]]</calculatedColumnFormula>
    </tableColumn>
    <tableColumn id="9" xr3:uid="{00000000-0010-0000-0000-000009000000}" name="BDG int_" dataDxfId="75">
      <calculatedColumnFormula>tblBudget[[#This Row],[INT]]+tblBudget[[#This Row],[INT2]]</calculatedColumnFormula>
    </tableColumn>
    <tableColumn id="10" xr3:uid="{00000000-0010-0000-0000-00000A000000}" name="BDG_" dataDxfId="74">
      <calculatedColumnFormula>tblBudget[[#This Row],[TOTALE TOT]]</calculatedColumnFormula>
    </tableColumn>
    <tableColumn id="11" xr3:uid="{00000000-0010-0000-0000-00000B000000}" name="Business "/>
    <tableColumn id="12" xr3:uid="{00000000-0010-0000-0000-00000C000000}" name="CATEGORIA"/>
    <tableColumn id="13" xr3:uid="{00000000-0010-0000-0000-00000D000000}" name="INT"/>
    <tableColumn id="14" xr3:uid="{00000000-0010-0000-0000-00000E000000}" name="EST"/>
    <tableColumn id="15" xr3:uid="{00000000-0010-0000-0000-00000F000000}" name="totale Gamberini"/>
    <tableColumn id="16" xr3:uid="{00000000-0010-0000-0000-000010000000}" name="INT2"/>
    <tableColumn id="17" xr3:uid="{00000000-0010-0000-0000-000011000000}" name="EST3"/>
    <tableColumn id="18" xr3:uid="{00000000-0010-0000-0000-000012000000}" name="totale Lanzarini"/>
    <tableColumn id="19" xr3:uid="{00000000-0010-0000-0000-000013000000}" name="TOTALE TO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blForecast" displayName="tblForecast" ref="A2:X3" totalsRowShown="0">
  <autoFilter ref="A2:X3" xr:uid="{00000000-0009-0000-0100-000003000000}"/>
  <tableColumns count="24">
    <tableColumn id="1" xr3:uid="{00000000-0010-0000-0100-000001000000}" name="da considerare?" dataDxfId="73">
      <calculatedColumnFormula>IF(  AND(  tblForecast[[#This Row],[Business ]]&gt;"",  tblForecast[[#This Row],[CATEGORIA]]=""), "no", "sì")</calculatedColumnFormula>
    </tableColumn>
    <tableColumn id="2" xr3:uid="{00000000-0010-0000-0100-000002000000}" name="Proj type cluster 1" dataDxfId="72">
      <calculatedColumnFormula>IF(  tblForecast[[#This Row],[da considerare?]]="sì",  INDEX( tab_ProjType[ProjType Cluster 1], MATCH( tblForecast[[#This Row],[CATEGORIA TMP]], tab_ProjType[Macro area],0)),   "")</calculatedColumnFormula>
    </tableColumn>
    <tableColumn id="3" xr3:uid="{00000000-0010-0000-0100-000003000000}" name="Proj type cluster 2" dataDxfId="71">
      <calculatedColumnFormula>IF(  tblForecast[[#This Row],[da considerare?]]="sì",  INDEX( tab_ProjType[ProjType Cluster 2], MATCH( tblForecast[[#This Row],[CATEGORIA TMP]], tab_ProjType[Macro area],0)),   "")</calculatedColumnFormula>
    </tableColumn>
    <tableColumn id="4" xr3:uid="{00000000-0010-0000-0100-000004000000}" name="Business" dataDxfId="70">
      <calculatedColumnFormula>IF(tblForecast[[#This Row],[Business ]]&gt;"",    tblForecast[[#This Row],[Business ]],D2)</calculatedColumnFormula>
    </tableColumn>
    <tableColumn id="5" xr3:uid="{00000000-0010-0000-0100-000005000000}" name="CATEGORIA_" dataDxfId="69">
      <calculatedColumnFormula>tblForecast[[#This Row],[CATEGORIA TMP]]&amp;""</calculatedColumnFormula>
    </tableColumn>
    <tableColumn id="6" xr3:uid="{00000000-0010-0000-0100-000006000000}" name="ENG TOB - INT_" dataDxfId="68">
      <calculatedColumnFormula>tblForecast[[#This Row],[INT]]</calculatedColumnFormula>
    </tableColumn>
    <tableColumn id="7" xr3:uid="{00000000-0010-0000-0100-000007000000}" name="ENG TOB - EST_" dataDxfId="67">
      <calculatedColumnFormula>tblForecast[[#This Row],[EST]]</calculatedColumnFormula>
    </tableColumn>
    <tableColumn id="8" xr3:uid="{00000000-0010-0000-0100-000008000000}" name="ENG TOB Totale_" dataDxfId="66">
      <calculatedColumnFormula>tblForecast[[#This Row],[totale Gamberini]]</calculatedColumnFormula>
    </tableColumn>
    <tableColumn id="9" xr3:uid="{00000000-0010-0000-0100-000009000000}" name="ENG LPP - INT_" dataDxfId="65">
      <calculatedColumnFormula>tblForecast[[#This Row],[INT2]]</calculatedColumnFormula>
    </tableColumn>
    <tableColumn id="10" xr3:uid="{00000000-0010-0000-0100-00000A000000}" name="ENG LPP - EST_" dataDxfId="64">
      <calculatedColumnFormula>tblForecast[[#This Row],[EST3]]</calculatedColumnFormula>
    </tableColumn>
    <tableColumn id="11" xr3:uid="{00000000-0010-0000-0100-00000B000000}" name="ENG LPP Totale_" dataDxfId="63">
      <calculatedColumnFormula>tblForecast[[#This Row],[totale Lanzarini]]</calculatedColumnFormula>
    </tableColumn>
    <tableColumn id="12" xr3:uid="{00000000-0010-0000-0100-00000C000000}" name="int FORECAST_" dataDxfId="62">
      <calculatedColumnFormula>tblForecast[[#This Row],[INT]]+tblForecast[[#This Row],[INT2]]</calculatedColumnFormula>
    </tableColumn>
    <tableColumn id="13" xr3:uid="{00000000-0010-0000-0100-00000D000000}" name="ext FORECAST_" dataDxfId="61">
      <calculatedColumnFormula>tblForecast[[#This Row],[EST]]+tblForecast[[#This Row],[EST3]]</calculatedColumnFormula>
    </tableColumn>
    <tableColumn id="14" xr3:uid="{00000000-0010-0000-0100-00000E000000}" name="FORECAST Totale_" dataDxfId="60">
      <calculatedColumnFormula>tblForecast[[#This Row],[TOTALE TOT]]</calculatedColumnFormula>
    </tableColumn>
    <tableColumn id="15" xr3:uid="{00000000-0010-0000-0100-00000F000000}" name="CATEGORIA TMP" dataDxfId="59">
      <calculatedColumnFormula>IF( LEFT(tblForecast[[#This Row],[CATEGORIA]],3)="R&amp;D", "R&amp;D", tblForecast[[#This Row],[CATEGORIA]] )</calculatedColumnFormula>
    </tableColumn>
    <tableColumn id="16" xr3:uid="{00000000-0010-0000-0100-000010000000}" name="Business "/>
    <tableColumn id="17" xr3:uid="{00000000-0010-0000-0100-000011000000}" name="CATEGORIA"/>
    <tableColumn id="18" xr3:uid="{00000000-0010-0000-0100-000012000000}" name="INT"/>
    <tableColumn id="19" xr3:uid="{00000000-0010-0000-0100-000013000000}" name="EST"/>
    <tableColumn id="20" xr3:uid="{00000000-0010-0000-0100-000014000000}" name="totale Gamberini"/>
    <tableColumn id="21" xr3:uid="{00000000-0010-0000-0100-000015000000}" name="INT2"/>
    <tableColumn id="22" xr3:uid="{00000000-0010-0000-0100-000016000000}" name="EST3"/>
    <tableColumn id="23" xr3:uid="{00000000-0010-0000-0100-000017000000}" name="totale Lanzarini"/>
    <tableColumn id="24" xr3:uid="{00000000-0010-0000-0100-000018000000}" name="TOTALE TO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blRunRate" displayName="tblRunRate" ref="A1:L2" totalsRowShown="0" dataDxfId="58">
  <autoFilter ref="A1:L2" xr:uid="{00000000-0009-0000-0100-000004000000}"/>
  <tableColumns count="12">
    <tableColumn id="1" xr3:uid="{00000000-0010-0000-0200-000001000000}" name="01" dataDxfId="57"/>
    <tableColumn id="2" xr3:uid="{00000000-0010-0000-0200-000002000000}" name="02" dataDxfId="56"/>
    <tableColumn id="3" xr3:uid="{00000000-0010-0000-0200-000003000000}" name="03" dataDxfId="55"/>
    <tableColumn id="4" xr3:uid="{00000000-0010-0000-0200-000004000000}" name="04" dataDxfId="54"/>
    <tableColumn id="5" xr3:uid="{00000000-0010-0000-0200-000005000000}" name="05" dataDxfId="53"/>
    <tableColumn id="6" xr3:uid="{00000000-0010-0000-0200-000006000000}" name="06" dataDxfId="52"/>
    <tableColumn id="7" xr3:uid="{00000000-0010-0000-0200-000007000000}" name="07" dataDxfId="51"/>
    <tableColumn id="8" xr3:uid="{00000000-0010-0000-0200-000008000000}" name="08" dataDxfId="50"/>
    <tableColumn id="9" xr3:uid="{00000000-0010-0000-0200-000009000000}" name="09" dataDxfId="49"/>
    <tableColumn id="10" xr3:uid="{00000000-0010-0000-0200-00000A000000}" name="10" dataDxfId="48"/>
    <tableColumn id="11" xr3:uid="{00000000-0010-0000-0200-00000B000000}" name="11" dataDxfId="47"/>
    <tableColumn id="12" xr3:uid="{00000000-0010-0000-0200-00000C000000}" name="12" dataDxfId="4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tabSuperdettagli" displayName="tabSuperdettagli" ref="A2:CD102" totalsRowShown="0" headerRowDxfId="45">
  <autoFilter ref="A2:CD102" xr:uid="{00000000-0009-0000-0100-000001000000}"/>
  <tableColumns count="82">
    <tableColumn id="1" xr3:uid="{00000000-0010-0000-0300-000001000000}" name="da considerare?_" dataDxfId="44">
      <calculatedColumnFormula>IF(UPPER(LEFT(tabSuperdettagli[[#This Row],[WBE Status]],1))="S","sì","no")</calculatedColumnFormula>
    </tableColumn>
    <tableColumn id="2" xr3:uid="{00000000-0010-0000-0300-000002000000}" name="Anno_" dataDxfId="43"/>
    <tableColumn id="3" xr3:uid="{00000000-0010-0000-0300-000003000000}" name="Anno di prima marcatura (=anno di apertura progetto)" dataDxfId="42">
      <calculatedColumnFormula>VLOOKUP(tabSuperdettagli[[#This Row],[WBS_]],Pivot_AnnoPrimaMarcatura!A:B,2,FALSE)</calculatedColumnFormula>
    </tableColumn>
    <tableColumn id="4" xr3:uid="{00000000-0010-0000-0300-000004000000}" name="WBS_" dataDxfId="41">
      <calculatedColumnFormula>LEFT(tabSuperdettagli[[#This Row],[Network]], 10)</calculatedColumnFormula>
    </tableColumn>
    <tableColumn id="5" xr3:uid="{00000000-0010-0000-0300-000005000000}" name="ProjType_" dataDxfId="40">
      <calculatedColumnFormula>LEFT(tabSuperdettagli[[#This Row],[Network]], 1)</calculatedColumnFormula>
    </tableColumn>
    <tableColumn id="6" xr3:uid="{00000000-0010-0000-0300-000006000000}" name="U ProjType_" dataDxfId="39">
      <calculatedColumnFormula>LOWER(TRIM( tabSuperdettagli[[#This Row],[Proj. Type ]] ))</calculatedColumnFormula>
    </tableColumn>
    <tableColumn id="7" xr3:uid="{00000000-0010-0000-0300-000007000000}" name="ProjType Cluster" dataDxfId="38">
      <calculatedColumnFormula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calculatedColumnFormula>
    </tableColumn>
    <tableColumn id="8" xr3:uid="{00000000-0010-0000-0300-000008000000}" name="ProjType Cluster2" dataDxfId="37"/>
    <tableColumn id="9" xr3:uid="{00000000-0010-0000-0300-000009000000}" name="BussinessArea Cluster" dataDxfId="36">
      <calculatedColumnFormula>IF(  TRIM(#REF!)&gt; "", TRIM(#REF!), TRIM(tabSuperdettagli[[#This Row],[Resp DT]] ) )</calculatedColumnFormula>
    </tableColumn>
    <tableColumn id="10" xr3:uid="{00000000-0010-0000-0300-00000A000000}" name="ORE_" dataDxfId="35">
      <calculatedColumnFormula>tabSuperdettagli[[#This Row],[Total]]</calculatedColumnFormula>
    </tableColumn>
    <tableColumn id="11" xr3:uid="{00000000-0010-0000-0300-00000B000000}" name="gen_" dataDxfId="34">
      <calculatedColumnFormula>tabSuperdettagli[[#This Row],[01.2025]]</calculatedColumnFormula>
    </tableColumn>
    <tableColumn id="12" xr3:uid="{00000000-0010-0000-0300-00000C000000}" name="feb_" dataDxfId="33">
      <calculatedColumnFormula>tabSuperdettagli[[#This Row],[02.2025]]</calculatedColumnFormula>
    </tableColumn>
    <tableColumn id="13" xr3:uid="{00000000-0010-0000-0300-00000D000000}" name="mar_" dataDxfId="32">
      <calculatedColumnFormula>tabSuperdettagli[[#This Row],[03.2025]]</calculatedColumnFormula>
    </tableColumn>
    <tableColumn id="14" xr3:uid="{00000000-0010-0000-0300-00000E000000}" name="apr_" dataDxfId="31">
      <calculatedColumnFormula>tabSuperdettagli[[#This Row],[04.2025]]</calculatedColumnFormula>
    </tableColumn>
    <tableColumn id="15" xr3:uid="{00000000-0010-0000-0300-00000F000000}" name="mag_" dataDxfId="30">
      <calculatedColumnFormula>tabSuperdettagli[[#This Row],[05.2025]]</calculatedColumnFormula>
    </tableColumn>
    <tableColumn id="16" xr3:uid="{00000000-0010-0000-0300-000010000000}" name="giu_" dataDxfId="29">
      <calculatedColumnFormula>tabSuperdettagli[[#This Row],[06.2025]]</calculatedColumnFormula>
    </tableColumn>
    <tableColumn id="17" xr3:uid="{00000000-0010-0000-0300-000011000000}" name="lug_" dataDxfId="28">
      <calculatedColumnFormula>tabSuperdettagli[[#This Row],[07.2025]]</calculatedColumnFormula>
    </tableColumn>
    <tableColumn id="18" xr3:uid="{00000000-0010-0000-0300-000012000000}" name="ago_" dataDxfId="27">
      <calculatedColumnFormula>tabSuperdettagli[[#This Row],[08.2025]]</calculatedColumnFormula>
    </tableColumn>
    <tableColumn id="19" xr3:uid="{00000000-0010-0000-0300-000013000000}" name="set_" dataDxfId="26">
      <calculatedColumnFormula>tabSuperdettagli[[#This Row],[09.2025]]</calculatedColumnFormula>
    </tableColumn>
    <tableColumn id="20" xr3:uid="{00000000-0010-0000-0300-000014000000}" name="ott_" dataDxfId="25">
      <calculatedColumnFormula>tabSuperdettagli[[#This Row],[10.2025]]</calculatedColumnFormula>
    </tableColumn>
    <tableColumn id="21" xr3:uid="{00000000-0010-0000-0300-000015000000}" name="nov_" dataDxfId="24">
      <calculatedColumnFormula>tabSuperdettagli[[#This Row],[11.2025]]</calculatedColumnFormula>
    </tableColumn>
    <tableColumn id="22" xr3:uid="{00000000-0010-0000-0300-000016000000}" name="dic_" dataDxfId="23">
      <calculatedColumnFormula>tabSuperdettagli[[#This Row],[12.2025]]</calculatedColumnFormula>
    </tableColumn>
    <tableColumn id="23" xr3:uid="{00000000-0010-0000-0300-000017000000}" name="tipo risorsa_" dataDxfId="22">
      <calculatedColumnFormula>tabSuperdettagli[[#This Row],[INT/EST]]</calculatedColumnFormula>
    </tableColumn>
    <tableColumn id="24" xr3:uid="{00000000-0010-0000-0300-000018000000}" name="Resp 1°liv_" dataDxfId="21">
      <calculatedColumnFormula>tabSuperdettagli[[#This Row],[Resp 2°liv]]&amp;""</calculatedColumnFormula>
    </tableColumn>
    <tableColumn id="25" xr3:uid="{00000000-0010-0000-0300-000019000000}" name="EngUnit area cluster 1_" dataDxfId="20">
      <calculatedColumnFormula>INDEX(     tab_resp1liv[EngUnit area cluster 1_],
                    MATCH(   SUBSTITUTE(tabSuperdettagli[[#This Row],[Resp 2°liv]],  " ", ""),
                                      tab_resp1liv[SearchKey],0))</calculatedColumnFormula>
    </tableColumn>
    <tableColumn id="26" xr3:uid="{00000000-0010-0000-0300-00001A000000}" name="WBS description_" dataDxfId="19">
      <calculatedColumnFormula>tabSuperdettagli[[#This Row],[WBS Element]]&amp;""</calculatedColumnFormula>
    </tableColumn>
    <tableColumn id="27" xr3:uid="{00000000-0010-0000-0300-00001B000000}" name="WBE description_" dataDxfId="18">
      <calculatedColumnFormula>tabSuperdettagli[[#This Row],[09.2025]]</calculatedColumnFormula>
    </tableColumn>
    <tableColumn id="28" xr3:uid="{00000000-0010-0000-0300-00001C000000}" name="WBS D description_" dataDxfId="17"/>
    <tableColumn id="29" xr3:uid="{00000000-0010-0000-0300-00001D000000}" name="WBS M description_" dataDxfId="16">
      <calculatedColumnFormula>IF( tabSuperdettagli[[#This Row],[ProjType_]]="M",  IF(  AND(tabSuperdettagli[[#This Row],[Resp 1°liv_]]="Guidotti C.", tabSuperdettagli[[#This Row],[WBE description_]]="Machine Mgmt"), "Documentation", tabSuperdettagli[[#This Row],[WBE description_]]),  "" )</calculatedColumnFormula>
    </tableColumn>
    <tableColumn id="30" xr3:uid="{00000000-0010-0000-0300-00001E000000}" name="WBE per WBS-K" dataDxfId="15">
      <calculatedColumnFormula>LEFT(tabSuperdettagli[[#This Row],[Network]], 18 )</calculatedColumnFormula>
    </tableColumn>
    <tableColumn id="31" xr3:uid="{00000000-0010-0000-0300-00001F000000}" name="Sender Cost Center"/>
    <tableColumn id="32" xr3:uid="{00000000-0010-0000-0300-000020000000}" name="Personnel Number"/>
    <tableColumn id="33" xr3:uid="{00000000-0010-0000-0300-000021000000}" name="Last name First name"/>
    <tableColumn id="34" xr3:uid="{00000000-0010-0000-0300-000022000000}" name="Project Description"/>
    <tableColumn id="35" xr3:uid="{00000000-0010-0000-0300-000023000000}" name="WBS Element"/>
    <tableColumn id="36" xr3:uid="{00000000-0010-0000-0300-000024000000}" name="Network"/>
    <tableColumn id="37" xr3:uid="{00000000-0010-0000-0300-000025000000}" name="Operation/Activity"/>
    <tableColumn id="38" xr3:uid="{00000000-0010-0000-0300-000026000000}" name="Acct assgnt text"/>
    <tableColumn id="39" xr3:uid="{00000000-0010-0000-0300-000027000000}" name="WBS Element - Project Definition (Text)"/>
    <tableColumn id="40" xr3:uid="{00000000-0010-0000-0300-000028000000}" name="Network descr"/>
    <tableColumn id="41" xr3:uid="{00000000-0010-0000-0300-000029000000}" name="PROJ CODE"/>
    <tableColumn id="42" xr3:uid="{00000000-0010-0000-0300-00002A000000}" name="INT/EST"/>
    <tableColumn id="43" xr3:uid="{00000000-0010-0000-0300-00002B000000}" name="Raggr. X Struttura"/>
    <tableColumn id="44" xr3:uid="{00000000-0010-0000-0300-00002C000000}" name="MESE"/>
    <tableColumn id="45" xr3:uid="{00000000-0010-0000-0300-00002D000000}" name="Resp 2°liv"/>
    <tableColumn id="46" xr3:uid="{00000000-0010-0000-0300-00002E000000}" name="CDC bdg"/>
    <tableColumn id="47" xr3:uid="{00000000-0010-0000-0300-00002F000000}" name="Resp 1°liv"/>
    <tableColumn id="48" xr3:uid="{00000000-0010-0000-0300-000030000000}" name="Resp DT"/>
    <tableColumn id="49" xr3:uid="{00000000-0010-0000-0300-000031000000}" name="TIPO REP"/>
    <tableColumn id="50" xr3:uid="{00000000-0010-0000-0300-000032000000}" name="Bus Area GDLT"/>
    <tableColumn id="51" xr3:uid="{00000000-0010-0000-0300-000033000000}" name="Bus Area_2"/>
    <tableColumn id="52" xr3:uid="{00000000-0010-0000-0300-000034000000}" name="tipo progetto"/>
    <tableColumn id="53" xr3:uid="{00000000-0010-0000-0300-000035000000}" name="Proj name"/>
    <tableColumn id="54" xr3:uid="{00000000-0010-0000-0300-000036000000}" name="machine code"/>
    <tableColumn id="55" xr3:uid="{00000000-0010-0000-0300-000037000000}" name="product area"/>
    <tableColumn id="56" xr3:uid="{00000000-0010-0000-0300-000038000000}" name="Resp del Prodotto"/>
    <tableColumn id="57" xr3:uid="{00000000-0010-0000-0300-000039000000}" name="Area di bdg"/>
    <tableColumn id="58" xr3:uid="{00000000-0010-0000-0300-00003A000000}" name="Macchina"/>
    <tableColumn id="59" xr3:uid="{00000000-0010-0000-0300-00003B000000}" name="Sottotipo"/>
    <tableColumn id="60" xr3:uid="{00000000-0010-0000-0300-00003C000000}" name="Cluster"/>
    <tableColumn id="61" xr3:uid="{00000000-0010-0000-0300-00003D000000}" name="Quadrante"/>
    <tableColumn id="62" xr3:uid="{00000000-0010-0000-0300-00003E000000}" name="01.2025"/>
    <tableColumn id="63" xr3:uid="{00000000-0010-0000-0300-00003F000000}" name="02.2025"/>
    <tableColumn id="64" xr3:uid="{00000000-0010-0000-0300-000040000000}" name="03.2025"/>
    <tableColumn id="65" xr3:uid="{00000000-0010-0000-0300-000041000000}" name="04.2025"/>
    <tableColumn id="66" xr3:uid="{00000000-0010-0000-0300-000042000000}" name="05.2025"/>
    <tableColumn id="67" xr3:uid="{00000000-0010-0000-0300-000043000000}" name="06.2025"/>
    <tableColumn id="68" xr3:uid="{00000000-0010-0000-0300-000044000000}" name="07.2025"/>
    <tableColumn id="69" xr3:uid="{00000000-0010-0000-0300-000045000000}" name="08.2025"/>
    <tableColumn id="70" xr3:uid="{00000000-0010-0000-0300-000046000000}" name="09.2025"/>
    <tableColumn id="71" xr3:uid="{00000000-0010-0000-0300-000047000000}" name="10.2025"/>
    <tableColumn id="72" xr3:uid="{00000000-0010-0000-0300-000048000000}" name="11.2025"/>
    <tableColumn id="73" xr3:uid="{00000000-0010-0000-0300-000049000000}" name="12.2025"/>
    <tableColumn id="74" xr3:uid="{00000000-0010-0000-0300-00004A000000}" name="Total"/>
    <tableColumn id="75" xr3:uid="{00000000-0010-0000-0300-00004B000000}" name="WBE Status"/>
    <tableColumn id="76" xr3:uid="{00000000-0010-0000-0300-00004C000000}" name="competence date " dataDxfId="14"/>
    <tableColumn id="77" xr3:uid="{00000000-0010-0000-0300-00004D000000}" name="Proj. Type "/>
    <tableColumn id="78" xr3:uid="{00000000-0010-0000-0300-00004E000000}" name="WBE Name"/>
    <tableColumn id="79" xr3:uid="{00000000-0010-0000-0300-00004F000000}" name="Engineering Area"/>
    <tableColumn id="80" xr3:uid="{00000000-0010-0000-0300-000050000000}" name="Data Accettazione"/>
    <tableColumn id="81" xr3:uid="{00000000-0010-0000-0300-000051000000}" name="Data Uscita GD" dataDxfId="13"/>
    <tableColumn id="82" xr3:uid="{056410C7-2D0B-4A3C-92A3-B542CB575802}" name="REP U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tab_ProjType" displayName="tab_ProjType" ref="F1:I15" totalsRowShown="0" headerRowDxfId="12">
  <autoFilter ref="F1:I15" xr:uid="{00000000-0009-0000-0100-000007000000}"/>
  <tableColumns count="4">
    <tableColumn id="1" xr3:uid="{00000000-0010-0000-0400-000001000000}" name="Macro area" dataDxfId="11"/>
    <tableColumn id="2" xr3:uid="{00000000-0010-0000-0400-000002000000}" name="ProjType"/>
    <tableColumn id="3" xr3:uid="{00000000-0010-0000-0400-000003000000}" name="ProjType Cluster 1" dataDxfId="10"/>
    <tableColumn id="4" xr3:uid="{00000000-0010-0000-0400-000004000000}" name="ProjType Cluster 2" dataDxfId="9" dataCellStyle="Normal 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tab_ProjTypeCluster" displayName="tab_ProjTypeCluster" ref="F1:I21" totalsRowShown="0">
  <autoFilter ref="F1:I21" xr:uid="{00000000-0009-0000-0100-000008000000}"/>
  <tableColumns count="4">
    <tableColumn id="1" xr3:uid="{00000000-0010-0000-0500-000001000000}" name="Macro area"/>
    <tableColumn id="2" xr3:uid="{00000000-0010-0000-0500-000002000000}" name="ProjType"/>
    <tableColumn id="3" xr3:uid="{00000000-0010-0000-0500-000003000000}" name="ProjType Cluster 1" dataDxfId="8"/>
    <tableColumn id="4" xr3:uid="{00000000-0010-0000-0500-000004000000}" name="ProjType Cluster 2" dataDxfId="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tab_resp1liv" displayName="tab_resp1liv" ref="A1:C27" totalsRowShown="0">
  <autoFilter ref="A1:C27" xr:uid="{00000000-0009-0000-0100-000009000000}"/>
  <tableColumns count="3">
    <tableColumn id="3" xr3:uid="{00000000-0010-0000-0600-000003000000}" name="SearchKey" dataDxfId="6">
      <calculatedColumnFormula>SUBSTITUTE(tab_resp1liv[[#This Row],[Resp 1°liv2]], " ", "")</calculatedColumnFormula>
    </tableColumn>
    <tableColumn id="1" xr3:uid="{00000000-0010-0000-0600-000001000000}" name="Resp 1°liv2"/>
    <tableColumn id="2" xr3:uid="{00000000-0010-0000-0600-000002000000}" name="EngUnit area cluster 1_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7000000}" name="tab_progettiD" displayName="tab_progettiD" ref="A3:B363" totalsRowShown="0">
  <autoFilter ref="A3:B363" xr:uid="{00000000-0009-0000-0100-00000A000000}"/>
  <sortState xmlns:xlrd2="http://schemas.microsoft.com/office/spreadsheetml/2017/richdata2" ref="A4:B355">
    <sortCondition ref="A3:A355"/>
  </sortState>
  <tableColumns count="2">
    <tableColumn id="1" xr3:uid="{00000000-0010-0000-0700-000001000000}" name="WBS"/>
    <tableColumn id="2" xr3:uid="{00000000-0010-0000-0700-000002000000}" name="PROJECT HIGHLIGH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8000000}" name="tblIndexPowerpoint7" displayName="tblIndexPowerpoint7" ref="A3:F82" totalsRowShown="0" headerRowDxfId="5">
  <autoFilter ref="A3:F82" xr:uid="{00000000-0009-0000-0100-000006000000}"/>
  <tableColumns count="6">
    <tableColumn id="1" xr3:uid="{00000000-0010-0000-0800-000001000000}" name="Powerpoint File"/>
    <tableColumn id="2" xr3:uid="{00000000-0010-0000-0800-000002000000}" name="Title"/>
    <tableColumn id="3" xr3:uid="{00000000-0010-0000-0800-000003000000}" name="Content 1" dataDxfId="4"/>
    <tableColumn id="4" xr3:uid="{00000000-0010-0000-0800-000004000000}" name="Content 2" dataDxfId="3"/>
    <tableColumn id="5" xr3:uid="{00000000-0010-0000-0800-000005000000}" name="Content 3" dataDxfId="2"/>
    <tableColumn id="6" xr3:uid="{00000000-0010-0000-0800-000006000000}" name="Layout" dataDxfId="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9000000}" name="tblFieldFilters1213" displayName="tblFieldFilters1213" ref="K3:L15" totalsRowShown="0" headerRowDxfId="0">
  <autoFilter ref="K3:L15" xr:uid="{00000000-0009-0000-0100-00000C000000}"/>
  <sortState xmlns:xlrd2="http://schemas.microsoft.com/office/spreadsheetml/2017/richdata2" ref="K4:L15">
    <sortCondition ref="K4:K15"/>
    <sortCondition ref="L4:L15"/>
  </sortState>
  <tableColumns count="2">
    <tableColumn id="3" xr3:uid="{00000000-0010-0000-0900-000003000000}" name="TABLE"/>
    <tableColumn id="1" xr3:uid="{00000000-0010-0000-0900-000001000000}" name="Nome colonna filtrabil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59999389629810485"/>
  </sheetPr>
  <dimension ref="A1:S3"/>
  <sheetViews>
    <sheetView zoomScaleNormal="100" workbookViewId="0">
      <selection activeCell="G39" sqref="G39"/>
    </sheetView>
  </sheetViews>
  <sheetFormatPr defaultRowHeight="15" x14ac:dyDescent="0.25"/>
  <cols>
    <col min="1" max="1" width="18.42578125" bestFit="1" customWidth="1"/>
    <col min="2" max="2" width="16.28515625" bestFit="1" customWidth="1"/>
    <col min="3" max="3" width="12.140625" bestFit="1" customWidth="1"/>
    <col min="4" max="5" width="20.5703125" bestFit="1" customWidth="1"/>
    <col min="6" max="6" width="18" bestFit="1" customWidth="1"/>
    <col min="7" max="7" width="23.85546875" bestFit="1" customWidth="1"/>
    <col min="8" max="8" width="11.28515625" bestFit="1" customWidth="1"/>
    <col min="9" max="9" width="11" bestFit="1" customWidth="1"/>
    <col min="10" max="10" width="8.140625" bestFit="1" customWidth="1"/>
    <col min="11" max="11" width="15.85546875" customWidth="1"/>
    <col min="12" max="12" width="15.85546875" bestFit="1" customWidth="1"/>
    <col min="13" max="14" width="8.5703125" bestFit="1" customWidth="1"/>
    <col min="15" max="15" width="20.85546875" bestFit="1" customWidth="1"/>
    <col min="16" max="17" width="9.5703125" bestFit="1" customWidth="1"/>
    <col min="18" max="18" width="19.28515625" bestFit="1" customWidth="1"/>
    <col min="19" max="19" width="16" bestFit="1" customWidth="1"/>
  </cols>
  <sheetData>
    <row r="1" spans="1:19" x14ac:dyDescent="0.25">
      <c r="A1" s="133" t="s">
        <v>0</v>
      </c>
      <c r="B1" s="134"/>
      <c r="C1" s="134"/>
      <c r="D1" s="134"/>
      <c r="E1" s="134"/>
      <c r="F1" s="134"/>
      <c r="G1" s="134"/>
      <c r="H1" s="134"/>
      <c r="I1" s="134"/>
      <c r="J1" s="135"/>
      <c r="K1" s="136" t="s">
        <v>1</v>
      </c>
      <c r="L1" s="137"/>
      <c r="M1" s="137"/>
      <c r="N1" s="137"/>
      <c r="O1" s="137"/>
      <c r="P1" s="137"/>
      <c r="Q1" s="137"/>
      <c r="R1" s="137"/>
      <c r="S1" s="137"/>
    </row>
    <row r="2" spans="1:19" x14ac:dyDescent="0.25">
      <c r="A2" s="68" t="s">
        <v>2</v>
      </c>
      <c r="B2" s="68" t="s">
        <v>3</v>
      </c>
      <c r="C2" s="68" t="s">
        <v>4</v>
      </c>
      <c r="D2" s="68" t="s">
        <v>5</v>
      </c>
      <c r="E2" s="68" t="s">
        <v>6</v>
      </c>
      <c r="F2" s="68" t="s">
        <v>7</v>
      </c>
      <c r="G2" s="68" t="s">
        <v>8</v>
      </c>
      <c r="H2" s="68" t="s">
        <v>9</v>
      </c>
      <c r="I2" s="68" t="s">
        <v>10</v>
      </c>
      <c r="J2" s="68" t="s">
        <v>11</v>
      </c>
      <c r="K2" s="87" t="s">
        <v>181</v>
      </c>
      <c r="L2" s="87" t="s">
        <v>12</v>
      </c>
      <c r="M2" s="87" t="s">
        <v>13</v>
      </c>
      <c r="N2" s="87" t="s">
        <v>14</v>
      </c>
      <c r="O2" s="87" t="s">
        <v>15</v>
      </c>
      <c r="P2" s="87" t="s">
        <v>16</v>
      </c>
      <c r="Q2" s="87" t="s">
        <v>17</v>
      </c>
      <c r="R2" s="87" t="s">
        <v>18</v>
      </c>
      <c r="S2" s="87" t="s">
        <v>19</v>
      </c>
    </row>
    <row r="3" spans="1:19" x14ac:dyDescent="0.25">
      <c r="A3" t="str">
        <f>IF(AND(tblBudget[[#This Row],[Business ]]&gt;"",tblBudget[[#This Row],[CATEGORIA]]=""),"no","sì")</f>
        <v>sì</v>
      </c>
      <c r="B3" t="str">
        <f>tblBudget[[#This Row],[Business ]]</f>
        <v>Business Sample</v>
      </c>
      <c r="C3" t="e">
        <f>INDEX(tab_ProjTypeCluster[ProjType],MATCH(tblBudget[[#This Row],[CATEGORIA]],tab_ProjTypeCluster[Macro area],0))</f>
        <v>#N/A</v>
      </c>
      <c r="D3" t="e">
        <f>INDEX(tab_ProjTypeCluster[ProjType Cluster 1],MATCH(tblBudget[[#This Row],[CATEGORIA]],tab_ProjTypeCluster[Macro area],0))</f>
        <v>#N/A</v>
      </c>
      <c r="E3" t="e">
        <f>INDEX(tab_ProjTypeCluster[ProjType Cluster 2],MATCH(tblBudget[[#This Row],[CATEGORIA]],tab_ProjTypeCluster[Macro area],0))</f>
        <v>#N/A</v>
      </c>
      <c r="G3" t="e">
        <f>INDEX(tab_resp1liv[EngUnit area cluster 1_],MATCH(SUBSTITUTE(SUBSTITUTE(#REF!,"(ai)","")," ",""),tab_resp1liv[SearchKey],0))</f>
        <v>#REF!</v>
      </c>
      <c r="H3">
        <f>tblBudget[[#This Row],[EST]]+tblBudget[[#This Row],[EST3]]</f>
        <v>15</v>
      </c>
      <c r="I3">
        <f>tblBudget[[#This Row],[INT]]+tblBudget[[#This Row],[INT2]]</f>
        <v>25</v>
      </c>
      <c r="J3">
        <f>tblBudget[[#This Row],[TOTALE TOT]]</f>
        <v>80</v>
      </c>
      <c r="K3" t="s">
        <v>211</v>
      </c>
      <c r="L3" t="s">
        <v>212</v>
      </c>
      <c r="M3">
        <v>10</v>
      </c>
      <c r="N3">
        <v>12</v>
      </c>
      <c r="O3">
        <v>22</v>
      </c>
      <c r="P3">
        <v>15</v>
      </c>
      <c r="Q3">
        <v>3</v>
      </c>
      <c r="R3">
        <v>18</v>
      </c>
      <c r="S3">
        <v>80</v>
      </c>
    </row>
  </sheetData>
  <mergeCells count="2">
    <mergeCell ref="A1:J1"/>
    <mergeCell ref="K1:S1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59999389629810485"/>
  </sheetPr>
  <dimension ref="A1:X3"/>
  <sheetViews>
    <sheetView zoomScaleNormal="100" workbookViewId="0">
      <selection activeCell="N3" sqref="A2:N3"/>
    </sheetView>
  </sheetViews>
  <sheetFormatPr defaultRowHeight="15" x14ac:dyDescent="0.25"/>
  <cols>
    <col min="1" max="1" width="17.42578125" bestFit="1" customWidth="1"/>
    <col min="2" max="3" width="19.28515625" bestFit="1" customWidth="1"/>
    <col min="4" max="4" width="17.140625" bestFit="1" customWidth="1"/>
    <col min="5" max="5" width="14.5703125" bestFit="1" customWidth="1"/>
    <col min="6" max="6" width="17.28515625" bestFit="1" customWidth="1"/>
    <col min="7" max="7" width="17.42578125" bestFit="1" customWidth="1"/>
    <col min="8" max="8" width="18.42578125" bestFit="1" customWidth="1"/>
    <col min="9" max="9" width="16.5703125" bestFit="1" customWidth="1"/>
    <col min="10" max="10" width="16.7109375" bestFit="1" customWidth="1"/>
    <col min="11" max="11" width="17.85546875" bestFit="1" customWidth="1"/>
    <col min="12" max="12" width="16.42578125" bestFit="1" customWidth="1"/>
    <col min="13" max="13" width="17" bestFit="1" customWidth="1"/>
    <col min="14" max="14" width="19.5703125" bestFit="1" customWidth="1"/>
    <col min="15" max="15" width="18.140625" bestFit="1" customWidth="1"/>
    <col min="16" max="16" width="17.140625" bestFit="1" customWidth="1"/>
    <col min="17" max="17" width="16.28515625" bestFit="1" customWidth="1"/>
    <col min="18" max="18" width="9.42578125" bestFit="1" customWidth="1"/>
    <col min="19" max="19" width="9.5703125" bestFit="1" customWidth="1"/>
    <col min="20" max="20" width="20.85546875" bestFit="1" customWidth="1"/>
    <col min="21" max="21" width="10.42578125" bestFit="1" customWidth="1"/>
    <col min="22" max="22" width="10.5703125" bestFit="1" customWidth="1"/>
    <col min="23" max="23" width="19.42578125" bestFit="1" customWidth="1"/>
    <col min="24" max="24" width="16.7109375" bestFit="1" customWidth="1"/>
  </cols>
  <sheetData>
    <row r="1" spans="1:24" x14ac:dyDescent="0.25">
      <c r="A1" s="133" t="s">
        <v>0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5"/>
      <c r="P1" s="138" t="s">
        <v>1</v>
      </c>
      <c r="Q1" s="138"/>
      <c r="R1" s="138"/>
      <c r="S1" s="138"/>
      <c r="T1" s="138"/>
      <c r="U1" s="138"/>
      <c r="V1" s="138"/>
      <c r="W1" s="138"/>
      <c r="X1" s="139"/>
    </row>
    <row r="2" spans="1:24" x14ac:dyDescent="0.25">
      <c r="A2" s="68" t="s">
        <v>20</v>
      </c>
      <c r="B2" s="68" t="s">
        <v>21</v>
      </c>
      <c r="C2" s="68" t="s">
        <v>22</v>
      </c>
      <c r="D2" s="68" t="s">
        <v>23</v>
      </c>
      <c r="E2" s="68" t="s">
        <v>24</v>
      </c>
      <c r="F2" s="68" t="s">
        <v>25</v>
      </c>
      <c r="G2" s="68" t="s">
        <v>26</v>
      </c>
      <c r="H2" s="68" t="s">
        <v>27</v>
      </c>
      <c r="I2" s="68" t="s">
        <v>28</v>
      </c>
      <c r="J2" s="68" t="s">
        <v>29</v>
      </c>
      <c r="K2" s="68" t="s">
        <v>30</v>
      </c>
      <c r="L2" s="68" t="s">
        <v>31</v>
      </c>
      <c r="M2" s="68" t="s">
        <v>32</v>
      </c>
      <c r="N2" s="68" t="s">
        <v>33</v>
      </c>
      <c r="O2" s="72" t="s">
        <v>34</v>
      </c>
      <c r="P2" s="87" t="s">
        <v>181</v>
      </c>
      <c r="Q2" s="87" t="s">
        <v>12</v>
      </c>
      <c r="R2" s="87" t="s">
        <v>13</v>
      </c>
      <c r="S2" s="87" t="s">
        <v>14</v>
      </c>
      <c r="T2" s="87" t="s">
        <v>15</v>
      </c>
      <c r="U2" s="87" t="s">
        <v>16</v>
      </c>
      <c r="V2" s="87" t="s">
        <v>17</v>
      </c>
      <c r="W2" s="87" t="s">
        <v>18</v>
      </c>
      <c r="X2" s="87" t="s">
        <v>19</v>
      </c>
    </row>
    <row r="3" spans="1:24" x14ac:dyDescent="0.25">
      <c r="A3" t="str">
        <f>IF(AND(tblForecast[[#This Row],[Business ]]&gt;"",tblForecast[[#This Row],[CATEGORIA]]=""),"no","sì")</f>
        <v>sì</v>
      </c>
      <c r="B3" t="e">
        <f>IF(tblForecast[[#This Row],[da considerare?]]="sì",INDEX(tab_ProjType[ProjType Cluster 1],MATCH(tblForecast[[#This Row],[CATEGORIA TMP]],tab_ProjType[Macro area],0)),"")</f>
        <v>#N/A</v>
      </c>
      <c r="C3" t="e">
        <f>IF(tblForecast[[#This Row],[da considerare?]]="sì",INDEX(tab_ProjType[ProjType Cluster 2],MATCH(tblForecast[[#This Row],[CATEGORIA TMP]],tab_ProjType[Macro area],0)),"")</f>
        <v>#N/A</v>
      </c>
      <c r="D3" t="str">
        <f>IF(tblForecast[[#This Row],[Business ]]&gt;"",tblForecast[[#This Row],[Business ]],D2)</f>
        <v>Business Sample</v>
      </c>
      <c r="E3" t="str">
        <f>tblForecast[[#This Row],[CATEGORIA TMP]]&amp;""</f>
        <v>Categoria A</v>
      </c>
      <c r="F3">
        <f>tblForecast[[#This Row],[INT]]</f>
        <v>10</v>
      </c>
      <c r="G3">
        <f>tblForecast[[#This Row],[EST]]</f>
        <v>12</v>
      </c>
      <c r="H3">
        <f>tblForecast[[#This Row],[totale Gamberini]]</f>
        <v>22</v>
      </c>
      <c r="I3">
        <f>tblForecast[[#This Row],[INT2]]</f>
        <v>15</v>
      </c>
      <c r="J3">
        <f>tblForecast[[#This Row],[EST3]]</f>
        <v>3</v>
      </c>
      <c r="K3">
        <f>tblForecast[[#This Row],[totale Lanzarini]]</f>
        <v>18</v>
      </c>
      <c r="L3">
        <f>tblForecast[[#This Row],[INT]]+tblForecast[[#This Row],[INT2]]</f>
        <v>25</v>
      </c>
      <c r="M3">
        <f>tblForecast[[#This Row],[EST]]+tblForecast[[#This Row],[EST3]]</f>
        <v>15</v>
      </c>
      <c r="N3">
        <f>tblForecast[[#This Row],[TOTALE TOT]]</f>
        <v>80</v>
      </c>
      <c r="O3" t="str">
        <f>IF(LEFT(tblForecast[[#This Row],[CATEGORIA]],3)="R&amp;D","R&amp;D",tblForecast[[#This Row],[CATEGORIA]])</f>
        <v>Categoria A</v>
      </c>
      <c r="P3" t="s">
        <v>211</v>
      </c>
      <c r="Q3" t="s">
        <v>212</v>
      </c>
      <c r="R3">
        <v>10</v>
      </c>
      <c r="S3">
        <v>12</v>
      </c>
      <c r="T3">
        <v>22</v>
      </c>
      <c r="U3">
        <v>15</v>
      </c>
      <c r="V3">
        <v>3</v>
      </c>
      <c r="W3">
        <v>18</v>
      </c>
      <c r="X3">
        <v>80</v>
      </c>
    </row>
  </sheetData>
  <mergeCells count="2">
    <mergeCell ref="P1:X1"/>
    <mergeCell ref="A1:O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59999389629810485"/>
  </sheetPr>
  <dimension ref="A1:L2"/>
  <sheetViews>
    <sheetView zoomScaleNormal="100" workbookViewId="0">
      <selection activeCell="N3" sqref="A2:N3"/>
    </sheetView>
  </sheetViews>
  <sheetFormatPr defaultRowHeight="15" x14ac:dyDescent="0.25"/>
  <sheetData>
    <row r="1" spans="1:12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</row>
    <row r="2" spans="1:12" x14ac:dyDescent="0.25">
      <c r="A2" s="53">
        <v>0.15</v>
      </c>
      <c r="B2" s="53">
        <v>0.1</v>
      </c>
      <c r="C2" s="53">
        <v>0.05</v>
      </c>
      <c r="D2" s="53">
        <v>0.1</v>
      </c>
      <c r="E2" s="53">
        <v>0.15</v>
      </c>
      <c r="F2" s="53">
        <v>0.2</v>
      </c>
      <c r="G2" s="53">
        <v>0.25</v>
      </c>
      <c r="H2" s="53">
        <v>0.2</v>
      </c>
      <c r="I2" s="53">
        <v>0.15</v>
      </c>
      <c r="J2" s="53">
        <v>0.1</v>
      </c>
      <c r="K2" s="53">
        <v>0.05</v>
      </c>
      <c r="L2" s="53">
        <v>0.1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59999389629810485"/>
  </sheetPr>
  <dimension ref="A1:CD102"/>
  <sheetViews>
    <sheetView zoomScaleNormal="100" workbookViewId="0">
      <selection activeCell="N3" sqref="A2:N3"/>
    </sheetView>
  </sheetViews>
  <sheetFormatPr defaultRowHeight="15" x14ac:dyDescent="0.25"/>
  <cols>
    <col min="1" max="1" width="20.7109375" bestFit="1" customWidth="1"/>
    <col min="2" max="2" width="11.28515625" bestFit="1" customWidth="1"/>
    <col min="3" max="3" width="54.140625" bestFit="1" customWidth="1"/>
    <col min="4" max="4" width="10.7109375" bestFit="1" customWidth="1"/>
    <col min="5" max="5" width="14.42578125" bestFit="1" customWidth="1"/>
    <col min="6" max="6" width="16.28515625" bestFit="1" customWidth="1"/>
    <col min="7" max="8" width="22.85546875" bestFit="1" customWidth="1"/>
    <col min="9" max="9" width="27.85546875" bestFit="1" customWidth="1"/>
    <col min="10" max="10" width="10.140625" bestFit="1" customWidth="1"/>
    <col min="11" max="11" width="9.85546875" bestFit="1" customWidth="1"/>
    <col min="12" max="12" width="9.5703125" bestFit="1" customWidth="1"/>
    <col min="13" max="13" width="10" bestFit="1" customWidth="1"/>
    <col min="14" max="14" width="9.42578125" bestFit="1" customWidth="1"/>
    <col min="15" max="15" width="10.28515625" bestFit="1" customWidth="1"/>
    <col min="16" max="17" width="9.28515625" bestFit="1" customWidth="1"/>
    <col min="18" max="18" width="9.7109375" bestFit="1" customWidth="1"/>
    <col min="19" max="19" width="9.28515625" bestFit="1" customWidth="1"/>
    <col min="20" max="20" width="9.140625" bestFit="1" customWidth="1"/>
    <col min="21" max="21" width="9.85546875" bestFit="1" customWidth="1"/>
    <col min="22" max="22" width="9.140625" bestFit="1" customWidth="1"/>
    <col min="23" max="23" width="16.42578125" bestFit="1" customWidth="1"/>
    <col min="24" max="24" width="15.140625" bestFit="1" customWidth="1"/>
    <col min="25" max="25" width="26.140625" bestFit="1" customWidth="1"/>
    <col min="26" max="27" width="21.28515625" bestFit="1" customWidth="1"/>
    <col min="28" max="28" width="23.140625" bestFit="1" customWidth="1"/>
    <col min="29" max="29" width="23.7109375" bestFit="1" customWidth="1"/>
    <col min="30" max="30" width="19.7109375" bestFit="1" customWidth="1"/>
    <col min="31" max="31" width="22.85546875" bestFit="1" customWidth="1"/>
    <col min="32" max="32" width="22.5703125" bestFit="1" customWidth="1"/>
    <col min="33" max="33" width="24.42578125" bestFit="1" customWidth="1"/>
    <col min="34" max="34" width="39.28515625" bestFit="1" customWidth="1"/>
    <col min="35" max="35" width="17.7109375" bestFit="1" customWidth="1"/>
    <col min="36" max="36" width="13.28515625" bestFit="1" customWidth="1"/>
    <col min="37" max="37" width="22.42578125" bestFit="1" customWidth="1"/>
    <col min="38" max="38" width="19.42578125" bestFit="1" customWidth="1"/>
    <col min="39" max="39" width="19.5703125" bestFit="1" customWidth="1"/>
    <col min="40" max="40" width="18.5703125" bestFit="1" customWidth="1"/>
    <col min="41" max="41" width="15.28515625" bestFit="1" customWidth="1"/>
    <col min="42" max="42" width="12.42578125" bestFit="1" customWidth="1"/>
    <col min="43" max="43" width="21" bestFit="1" customWidth="1"/>
    <col min="44" max="44" width="10.42578125" bestFit="1" customWidth="1"/>
    <col min="45" max="45" width="14.140625" bestFit="1" customWidth="1"/>
    <col min="46" max="46" width="12.85546875" bestFit="1" customWidth="1"/>
    <col min="47" max="47" width="14.140625" bestFit="1" customWidth="1"/>
    <col min="48" max="48" width="14.7109375" bestFit="1" customWidth="1"/>
    <col min="49" max="49" width="13.42578125" bestFit="1" customWidth="1"/>
    <col min="50" max="50" width="18.42578125" bestFit="1" customWidth="1"/>
    <col min="51" max="51" width="15.28515625" bestFit="1" customWidth="1"/>
    <col min="52" max="52" width="17.28515625" bestFit="1" customWidth="1"/>
    <col min="53" max="53" width="14.5703125" bestFit="1" customWidth="1"/>
    <col min="54" max="54" width="18" bestFit="1" customWidth="1"/>
    <col min="55" max="55" width="16.7109375" bestFit="1" customWidth="1"/>
    <col min="56" max="56" width="21.5703125" bestFit="1" customWidth="1"/>
    <col min="57" max="57" width="15.5703125" bestFit="1" customWidth="1"/>
    <col min="58" max="58" width="14" bestFit="1" customWidth="1"/>
    <col min="59" max="59" width="13.85546875" bestFit="1" customWidth="1"/>
    <col min="60" max="60" width="11.85546875" bestFit="1" customWidth="1"/>
    <col min="61" max="61" width="15" bestFit="1" customWidth="1"/>
    <col min="62" max="69" width="13.5703125" bestFit="1" customWidth="1"/>
    <col min="70" max="73" width="12.140625" bestFit="1" customWidth="1"/>
    <col min="74" max="74" width="10" bestFit="1" customWidth="1"/>
    <col min="75" max="75" width="15.5703125" bestFit="1" customWidth="1"/>
    <col min="76" max="76" width="21.5703125" bestFit="1" customWidth="1"/>
    <col min="77" max="77" width="14.85546875" bestFit="1" customWidth="1"/>
    <col min="78" max="78" width="15.42578125" bestFit="1" customWidth="1"/>
    <col min="79" max="79" width="20.85546875" bestFit="1" customWidth="1"/>
    <col min="80" max="80" width="21.5703125" bestFit="1" customWidth="1"/>
    <col min="81" max="81" width="18.7109375" bestFit="1" customWidth="1"/>
    <col min="82" max="82" width="11.7109375" bestFit="1" customWidth="1"/>
  </cols>
  <sheetData>
    <row r="1" spans="1:82" ht="15.75" thickBot="1" x14ac:dyDescent="0.3">
      <c r="A1" s="133" t="s">
        <v>0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5"/>
      <c r="AE1" s="140" t="s">
        <v>1</v>
      </c>
      <c r="AF1" s="141"/>
      <c r="AG1" s="141"/>
      <c r="AH1" s="141"/>
      <c r="AI1" s="141"/>
      <c r="AJ1" s="141"/>
      <c r="AK1" s="141"/>
      <c r="AL1" s="141"/>
      <c r="AM1" s="141"/>
      <c r="AN1" s="141"/>
      <c r="AO1" s="141"/>
      <c r="AP1" s="141"/>
      <c r="AQ1" s="141"/>
      <c r="AR1" s="141"/>
      <c r="AS1" s="141"/>
      <c r="AT1" s="141"/>
      <c r="AU1" s="141"/>
      <c r="AV1" s="141"/>
      <c r="AW1" s="141"/>
      <c r="AX1" s="141"/>
      <c r="AY1" s="141"/>
      <c r="AZ1" s="141"/>
      <c r="BA1" s="141"/>
      <c r="BB1" s="141"/>
      <c r="BC1" s="141"/>
      <c r="BD1" s="141"/>
      <c r="BE1" s="141"/>
      <c r="BF1" s="141"/>
      <c r="BG1" s="141"/>
      <c r="BH1" s="141"/>
      <c r="BI1" s="141"/>
      <c r="BJ1" s="141"/>
      <c r="BK1" s="141"/>
      <c r="BL1" s="141"/>
      <c r="BM1" s="141"/>
      <c r="BN1" s="141"/>
      <c r="BO1" s="141"/>
      <c r="BP1" s="141"/>
      <c r="BQ1" s="141"/>
      <c r="BR1" s="141"/>
      <c r="BS1" s="141"/>
      <c r="BT1" s="141"/>
      <c r="BU1" s="141"/>
      <c r="BV1" s="141"/>
      <c r="BW1" s="141"/>
      <c r="BX1" s="141"/>
      <c r="BY1" s="141"/>
      <c r="BZ1" s="141"/>
      <c r="CA1" s="141"/>
      <c r="CB1" s="141"/>
      <c r="CC1" s="141"/>
      <c r="CD1" s="142"/>
    </row>
    <row r="2" spans="1:82" s="1" customFormat="1" ht="24" x14ac:dyDescent="0.25">
      <c r="A2" s="117" t="s">
        <v>2</v>
      </c>
      <c r="B2" s="121" t="s">
        <v>48</v>
      </c>
      <c r="C2" s="117" t="s">
        <v>49</v>
      </c>
      <c r="D2" s="117" t="s">
        <v>50</v>
      </c>
      <c r="E2" s="117" t="s">
        <v>4</v>
      </c>
      <c r="F2" s="117" t="s">
        <v>51</v>
      </c>
      <c r="G2" s="117" t="s">
        <v>251</v>
      </c>
      <c r="H2" s="117" t="s">
        <v>252</v>
      </c>
      <c r="I2" s="117" t="s">
        <v>253</v>
      </c>
      <c r="J2" s="117" t="s">
        <v>52</v>
      </c>
      <c r="K2" s="117" t="s">
        <v>53</v>
      </c>
      <c r="L2" s="117" t="s">
        <v>54</v>
      </c>
      <c r="M2" s="117" t="s">
        <v>55</v>
      </c>
      <c r="N2" s="117" t="s">
        <v>56</v>
      </c>
      <c r="O2" s="117" t="s">
        <v>57</v>
      </c>
      <c r="P2" s="117" t="s">
        <v>58</v>
      </c>
      <c r="Q2" s="117" t="s">
        <v>59</v>
      </c>
      <c r="R2" s="117" t="s">
        <v>60</v>
      </c>
      <c r="S2" s="117" t="s">
        <v>61</v>
      </c>
      <c r="T2" s="117" t="s">
        <v>62</v>
      </c>
      <c r="U2" s="117" t="s">
        <v>63</v>
      </c>
      <c r="V2" s="117" t="s">
        <v>64</v>
      </c>
      <c r="W2" s="121" t="s">
        <v>65</v>
      </c>
      <c r="X2" s="117" t="s">
        <v>66</v>
      </c>
      <c r="Y2" s="117" t="s">
        <v>8</v>
      </c>
      <c r="Z2" s="117" t="s">
        <v>67</v>
      </c>
      <c r="AA2" s="117" t="s">
        <v>68</v>
      </c>
      <c r="AB2" s="117" t="s">
        <v>69</v>
      </c>
      <c r="AC2" s="117" t="s">
        <v>70</v>
      </c>
      <c r="AD2" s="117" t="s">
        <v>71</v>
      </c>
      <c r="AE2" s="111" t="s">
        <v>216</v>
      </c>
      <c r="AF2" s="111" t="s">
        <v>217</v>
      </c>
      <c r="AG2" s="111" t="s">
        <v>218</v>
      </c>
      <c r="AH2" s="111" t="s">
        <v>219</v>
      </c>
      <c r="AI2" s="111" t="s">
        <v>220</v>
      </c>
      <c r="AJ2" s="111" t="s">
        <v>221</v>
      </c>
      <c r="AK2" s="111" t="s">
        <v>222</v>
      </c>
      <c r="AL2" s="111" t="s">
        <v>223</v>
      </c>
      <c r="AM2" s="112" t="s">
        <v>194</v>
      </c>
      <c r="AN2" s="111" t="s">
        <v>195</v>
      </c>
      <c r="AO2" s="111" t="s">
        <v>224</v>
      </c>
      <c r="AP2" s="111" t="s">
        <v>196</v>
      </c>
      <c r="AQ2" s="111" t="s">
        <v>225</v>
      </c>
      <c r="AR2" s="111" t="s">
        <v>197</v>
      </c>
      <c r="AS2" s="111" t="s">
        <v>226</v>
      </c>
      <c r="AT2" s="111" t="s">
        <v>227</v>
      </c>
      <c r="AU2" s="111" t="s">
        <v>228</v>
      </c>
      <c r="AV2" s="111" t="s">
        <v>229</v>
      </c>
      <c r="AW2" s="111" t="s">
        <v>230</v>
      </c>
      <c r="AX2" s="111" t="s">
        <v>198</v>
      </c>
      <c r="AY2" s="111" t="s">
        <v>231</v>
      </c>
      <c r="AZ2" s="113" t="s">
        <v>232</v>
      </c>
      <c r="BA2" s="111" t="s">
        <v>233</v>
      </c>
      <c r="BB2" s="111" t="s">
        <v>234</v>
      </c>
      <c r="BC2" s="111" t="s">
        <v>235</v>
      </c>
      <c r="BD2" s="111" t="s">
        <v>236</v>
      </c>
      <c r="BE2" s="111" t="s">
        <v>199</v>
      </c>
      <c r="BF2" s="113" t="s">
        <v>237</v>
      </c>
      <c r="BG2" s="111" t="s">
        <v>200</v>
      </c>
      <c r="BH2" s="111" t="s">
        <v>201</v>
      </c>
      <c r="BI2" s="111" t="s">
        <v>202</v>
      </c>
      <c r="BJ2" s="114" t="s">
        <v>238</v>
      </c>
      <c r="BK2" s="114" t="s">
        <v>239</v>
      </c>
      <c r="BL2" s="114" t="s">
        <v>240</v>
      </c>
      <c r="BM2" s="114" t="s">
        <v>241</v>
      </c>
      <c r="BN2" s="114" t="s">
        <v>242</v>
      </c>
      <c r="BO2" s="114" t="s">
        <v>243</v>
      </c>
      <c r="BP2" s="114" t="s">
        <v>244</v>
      </c>
      <c r="BQ2" s="114" t="s">
        <v>245</v>
      </c>
      <c r="BR2" s="111" t="s">
        <v>246</v>
      </c>
      <c r="BS2" s="111" t="s">
        <v>247</v>
      </c>
      <c r="BT2" s="111" t="s">
        <v>248</v>
      </c>
      <c r="BU2" s="111" t="s">
        <v>249</v>
      </c>
      <c r="BV2" s="111" t="s">
        <v>203</v>
      </c>
      <c r="BW2" s="111" t="s">
        <v>204</v>
      </c>
      <c r="BX2" s="111" t="s">
        <v>205</v>
      </c>
      <c r="BY2" s="111" t="s">
        <v>206</v>
      </c>
      <c r="BZ2" s="111" t="s">
        <v>207</v>
      </c>
      <c r="CA2" s="111" t="s">
        <v>208</v>
      </c>
      <c r="CB2" s="115" t="s">
        <v>209</v>
      </c>
      <c r="CC2" s="115" t="s">
        <v>210</v>
      </c>
      <c r="CD2" s="116" t="s">
        <v>250</v>
      </c>
    </row>
    <row r="3" spans="1:82" x14ac:dyDescent="0.25">
      <c r="A3" t="str">
        <f>IF(UPPER(LEFT(tabSuperdettagli[[#This Row],[WBE Status]],1))="S","sì","no")</f>
        <v>no</v>
      </c>
      <c r="B3">
        <v>2015</v>
      </c>
      <c r="C3" t="e">
        <f>VLOOKUP(tabSuperdettagli[[#This Row],[WBS_]],Pivot_AnnoPrimaMarcatura!A:B,2,FALSE)</f>
        <v>#N/A</v>
      </c>
      <c r="D3" t="str">
        <f>LEFT(tabSuperdettagli[[#This Row],[Network]],10)</f>
        <v/>
      </c>
      <c r="E3" t="str">
        <f>LEFT(tabSuperdettagli[[#This Row],[Network]],1)</f>
        <v/>
      </c>
      <c r="F3" t="str">
        <f>LOWER(TRIM(tabSuperdettagli[[#This Row],[Proj. Type ]]))</f>
        <v/>
      </c>
      <c r="G3" t="str">
        <f>IF(OR(tabSuperdettagli[[#This Row],[ProjType_]]="C",tabSuperdettagli[[#This Row],[ProjType_]]="A",tabSuperdettagli[[#This Row],[ProjType_]]="R",tabSuperdettagli[[#This Row],[ProjType_]]="E"),"C A R E",IF(tabSuperdettagli[[#This Row],[ProjType_]]="U","U ("&amp;tabSuperdettagli[[#This Row],[U ProjType_]]&amp;")",tabSuperdettagli[[#This Row],[ProjType_]]))</f>
        <v/>
      </c>
      <c r="I3" t="str">
        <f>IF(  TRIM(tabSuperdettagli[[#This Row],[Raggr. X Struttura]])&gt; "", TRIM(tabSuperdettagli[[#This Row],[Raggr. X Struttura]]), TRIM(tabSuperdettagli[[#This Row],[Resp DT]] ) )</f>
        <v>Gruppo struttura 1</v>
      </c>
      <c r="J3">
        <f>tabSuperdettagli[[#This Row],[Total]]</f>
        <v>55</v>
      </c>
      <c r="K3">
        <f>tabSuperdettagli[[#This Row],[01.2025]]</f>
        <v>1</v>
      </c>
      <c r="L3">
        <f>tabSuperdettagli[[#This Row],[02.2025]]</f>
        <v>2</v>
      </c>
      <c r="M3">
        <f>tabSuperdettagli[[#This Row],[03.2025]]</f>
        <v>3</v>
      </c>
      <c r="N3">
        <f>tabSuperdettagli[[#This Row],[04.2025]]</f>
        <v>4</v>
      </c>
      <c r="O3">
        <f>tabSuperdettagli[[#This Row],[05.2025]]</f>
        <v>5</v>
      </c>
      <c r="P3">
        <f>tabSuperdettagli[[#This Row],[06.2025]]</f>
        <v>6</v>
      </c>
      <c r="Q3">
        <f>tabSuperdettagli[[#This Row],[07.2025]]</f>
        <v>7</v>
      </c>
      <c r="R3">
        <f>tabSuperdettagli[[#This Row],[08.2025]]</f>
        <v>8</v>
      </c>
      <c r="S3">
        <f>tabSuperdettagli[[#This Row],[09.2025]]</f>
        <v>9</v>
      </c>
      <c r="T3">
        <f>tabSuperdettagli[[#This Row],[10.2025]]</f>
        <v>10</v>
      </c>
      <c r="U3">
        <f>tabSuperdettagli[[#This Row],[11.2025]]</f>
        <v>0</v>
      </c>
      <c r="V3">
        <f>tabSuperdettagli[[#This Row],[12.2025]]</f>
        <v>0</v>
      </c>
      <c r="W3" t="str">
        <f>tabSuperdettagli[[#This Row],[INT/EST]]</f>
        <v>Int.</v>
      </c>
      <c r="X3" t="str">
        <f>tabSuperdettagli[[#This Row],[Resp 2°liv]]&amp;""</f>
        <v/>
      </c>
      <c r="Y3" t="e">
        <f>INDEX(tab_resp1liv[EngUnit area cluster 1_],MATCH(SUBSTITUTE(tabSuperdettagli[[#This Row],[Resp 2°liv]]," ",""),tab_resp1liv[SearchKey],0))</f>
        <v>#N/A</v>
      </c>
      <c r="Z3" t="str">
        <f>tabSuperdettagli[[#This Row],[WBS Element]]&amp;""</f>
        <v/>
      </c>
      <c r="AA3">
        <f>tabSuperdettagli[[#This Row],[09.2025]]</f>
        <v>9</v>
      </c>
      <c r="AB3" t="s">
        <v>74</v>
      </c>
      <c r="AC3" t="str">
        <f>IF(tabSuperdettagli[[#This Row],[ProjType_]]="M",IF(AND(tabSuperdettagli[[#This Row],[Resp 1°liv_]]="Guidotti C.",tabSuperdettagli[[#This Row],[WBE description_]]="Machine Mgmt"),"Documentation",tabSuperdettagli[[#This Row],[WBE description_]]),"")</f>
        <v/>
      </c>
      <c r="AD3" t="str">
        <f>LEFT(tabSuperdettagli[[#This Row],[Network]],18)</f>
        <v/>
      </c>
      <c r="AE3" t="s">
        <v>281</v>
      </c>
      <c r="AP3" t="s">
        <v>180</v>
      </c>
      <c r="AQ3" t="s">
        <v>298</v>
      </c>
      <c r="AV3" t="s">
        <v>293</v>
      </c>
      <c r="BJ3">
        <v>1</v>
      </c>
      <c r="BK3">
        <v>2</v>
      </c>
      <c r="BL3">
        <v>3</v>
      </c>
      <c r="BM3">
        <v>4</v>
      </c>
      <c r="BN3">
        <v>5</v>
      </c>
      <c r="BO3">
        <v>6</v>
      </c>
      <c r="BP3">
        <v>7</v>
      </c>
      <c r="BQ3">
        <v>8</v>
      </c>
      <c r="BR3">
        <v>9</v>
      </c>
      <c r="BS3">
        <v>10</v>
      </c>
      <c r="BV3">
        <v>55</v>
      </c>
      <c r="BX3" s="122">
        <v>42006</v>
      </c>
      <c r="CB3" s="122">
        <v>42005</v>
      </c>
      <c r="CC3" s="122">
        <v>42045</v>
      </c>
    </row>
    <row r="4" spans="1:82" x14ac:dyDescent="0.25">
      <c r="A4" t="str">
        <f>IF(UPPER(LEFT(tabSuperdettagli[[#This Row],[WBE Status]],1))="S","sì","no")</f>
        <v>no</v>
      </c>
      <c r="B4">
        <v>2015</v>
      </c>
      <c r="C4" t="e">
        <f>VLOOKUP(tabSuperdettagli[[#This Row],[WBS_]],Pivot_AnnoPrimaMarcatura!A:B,2,FALSE)</f>
        <v>#N/A</v>
      </c>
      <c r="D4" t="str">
        <f>LEFT(tabSuperdettagli[[#This Row],[Network]], 10)</f>
        <v/>
      </c>
      <c r="E4" t="str">
        <f>LEFT(tabSuperdettagli[[#This Row],[Network]], 1)</f>
        <v/>
      </c>
      <c r="F4" t="str">
        <f>LOWER(TRIM( tabSuperdettagli[[#This Row],[Proj. Type ]] ))</f>
        <v/>
      </c>
      <c r="G4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4" t="str">
        <f>IF(  TRIM(tabSuperdettagli[[#This Row],[Raggr. X Struttura]])&gt; "", TRIM(tabSuperdettagli[[#This Row],[Raggr. X Struttura]]), TRIM(tabSuperdettagli[[#This Row],[Resp DT]] ) )</f>
        <v>Gruppo struttura 1</v>
      </c>
      <c r="J4">
        <f>tabSuperdettagli[[#This Row],[Total]]</f>
        <v>1055</v>
      </c>
      <c r="K4">
        <f>tabSuperdettagli[[#This Row],[01.2025]]</f>
        <v>101</v>
      </c>
      <c r="L4">
        <f>tabSuperdettagli[[#This Row],[02.2025]]</f>
        <v>102</v>
      </c>
      <c r="M4">
        <f>tabSuperdettagli[[#This Row],[03.2025]]</f>
        <v>103</v>
      </c>
      <c r="N4">
        <f>tabSuperdettagli[[#This Row],[04.2025]]</f>
        <v>104</v>
      </c>
      <c r="O4">
        <f>tabSuperdettagli[[#This Row],[05.2025]]</f>
        <v>105</v>
      </c>
      <c r="P4">
        <f>tabSuperdettagli[[#This Row],[06.2025]]</f>
        <v>106</v>
      </c>
      <c r="Q4">
        <f>tabSuperdettagli[[#This Row],[07.2025]]</f>
        <v>107</v>
      </c>
      <c r="R4">
        <f>tabSuperdettagli[[#This Row],[08.2025]]</f>
        <v>108</v>
      </c>
      <c r="S4">
        <f>tabSuperdettagli[[#This Row],[09.2025]]</f>
        <v>109</v>
      </c>
      <c r="T4">
        <f>tabSuperdettagli[[#This Row],[10.2025]]</f>
        <v>110</v>
      </c>
      <c r="U4">
        <f>tabSuperdettagli[[#This Row],[11.2025]]</f>
        <v>0</v>
      </c>
      <c r="V4">
        <f>tabSuperdettagli[[#This Row],[12.2025]]</f>
        <v>0</v>
      </c>
      <c r="W4" t="str">
        <f>tabSuperdettagli[[#This Row],[INT/EST]]</f>
        <v>Est.</v>
      </c>
      <c r="X4" t="str">
        <f>tabSuperdettagli[[#This Row],[Resp 2°liv]]&amp;""</f>
        <v/>
      </c>
      <c r="Y4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4" t="str">
        <f>tabSuperdettagli[[#This Row],[WBS Element]]&amp;""</f>
        <v/>
      </c>
      <c r="AA4">
        <f>tabSuperdettagli[[#This Row],[09.2025]]</f>
        <v>109</v>
      </c>
      <c r="AC4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4" t="str">
        <f>LEFT(tabSuperdettagli[[#This Row],[Network]], 18 )</f>
        <v/>
      </c>
      <c r="AE4" t="s">
        <v>281</v>
      </c>
      <c r="AP4" t="s">
        <v>292</v>
      </c>
      <c r="AQ4" t="s">
        <v>298</v>
      </c>
      <c r="AV4" t="s">
        <v>294</v>
      </c>
      <c r="BJ4">
        <v>101</v>
      </c>
      <c r="BK4">
        <v>102</v>
      </c>
      <c r="BL4">
        <v>103</v>
      </c>
      <c r="BM4">
        <v>104</v>
      </c>
      <c r="BN4">
        <v>105</v>
      </c>
      <c r="BO4">
        <v>106</v>
      </c>
      <c r="BP4">
        <v>107</v>
      </c>
      <c r="BQ4">
        <v>108</v>
      </c>
      <c r="BR4">
        <v>109</v>
      </c>
      <c r="BS4">
        <v>110</v>
      </c>
      <c r="BV4">
        <v>1055</v>
      </c>
      <c r="BX4" s="122">
        <v>42009</v>
      </c>
      <c r="CB4" s="122">
        <v>42008</v>
      </c>
      <c r="CC4" s="122">
        <v>42048</v>
      </c>
    </row>
    <row r="5" spans="1:82" x14ac:dyDescent="0.25">
      <c r="A5" t="str">
        <f>IF(UPPER(LEFT(tabSuperdettagli[[#This Row],[WBE Status]],1))="S","sì","no")</f>
        <v>no</v>
      </c>
      <c r="B5">
        <v>2015</v>
      </c>
      <c r="C5" t="e">
        <f>VLOOKUP(tabSuperdettagli[[#This Row],[WBS_]],Pivot_AnnoPrimaMarcatura!A:B,2,FALSE)</f>
        <v>#N/A</v>
      </c>
      <c r="D5" t="str">
        <f>LEFT(tabSuperdettagli[[#This Row],[Network]], 10)</f>
        <v/>
      </c>
      <c r="E5" t="str">
        <f>LEFT(tabSuperdettagli[[#This Row],[Network]], 1)</f>
        <v/>
      </c>
      <c r="F5" t="str">
        <f>LOWER(TRIM( tabSuperdettagli[[#This Row],[Proj. Type ]] ))</f>
        <v/>
      </c>
      <c r="G5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5" t="str">
        <f>IF(  TRIM(tabSuperdettagli[[#This Row],[Raggr. X Struttura]])&gt; "", TRIM(tabSuperdettagli[[#This Row],[Raggr. X Struttura]]), TRIM(tabSuperdettagli[[#This Row],[Resp DT]] ) )</f>
        <v>Gruppo struttura 2</v>
      </c>
      <c r="J5">
        <f>tabSuperdettagli[[#This Row],[Total]]</f>
        <v>2055</v>
      </c>
      <c r="K5">
        <f>tabSuperdettagli[[#This Row],[01.2025]]</f>
        <v>201</v>
      </c>
      <c r="L5">
        <f>tabSuperdettagli[[#This Row],[02.2025]]</f>
        <v>202</v>
      </c>
      <c r="M5">
        <f>tabSuperdettagli[[#This Row],[03.2025]]</f>
        <v>203</v>
      </c>
      <c r="N5">
        <f>tabSuperdettagli[[#This Row],[04.2025]]</f>
        <v>204</v>
      </c>
      <c r="O5">
        <f>tabSuperdettagli[[#This Row],[05.2025]]</f>
        <v>205</v>
      </c>
      <c r="P5">
        <f>tabSuperdettagli[[#This Row],[06.2025]]</f>
        <v>206</v>
      </c>
      <c r="Q5">
        <f>tabSuperdettagli[[#This Row],[07.2025]]</f>
        <v>207</v>
      </c>
      <c r="R5">
        <f>tabSuperdettagli[[#This Row],[08.2025]]</f>
        <v>208</v>
      </c>
      <c r="S5">
        <f>tabSuperdettagli[[#This Row],[09.2025]]</f>
        <v>209</v>
      </c>
      <c r="T5">
        <f>tabSuperdettagli[[#This Row],[10.2025]]</f>
        <v>210</v>
      </c>
      <c r="U5">
        <f>tabSuperdettagli[[#This Row],[11.2025]]</f>
        <v>0</v>
      </c>
      <c r="V5">
        <f>tabSuperdettagli[[#This Row],[12.2025]]</f>
        <v>0</v>
      </c>
      <c r="W5" t="str">
        <f>tabSuperdettagli[[#This Row],[INT/EST]]</f>
        <v>Est.</v>
      </c>
      <c r="X5" t="str">
        <f>tabSuperdettagli[[#This Row],[Resp 2°liv]]&amp;""</f>
        <v/>
      </c>
      <c r="Y5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5" t="str">
        <f>tabSuperdettagli[[#This Row],[WBS Element]]&amp;""</f>
        <v/>
      </c>
      <c r="AA5">
        <f>tabSuperdettagli[[#This Row],[09.2025]]</f>
        <v>209</v>
      </c>
      <c r="AC5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5" t="str">
        <f>LEFT(tabSuperdettagli[[#This Row],[Network]], 18 )</f>
        <v/>
      </c>
      <c r="AE5" t="s">
        <v>281</v>
      </c>
      <c r="AP5" t="s">
        <v>292</v>
      </c>
      <c r="AQ5" t="s">
        <v>299</v>
      </c>
      <c r="AV5" t="s">
        <v>295</v>
      </c>
      <c r="BJ5">
        <v>201</v>
      </c>
      <c r="BK5">
        <v>202</v>
      </c>
      <c r="BL5">
        <v>203</v>
      </c>
      <c r="BM5">
        <v>204</v>
      </c>
      <c r="BN5">
        <v>205</v>
      </c>
      <c r="BO5">
        <v>206</v>
      </c>
      <c r="BP5">
        <v>207</v>
      </c>
      <c r="BQ5">
        <v>208</v>
      </c>
      <c r="BR5">
        <v>209</v>
      </c>
      <c r="BS5">
        <v>210</v>
      </c>
      <c r="BV5">
        <v>2055</v>
      </c>
      <c r="BX5" s="122">
        <v>42012</v>
      </c>
      <c r="CB5" s="122">
        <v>42011</v>
      </c>
      <c r="CC5" s="122">
        <v>42051</v>
      </c>
    </row>
    <row r="6" spans="1:82" x14ac:dyDescent="0.25">
      <c r="A6" t="str">
        <f>IF(UPPER(LEFT(tabSuperdettagli[[#This Row],[WBE Status]],1))="S","sì","no")</f>
        <v>no</v>
      </c>
      <c r="B6">
        <v>2015</v>
      </c>
      <c r="C6" t="e">
        <f>VLOOKUP(tabSuperdettagli[[#This Row],[WBS_]],Pivot_AnnoPrimaMarcatura!A:B,2,FALSE)</f>
        <v>#N/A</v>
      </c>
      <c r="D6" t="str">
        <f>LEFT(tabSuperdettagli[[#This Row],[Network]], 10)</f>
        <v/>
      </c>
      <c r="E6" t="str">
        <f>LEFT(tabSuperdettagli[[#This Row],[Network]], 1)</f>
        <v/>
      </c>
      <c r="F6" t="str">
        <f>LOWER(TRIM( tabSuperdettagli[[#This Row],[Proj. Type ]] ))</f>
        <v/>
      </c>
      <c r="G6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6" t="str">
        <f>IF(  TRIM(tabSuperdettagli[[#This Row],[Raggr. X Struttura]])&gt; "", TRIM(tabSuperdettagli[[#This Row],[Raggr. X Struttura]]), TRIM(tabSuperdettagli[[#This Row],[Resp DT]] ) )</f>
        <v>Gruppo struttura 1</v>
      </c>
      <c r="J6">
        <f>tabSuperdettagli[[#This Row],[Total]]</f>
        <v>55</v>
      </c>
      <c r="K6">
        <f>tabSuperdettagli[[#This Row],[01.2025]]</f>
        <v>1</v>
      </c>
      <c r="L6">
        <f>tabSuperdettagli[[#This Row],[02.2025]]</f>
        <v>2</v>
      </c>
      <c r="M6">
        <f>tabSuperdettagli[[#This Row],[03.2025]]</f>
        <v>3</v>
      </c>
      <c r="N6">
        <f>tabSuperdettagli[[#This Row],[04.2025]]</f>
        <v>4</v>
      </c>
      <c r="O6">
        <f>tabSuperdettagli[[#This Row],[05.2025]]</f>
        <v>5</v>
      </c>
      <c r="P6">
        <f>tabSuperdettagli[[#This Row],[06.2025]]</f>
        <v>6</v>
      </c>
      <c r="Q6">
        <f>tabSuperdettagli[[#This Row],[07.2025]]</f>
        <v>7</v>
      </c>
      <c r="R6">
        <f>tabSuperdettagli[[#This Row],[08.2025]]</f>
        <v>8</v>
      </c>
      <c r="S6">
        <f>tabSuperdettagli[[#This Row],[09.2025]]</f>
        <v>9</v>
      </c>
      <c r="T6">
        <f>tabSuperdettagli[[#This Row],[10.2025]]</f>
        <v>10</v>
      </c>
      <c r="U6">
        <f>tabSuperdettagli[[#This Row],[11.2025]]</f>
        <v>0</v>
      </c>
      <c r="V6">
        <f>tabSuperdettagli[[#This Row],[12.2025]]</f>
        <v>0</v>
      </c>
      <c r="W6" t="str">
        <f>tabSuperdettagli[[#This Row],[INT/EST]]</f>
        <v>Int.</v>
      </c>
      <c r="X6" t="str">
        <f>tabSuperdettagli[[#This Row],[Resp 2°liv]]&amp;""</f>
        <v/>
      </c>
      <c r="Y6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6" t="str">
        <f>tabSuperdettagli[[#This Row],[WBS Element]]&amp;""</f>
        <v/>
      </c>
      <c r="AA6">
        <f>tabSuperdettagli[[#This Row],[09.2025]]</f>
        <v>9</v>
      </c>
      <c r="AC6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6" t="str">
        <f>LEFT(tabSuperdettagli[[#This Row],[Network]], 18 )</f>
        <v/>
      </c>
      <c r="AE6" t="s">
        <v>281</v>
      </c>
      <c r="AP6" t="s">
        <v>180</v>
      </c>
      <c r="AQ6" t="s">
        <v>298</v>
      </c>
      <c r="AV6" t="s">
        <v>293</v>
      </c>
      <c r="BJ6">
        <v>1</v>
      </c>
      <c r="BK6">
        <v>2</v>
      </c>
      <c r="BL6">
        <v>3</v>
      </c>
      <c r="BM6">
        <v>4</v>
      </c>
      <c r="BN6">
        <v>5</v>
      </c>
      <c r="BO6">
        <v>6</v>
      </c>
      <c r="BP6">
        <v>7</v>
      </c>
      <c r="BQ6">
        <v>8</v>
      </c>
      <c r="BR6">
        <v>9</v>
      </c>
      <c r="BS6">
        <v>10</v>
      </c>
      <c r="BV6">
        <v>55</v>
      </c>
      <c r="BX6" s="122">
        <v>42015</v>
      </c>
      <c r="CB6" s="122">
        <v>42014</v>
      </c>
      <c r="CC6" s="122">
        <v>42054</v>
      </c>
    </row>
    <row r="7" spans="1:82" x14ac:dyDescent="0.25">
      <c r="A7" t="str">
        <f>IF(UPPER(LEFT(tabSuperdettagli[[#This Row],[WBE Status]],1))="S","sì","no")</f>
        <v>no</v>
      </c>
      <c r="B7">
        <v>2015</v>
      </c>
      <c r="C7" t="e">
        <f>VLOOKUP(tabSuperdettagli[[#This Row],[WBS_]],Pivot_AnnoPrimaMarcatura!A:B,2,FALSE)</f>
        <v>#N/A</v>
      </c>
      <c r="D7" t="str">
        <f>LEFT(tabSuperdettagli[[#This Row],[Network]], 10)</f>
        <v/>
      </c>
      <c r="E7" t="str">
        <f>LEFT(tabSuperdettagli[[#This Row],[Network]], 1)</f>
        <v/>
      </c>
      <c r="F7" t="str">
        <f>LOWER(TRIM( tabSuperdettagli[[#This Row],[Proj. Type ]] ))</f>
        <v/>
      </c>
      <c r="G7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7" t="str">
        <f>IF(  TRIM(tabSuperdettagli[[#This Row],[Raggr. X Struttura]])&gt; "", TRIM(tabSuperdettagli[[#This Row],[Raggr. X Struttura]]), TRIM(tabSuperdettagli[[#This Row],[Resp DT]] ) )</f>
        <v>Gruppo struttura 4</v>
      </c>
      <c r="J7">
        <f>tabSuperdettagli[[#This Row],[Total]]</f>
        <v>1055</v>
      </c>
      <c r="K7">
        <f>tabSuperdettagli[[#This Row],[01.2025]]</f>
        <v>101</v>
      </c>
      <c r="L7">
        <f>tabSuperdettagli[[#This Row],[02.2025]]</f>
        <v>102</v>
      </c>
      <c r="M7">
        <f>tabSuperdettagli[[#This Row],[03.2025]]</f>
        <v>103</v>
      </c>
      <c r="N7">
        <f>tabSuperdettagli[[#This Row],[04.2025]]</f>
        <v>104</v>
      </c>
      <c r="O7">
        <f>tabSuperdettagli[[#This Row],[05.2025]]</f>
        <v>105</v>
      </c>
      <c r="P7">
        <f>tabSuperdettagli[[#This Row],[06.2025]]</f>
        <v>106</v>
      </c>
      <c r="Q7">
        <f>tabSuperdettagli[[#This Row],[07.2025]]</f>
        <v>107</v>
      </c>
      <c r="R7">
        <f>tabSuperdettagli[[#This Row],[08.2025]]</f>
        <v>108</v>
      </c>
      <c r="S7">
        <f>tabSuperdettagli[[#This Row],[09.2025]]</f>
        <v>109</v>
      </c>
      <c r="T7">
        <f>tabSuperdettagli[[#This Row],[10.2025]]</f>
        <v>110</v>
      </c>
      <c r="U7">
        <f>tabSuperdettagli[[#This Row],[11.2025]]</f>
        <v>0</v>
      </c>
      <c r="V7">
        <f>tabSuperdettagli[[#This Row],[12.2025]]</f>
        <v>0</v>
      </c>
      <c r="W7" t="str">
        <f>tabSuperdettagli[[#This Row],[INT/EST]]</f>
        <v>Est.</v>
      </c>
      <c r="X7" t="str">
        <f>tabSuperdettagli[[#This Row],[Resp 2°liv]]&amp;""</f>
        <v/>
      </c>
      <c r="Y7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7" t="str">
        <f>tabSuperdettagli[[#This Row],[WBS Element]]&amp;""</f>
        <v/>
      </c>
      <c r="AA7">
        <f>tabSuperdettagli[[#This Row],[09.2025]]</f>
        <v>109</v>
      </c>
      <c r="AC7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7" t="str">
        <f>LEFT(tabSuperdettagli[[#This Row],[Network]], 18 )</f>
        <v/>
      </c>
      <c r="AE7" t="s">
        <v>281</v>
      </c>
      <c r="AP7" t="s">
        <v>292</v>
      </c>
      <c r="AQ7" t="s">
        <v>301</v>
      </c>
      <c r="AV7" t="s">
        <v>293</v>
      </c>
      <c r="BJ7">
        <v>101</v>
      </c>
      <c r="BK7">
        <v>102</v>
      </c>
      <c r="BL7">
        <v>103</v>
      </c>
      <c r="BM7">
        <v>104</v>
      </c>
      <c r="BN7">
        <v>105</v>
      </c>
      <c r="BO7">
        <v>106</v>
      </c>
      <c r="BP7">
        <v>107</v>
      </c>
      <c r="BQ7">
        <v>108</v>
      </c>
      <c r="BR7">
        <v>109</v>
      </c>
      <c r="BS7">
        <v>110</v>
      </c>
      <c r="BV7">
        <v>1055</v>
      </c>
      <c r="BX7" s="122">
        <v>42018</v>
      </c>
      <c r="CB7" s="122">
        <v>42017</v>
      </c>
      <c r="CC7" s="122">
        <v>42057</v>
      </c>
    </row>
    <row r="8" spans="1:82" x14ac:dyDescent="0.25">
      <c r="A8" t="str">
        <f>IF(UPPER(LEFT(tabSuperdettagli[[#This Row],[WBE Status]],1))="S","sì","no")</f>
        <v>no</v>
      </c>
      <c r="B8">
        <v>2015</v>
      </c>
      <c r="C8" t="e">
        <f>VLOOKUP(tabSuperdettagli[[#This Row],[WBS_]],Pivot_AnnoPrimaMarcatura!A:B,2,FALSE)</f>
        <v>#N/A</v>
      </c>
      <c r="D8" t="str">
        <f>LEFT(tabSuperdettagli[[#This Row],[Network]], 10)</f>
        <v/>
      </c>
      <c r="E8" t="str">
        <f>LEFT(tabSuperdettagli[[#This Row],[Network]], 1)</f>
        <v/>
      </c>
      <c r="F8" t="str">
        <f>LOWER(TRIM( tabSuperdettagli[[#This Row],[Proj. Type ]] ))</f>
        <v/>
      </c>
      <c r="G8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8" t="str">
        <f>IF(  TRIM(tabSuperdettagli[[#This Row],[Raggr. X Struttura]])&gt; "", TRIM(tabSuperdettagli[[#This Row],[Raggr. X Struttura]]), TRIM(tabSuperdettagli[[#This Row],[Resp DT]] ) )</f>
        <v>Gruppo struttura 3</v>
      </c>
      <c r="J8">
        <f>tabSuperdettagli[[#This Row],[Total]]</f>
        <v>2055</v>
      </c>
      <c r="K8">
        <f>tabSuperdettagli[[#This Row],[01.2025]]</f>
        <v>201</v>
      </c>
      <c r="L8">
        <f>tabSuperdettagli[[#This Row],[02.2025]]</f>
        <v>202</v>
      </c>
      <c r="M8">
        <f>tabSuperdettagli[[#This Row],[03.2025]]</f>
        <v>203</v>
      </c>
      <c r="N8">
        <f>tabSuperdettagli[[#This Row],[04.2025]]</f>
        <v>204</v>
      </c>
      <c r="O8">
        <f>tabSuperdettagli[[#This Row],[05.2025]]</f>
        <v>205</v>
      </c>
      <c r="P8">
        <f>tabSuperdettagli[[#This Row],[06.2025]]</f>
        <v>206</v>
      </c>
      <c r="Q8">
        <f>tabSuperdettagli[[#This Row],[07.2025]]</f>
        <v>207</v>
      </c>
      <c r="R8">
        <f>tabSuperdettagli[[#This Row],[08.2025]]</f>
        <v>208</v>
      </c>
      <c r="S8">
        <f>tabSuperdettagli[[#This Row],[09.2025]]</f>
        <v>209</v>
      </c>
      <c r="T8">
        <f>tabSuperdettagli[[#This Row],[10.2025]]</f>
        <v>210</v>
      </c>
      <c r="U8">
        <f>tabSuperdettagli[[#This Row],[11.2025]]</f>
        <v>0</v>
      </c>
      <c r="V8">
        <f>tabSuperdettagli[[#This Row],[12.2025]]</f>
        <v>0</v>
      </c>
      <c r="W8" t="str">
        <f>tabSuperdettagli[[#This Row],[INT/EST]]</f>
        <v>Est.</v>
      </c>
      <c r="X8" t="str">
        <f>tabSuperdettagli[[#This Row],[Resp 2°liv]]&amp;""</f>
        <v/>
      </c>
      <c r="Y8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8" t="str">
        <f>tabSuperdettagli[[#This Row],[WBS Element]]&amp;""</f>
        <v/>
      </c>
      <c r="AA8">
        <f>tabSuperdettagli[[#This Row],[09.2025]]</f>
        <v>209</v>
      </c>
      <c r="AC8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8" t="str">
        <f>LEFT(tabSuperdettagli[[#This Row],[Network]], 18 )</f>
        <v/>
      </c>
      <c r="AE8" t="s">
        <v>281</v>
      </c>
      <c r="AP8" t="s">
        <v>292</v>
      </c>
      <c r="AQ8" t="s">
        <v>300</v>
      </c>
      <c r="AV8" t="s">
        <v>293</v>
      </c>
      <c r="BJ8">
        <v>201</v>
      </c>
      <c r="BK8">
        <v>202</v>
      </c>
      <c r="BL8">
        <v>203</v>
      </c>
      <c r="BM8">
        <v>204</v>
      </c>
      <c r="BN8">
        <v>205</v>
      </c>
      <c r="BO8">
        <v>206</v>
      </c>
      <c r="BP8">
        <v>207</v>
      </c>
      <c r="BQ8">
        <v>208</v>
      </c>
      <c r="BR8">
        <v>209</v>
      </c>
      <c r="BS8">
        <v>210</v>
      </c>
      <c r="BV8">
        <v>2055</v>
      </c>
      <c r="BX8" s="122">
        <v>42021</v>
      </c>
      <c r="CB8" s="122">
        <v>42020</v>
      </c>
      <c r="CC8" s="122">
        <v>42060</v>
      </c>
    </row>
    <row r="9" spans="1:82" x14ac:dyDescent="0.25">
      <c r="A9" t="str">
        <f>IF(UPPER(LEFT(tabSuperdettagli[[#This Row],[WBE Status]],1))="S","sì","no")</f>
        <v>no</v>
      </c>
      <c r="B9">
        <v>2015</v>
      </c>
      <c r="C9" t="e">
        <f>VLOOKUP(tabSuperdettagli[[#This Row],[WBS_]],Pivot_AnnoPrimaMarcatura!A:B,2,FALSE)</f>
        <v>#N/A</v>
      </c>
      <c r="D9" t="str">
        <f>LEFT(tabSuperdettagli[[#This Row],[Network]], 10)</f>
        <v/>
      </c>
      <c r="E9" t="str">
        <f>LEFT(tabSuperdettagli[[#This Row],[Network]], 1)</f>
        <v/>
      </c>
      <c r="F9" t="str">
        <f>LOWER(TRIM( tabSuperdettagli[[#This Row],[Proj. Type ]] ))</f>
        <v/>
      </c>
      <c r="G9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9" t="str">
        <f>IF(  TRIM(tabSuperdettagli[[#This Row],[Raggr. X Struttura]])&gt; "", TRIM(tabSuperdettagli[[#This Row],[Raggr. X Struttura]]), TRIM(tabSuperdettagli[[#This Row],[Resp DT]] ) )</f>
        <v>Gruppo struttura 1</v>
      </c>
      <c r="J9">
        <f>tabSuperdettagli[[#This Row],[Total]]</f>
        <v>3055</v>
      </c>
      <c r="K9">
        <f>tabSuperdettagli[[#This Row],[01.2025]]</f>
        <v>301</v>
      </c>
      <c r="L9">
        <f>tabSuperdettagli[[#This Row],[02.2025]]</f>
        <v>302</v>
      </c>
      <c r="M9">
        <f>tabSuperdettagli[[#This Row],[03.2025]]</f>
        <v>303</v>
      </c>
      <c r="N9">
        <f>tabSuperdettagli[[#This Row],[04.2025]]</f>
        <v>304</v>
      </c>
      <c r="O9">
        <f>tabSuperdettagli[[#This Row],[05.2025]]</f>
        <v>305</v>
      </c>
      <c r="P9">
        <f>tabSuperdettagli[[#This Row],[06.2025]]</f>
        <v>306</v>
      </c>
      <c r="Q9">
        <f>tabSuperdettagli[[#This Row],[07.2025]]</f>
        <v>307</v>
      </c>
      <c r="R9">
        <f>tabSuperdettagli[[#This Row],[08.2025]]</f>
        <v>308</v>
      </c>
      <c r="S9">
        <f>tabSuperdettagli[[#This Row],[09.2025]]</f>
        <v>309</v>
      </c>
      <c r="T9">
        <f>tabSuperdettagli[[#This Row],[10.2025]]</f>
        <v>310</v>
      </c>
      <c r="U9">
        <f>tabSuperdettagli[[#This Row],[11.2025]]</f>
        <v>0</v>
      </c>
      <c r="V9">
        <f>tabSuperdettagli[[#This Row],[12.2025]]</f>
        <v>0</v>
      </c>
      <c r="W9" t="str">
        <f>tabSuperdettagli[[#This Row],[INT/EST]]</f>
        <v>Int.</v>
      </c>
      <c r="X9" t="str">
        <f>tabSuperdettagli[[#This Row],[Resp 2°liv]]&amp;""</f>
        <v/>
      </c>
      <c r="Y9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9" t="str">
        <f>tabSuperdettagli[[#This Row],[WBS Element]]&amp;""</f>
        <v/>
      </c>
      <c r="AA9">
        <f>tabSuperdettagli[[#This Row],[09.2025]]</f>
        <v>309</v>
      </c>
      <c r="AC9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9" t="str">
        <f>LEFT(tabSuperdettagli[[#This Row],[Network]], 18 )</f>
        <v/>
      </c>
      <c r="AE9" t="s">
        <v>281</v>
      </c>
      <c r="AP9" t="s">
        <v>180</v>
      </c>
      <c r="AQ9" t="s">
        <v>298</v>
      </c>
      <c r="AV9" t="s">
        <v>293</v>
      </c>
      <c r="BJ9">
        <v>301</v>
      </c>
      <c r="BK9">
        <v>302</v>
      </c>
      <c r="BL9">
        <v>303</v>
      </c>
      <c r="BM9">
        <v>304</v>
      </c>
      <c r="BN9">
        <v>305</v>
      </c>
      <c r="BO9">
        <v>306</v>
      </c>
      <c r="BP9">
        <v>307</v>
      </c>
      <c r="BQ9">
        <v>308</v>
      </c>
      <c r="BR9">
        <v>309</v>
      </c>
      <c r="BS9">
        <v>310</v>
      </c>
      <c r="BV9">
        <v>3055</v>
      </c>
      <c r="BX9" s="122">
        <v>42024</v>
      </c>
      <c r="CB9" s="122">
        <v>42023</v>
      </c>
      <c r="CC9" s="122">
        <v>42063</v>
      </c>
    </row>
    <row r="10" spans="1:82" x14ac:dyDescent="0.25">
      <c r="A10" t="str">
        <f>IF(UPPER(LEFT(tabSuperdettagli[[#This Row],[WBE Status]],1))="S","sì","no")</f>
        <v>no</v>
      </c>
      <c r="B10">
        <v>2015</v>
      </c>
      <c r="C10" t="e">
        <f>VLOOKUP(tabSuperdettagli[[#This Row],[WBS_]],Pivot_AnnoPrimaMarcatura!A:B,2,FALSE)</f>
        <v>#N/A</v>
      </c>
      <c r="D10" t="str">
        <f>LEFT(tabSuperdettagli[[#This Row],[Network]], 10)</f>
        <v/>
      </c>
      <c r="E10" t="str">
        <f>LEFT(tabSuperdettagli[[#This Row],[Network]], 1)</f>
        <v/>
      </c>
      <c r="F10" t="str">
        <f>LOWER(TRIM( tabSuperdettagli[[#This Row],[Proj. Type ]] ))</f>
        <v/>
      </c>
      <c r="G10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10" t="str">
        <f>IF(  TRIM(tabSuperdettagli[[#This Row],[Raggr. X Struttura]])&gt; "", TRIM(tabSuperdettagli[[#This Row],[Raggr. X Struttura]]), TRIM(tabSuperdettagli[[#This Row],[Resp DT]] ) )</f>
        <v>Gruppo struttura 6</v>
      </c>
      <c r="J10">
        <f>tabSuperdettagli[[#This Row],[Total]]</f>
        <v>4055</v>
      </c>
      <c r="K10">
        <f>tabSuperdettagli[[#This Row],[01.2025]]</f>
        <v>401</v>
      </c>
      <c r="L10">
        <f>tabSuperdettagli[[#This Row],[02.2025]]</f>
        <v>402</v>
      </c>
      <c r="M10">
        <f>tabSuperdettagli[[#This Row],[03.2025]]</f>
        <v>403</v>
      </c>
      <c r="N10">
        <f>tabSuperdettagli[[#This Row],[04.2025]]</f>
        <v>404</v>
      </c>
      <c r="O10">
        <f>tabSuperdettagli[[#This Row],[05.2025]]</f>
        <v>405</v>
      </c>
      <c r="P10">
        <f>tabSuperdettagli[[#This Row],[06.2025]]</f>
        <v>406</v>
      </c>
      <c r="Q10">
        <f>tabSuperdettagli[[#This Row],[07.2025]]</f>
        <v>407</v>
      </c>
      <c r="R10">
        <f>tabSuperdettagli[[#This Row],[08.2025]]</f>
        <v>408</v>
      </c>
      <c r="S10">
        <f>tabSuperdettagli[[#This Row],[09.2025]]</f>
        <v>409</v>
      </c>
      <c r="T10">
        <f>tabSuperdettagli[[#This Row],[10.2025]]</f>
        <v>410</v>
      </c>
      <c r="U10">
        <f>tabSuperdettagli[[#This Row],[11.2025]]</f>
        <v>0</v>
      </c>
      <c r="V10">
        <f>tabSuperdettagli[[#This Row],[12.2025]]</f>
        <v>0</v>
      </c>
      <c r="W10" t="str">
        <f>tabSuperdettagli[[#This Row],[INT/EST]]</f>
        <v>Int.</v>
      </c>
      <c r="X10" t="str">
        <f>tabSuperdettagli[[#This Row],[Resp 2°liv]]&amp;""</f>
        <v/>
      </c>
      <c r="Y10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10" t="str">
        <f>tabSuperdettagli[[#This Row],[WBS Element]]&amp;""</f>
        <v/>
      </c>
      <c r="AA10">
        <f>tabSuperdettagli[[#This Row],[09.2025]]</f>
        <v>409</v>
      </c>
      <c r="AC10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10" t="str">
        <f>LEFT(tabSuperdettagli[[#This Row],[Network]], 18 )</f>
        <v/>
      </c>
      <c r="AE10" t="s">
        <v>281</v>
      </c>
      <c r="AP10" t="s">
        <v>180</v>
      </c>
      <c r="AQ10" t="s">
        <v>303</v>
      </c>
      <c r="AV10" t="s">
        <v>293</v>
      </c>
      <c r="BJ10">
        <v>401</v>
      </c>
      <c r="BK10">
        <v>402</v>
      </c>
      <c r="BL10">
        <v>403</v>
      </c>
      <c r="BM10">
        <v>404</v>
      </c>
      <c r="BN10">
        <v>405</v>
      </c>
      <c r="BO10">
        <v>406</v>
      </c>
      <c r="BP10">
        <v>407</v>
      </c>
      <c r="BQ10">
        <v>408</v>
      </c>
      <c r="BR10">
        <v>409</v>
      </c>
      <c r="BS10">
        <v>410</v>
      </c>
      <c r="BV10">
        <v>4055</v>
      </c>
      <c r="BX10" s="122">
        <v>42027</v>
      </c>
      <c r="CB10" s="122">
        <v>42026</v>
      </c>
      <c r="CC10" s="122">
        <v>42066</v>
      </c>
    </row>
    <row r="11" spans="1:82" x14ac:dyDescent="0.25">
      <c r="A11" t="str">
        <f>IF(UPPER(LEFT(tabSuperdettagli[[#This Row],[WBE Status]],1))="S","sì","no")</f>
        <v>no</v>
      </c>
      <c r="B11">
        <v>2015</v>
      </c>
      <c r="C11" t="e">
        <f>VLOOKUP(tabSuperdettagli[[#This Row],[WBS_]],Pivot_AnnoPrimaMarcatura!A:B,2,FALSE)</f>
        <v>#N/A</v>
      </c>
      <c r="D11" t="str">
        <f>LEFT(tabSuperdettagli[[#This Row],[Network]], 10)</f>
        <v/>
      </c>
      <c r="E11" t="str">
        <f>LEFT(tabSuperdettagli[[#This Row],[Network]], 1)</f>
        <v/>
      </c>
      <c r="F11" t="str">
        <f>LOWER(TRIM( tabSuperdettagli[[#This Row],[Proj. Type ]] ))</f>
        <v/>
      </c>
      <c r="G11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11" t="str">
        <f>IF(  TRIM(tabSuperdettagli[[#This Row],[Raggr. X Struttura]])&gt; "", TRIM(tabSuperdettagli[[#This Row],[Raggr. X Struttura]]), TRIM(tabSuperdettagli[[#This Row],[Resp DT]] ) )</f>
        <v>Gruppo struttura 1</v>
      </c>
      <c r="J11">
        <f>tabSuperdettagli[[#This Row],[Total]]</f>
        <v>55</v>
      </c>
      <c r="K11">
        <f>tabSuperdettagli[[#This Row],[01.2025]]</f>
        <v>1</v>
      </c>
      <c r="L11">
        <f>tabSuperdettagli[[#This Row],[02.2025]]</f>
        <v>2</v>
      </c>
      <c r="M11">
        <f>tabSuperdettagli[[#This Row],[03.2025]]</f>
        <v>3</v>
      </c>
      <c r="N11">
        <f>tabSuperdettagli[[#This Row],[04.2025]]</f>
        <v>4</v>
      </c>
      <c r="O11">
        <f>tabSuperdettagli[[#This Row],[05.2025]]</f>
        <v>5</v>
      </c>
      <c r="P11">
        <f>tabSuperdettagli[[#This Row],[06.2025]]</f>
        <v>6</v>
      </c>
      <c r="Q11">
        <f>tabSuperdettagli[[#This Row],[07.2025]]</f>
        <v>7</v>
      </c>
      <c r="R11">
        <f>tabSuperdettagli[[#This Row],[08.2025]]</f>
        <v>8</v>
      </c>
      <c r="S11">
        <f>tabSuperdettagli[[#This Row],[09.2025]]</f>
        <v>9</v>
      </c>
      <c r="T11">
        <f>tabSuperdettagli[[#This Row],[10.2025]]</f>
        <v>10</v>
      </c>
      <c r="U11">
        <f>tabSuperdettagli[[#This Row],[11.2025]]</f>
        <v>0</v>
      </c>
      <c r="V11">
        <f>tabSuperdettagli[[#This Row],[12.2025]]</f>
        <v>0</v>
      </c>
      <c r="W11" t="str">
        <f>tabSuperdettagli[[#This Row],[INT/EST]]</f>
        <v>Int.</v>
      </c>
      <c r="X11" t="str">
        <f>tabSuperdettagli[[#This Row],[Resp 2°liv]]&amp;""</f>
        <v/>
      </c>
      <c r="Y11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11" t="str">
        <f>tabSuperdettagli[[#This Row],[WBS Element]]&amp;""</f>
        <v/>
      </c>
      <c r="AA11">
        <f>tabSuperdettagli[[#This Row],[09.2025]]</f>
        <v>9</v>
      </c>
      <c r="AC11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11" t="str">
        <f>LEFT(tabSuperdettagli[[#This Row],[Network]], 18 )</f>
        <v/>
      </c>
      <c r="AE11" t="s">
        <v>281</v>
      </c>
      <c r="AP11" t="s">
        <v>180</v>
      </c>
      <c r="AQ11" t="s">
        <v>298</v>
      </c>
      <c r="AV11" t="s">
        <v>293</v>
      </c>
      <c r="BJ11">
        <v>1</v>
      </c>
      <c r="BK11">
        <v>2</v>
      </c>
      <c r="BL11">
        <v>3</v>
      </c>
      <c r="BM11">
        <v>4</v>
      </c>
      <c r="BN11">
        <v>5</v>
      </c>
      <c r="BO11">
        <v>6</v>
      </c>
      <c r="BP11">
        <v>7</v>
      </c>
      <c r="BQ11">
        <v>8</v>
      </c>
      <c r="BR11">
        <v>9</v>
      </c>
      <c r="BS11">
        <v>10</v>
      </c>
      <c r="BV11">
        <v>55</v>
      </c>
      <c r="BX11" s="122">
        <v>42030</v>
      </c>
      <c r="CB11" s="122">
        <v>42029</v>
      </c>
      <c r="CC11" s="122">
        <v>42069</v>
      </c>
    </row>
    <row r="12" spans="1:82" x14ac:dyDescent="0.25">
      <c r="A12" t="str">
        <f>IF(UPPER(LEFT(tabSuperdettagli[[#This Row],[WBE Status]],1))="S","sì","no")</f>
        <v>no</v>
      </c>
      <c r="B12">
        <v>2015</v>
      </c>
      <c r="C12" t="e">
        <f>VLOOKUP(tabSuperdettagli[[#This Row],[WBS_]],Pivot_AnnoPrimaMarcatura!A:B,2,FALSE)</f>
        <v>#N/A</v>
      </c>
      <c r="D12" t="str">
        <f>LEFT(tabSuperdettagli[[#This Row],[Network]], 10)</f>
        <v/>
      </c>
      <c r="E12" t="str">
        <f>LEFT(tabSuperdettagli[[#This Row],[Network]], 1)</f>
        <v/>
      </c>
      <c r="F12" t="str">
        <f>LOWER(TRIM( tabSuperdettagli[[#This Row],[Proj. Type ]] ))</f>
        <v/>
      </c>
      <c r="G12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12" t="str">
        <f>IF(  TRIM(tabSuperdettagli[[#This Row],[Raggr. X Struttura]])&gt; "", TRIM(tabSuperdettagli[[#This Row],[Raggr. X Struttura]]), TRIM(tabSuperdettagli[[#This Row],[Resp DT]] ) )</f>
        <v>Gruppo struttura 1</v>
      </c>
      <c r="J12">
        <f>tabSuperdettagli[[#This Row],[Total]]</f>
        <v>1055</v>
      </c>
      <c r="K12">
        <f>tabSuperdettagli[[#This Row],[01.2025]]</f>
        <v>101</v>
      </c>
      <c r="L12">
        <f>tabSuperdettagli[[#This Row],[02.2025]]</f>
        <v>102</v>
      </c>
      <c r="M12">
        <f>tabSuperdettagli[[#This Row],[03.2025]]</f>
        <v>103</v>
      </c>
      <c r="N12">
        <f>tabSuperdettagli[[#This Row],[04.2025]]</f>
        <v>104</v>
      </c>
      <c r="O12">
        <f>tabSuperdettagli[[#This Row],[05.2025]]</f>
        <v>105</v>
      </c>
      <c r="P12">
        <f>tabSuperdettagli[[#This Row],[06.2025]]</f>
        <v>106</v>
      </c>
      <c r="Q12">
        <f>tabSuperdettagli[[#This Row],[07.2025]]</f>
        <v>107</v>
      </c>
      <c r="R12">
        <f>tabSuperdettagli[[#This Row],[08.2025]]</f>
        <v>108</v>
      </c>
      <c r="S12">
        <f>tabSuperdettagli[[#This Row],[09.2025]]</f>
        <v>109</v>
      </c>
      <c r="T12">
        <f>tabSuperdettagli[[#This Row],[10.2025]]</f>
        <v>110</v>
      </c>
      <c r="U12">
        <f>tabSuperdettagli[[#This Row],[11.2025]]</f>
        <v>0</v>
      </c>
      <c r="V12">
        <f>tabSuperdettagli[[#This Row],[12.2025]]</f>
        <v>0</v>
      </c>
      <c r="W12" t="str">
        <f>tabSuperdettagli[[#This Row],[INT/EST]]</f>
        <v>Int.</v>
      </c>
      <c r="X12" t="str">
        <f>tabSuperdettagli[[#This Row],[Resp 2°liv]]&amp;""</f>
        <v/>
      </c>
      <c r="Y12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12" t="str">
        <f>tabSuperdettagli[[#This Row],[WBS Element]]&amp;""</f>
        <v/>
      </c>
      <c r="AA12">
        <f>tabSuperdettagli[[#This Row],[09.2025]]</f>
        <v>109</v>
      </c>
      <c r="AC12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12" t="str">
        <f>LEFT(tabSuperdettagli[[#This Row],[Network]], 18 )</f>
        <v/>
      </c>
      <c r="AE12" t="s">
        <v>281</v>
      </c>
      <c r="AP12" t="s">
        <v>180</v>
      </c>
      <c r="AQ12" t="s">
        <v>298</v>
      </c>
      <c r="AV12" t="s">
        <v>294</v>
      </c>
      <c r="BJ12">
        <v>101</v>
      </c>
      <c r="BK12">
        <v>102</v>
      </c>
      <c r="BL12">
        <v>103</v>
      </c>
      <c r="BM12">
        <v>104</v>
      </c>
      <c r="BN12">
        <v>105</v>
      </c>
      <c r="BO12">
        <v>106</v>
      </c>
      <c r="BP12">
        <v>107</v>
      </c>
      <c r="BQ12">
        <v>108</v>
      </c>
      <c r="BR12">
        <v>109</v>
      </c>
      <c r="BS12">
        <v>110</v>
      </c>
      <c r="BV12">
        <v>1055</v>
      </c>
      <c r="BX12" s="122">
        <v>42033</v>
      </c>
      <c r="CB12" s="122">
        <v>42032</v>
      </c>
      <c r="CC12" s="122">
        <v>42072</v>
      </c>
    </row>
    <row r="13" spans="1:82" x14ac:dyDescent="0.25">
      <c r="A13" t="str">
        <f>IF(UPPER(LEFT(tabSuperdettagli[[#This Row],[WBE Status]],1))="S","sì","no")</f>
        <v>no</v>
      </c>
      <c r="B13">
        <v>2016</v>
      </c>
      <c r="C13" t="e">
        <f>VLOOKUP(tabSuperdettagli[[#This Row],[WBS_]],Pivot_AnnoPrimaMarcatura!A:B,2,FALSE)</f>
        <v>#N/A</v>
      </c>
      <c r="D13" t="str">
        <f>LEFT(tabSuperdettagli[[#This Row],[Network]], 10)</f>
        <v/>
      </c>
      <c r="E13" t="str">
        <f>LEFT(tabSuperdettagli[[#This Row],[Network]], 1)</f>
        <v/>
      </c>
      <c r="F13" t="str">
        <f>LOWER(TRIM( tabSuperdettagli[[#This Row],[Proj. Type ]] ))</f>
        <v/>
      </c>
      <c r="G13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13" t="str">
        <f>IF(  TRIM(tabSuperdettagli[[#This Row],[Raggr. X Struttura]])&gt; "", TRIM(tabSuperdettagli[[#This Row],[Raggr. X Struttura]]), TRIM(tabSuperdettagli[[#This Row],[Resp DT]] ) )</f>
        <v>Gruppo struttura 1</v>
      </c>
      <c r="J13">
        <f>tabSuperdettagli[[#This Row],[Total]]</f>
        <v>2055</v>
      </c>
      <c r="K13">
        <f>tabSuperdettagli[[#This Row],[01.2025]]</f>
        <v>201</v>
      </c>
      <c r="L13">
        <f>tabSuperdettagli[[#This Row],[02.2025]]</f>
        <v>202</v>
      </c>
      <c r="M13">
        <f>tabSuperdettagli[[#This Row],[03.2025]]</f>
        <v>203</v>
      </c>
      <c r="N13">
        <f>tabSuperdettagli[[#This Row],[04.2025]]</f>
        <v>204</v>
      </c>
      <c r="O13">
        <f>tabSuperdettagli[[#This Row],[05.2025]]</f>
        <v>205</v>
      </c>
      <c r="P13">
        <f>tabSuperdettagli[[#This Row],[06.2025]]</f>
        <v>206</v>
      </c>
      <c r="Q13">
        <f>tabSuperdettagli[[#This Row],[07.2025]]</f>
        <v>207</v>
      </c>
      <c r="R13">
        <f>tabSuperdettagli[[#This Row],[08.2025]]</f>
        <v>208</v>
      </c>
      <c r="S13">
        <f>tabSuperdettagli[[#This Row],[09.2025]]</f>
        <v>209</v>
      </c>
      <c r="T13">
        <f>tabSuperdettagli[[#This Row],[10.2025]]</f>
        <v>210</v>
      </c>
      <c r="U13">
        <f>tabSuperdettagli[[#This Row],[11.2025]]</f>
        <v>0</v>
      </c>
      <c r="V13">
        <f>tabSuperdettagli[[#This Row],[12.2025]]</f>
        <v>0</v>
      </c>
      <c r="W13" t="str">
        <f>tabSuperdettagli[[#This Row],[INT/EST]]</f>
        <v>Int.</v>
      </c>
      <c r="X13" t="str">
        <f>tabSuperdettagli[[#This Row],[Resp 2°liv]]&amp;""</f>
        <v/>
      </c>
      <c r="Y13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13" t="str">
        <f>tabSuperdettagli[[#This Row],[WBS Element]]&amp;""</f>
        <v/>
      </c>
      <c r="AA13">
        <f>tabSuperdettagli[[#This Row],[09.2025]]</f>
        <v>209</v>
      </c>
      <c r="AC13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13" t="str">
        <f>LEFT(tabSuperdettagli[[#This Row],[Network]], 18 )</f>
        <v/>
      </c>
      <c r="AE13" t="s">
        <v>282</v>
      </c>
      <c r="AP13" t="s">
        <v>180</v>
      </c>
      <c r="AQ13" t="s">
        <v>298</v>
      </c>
      <c r="AV13" t="s">
        <v>293</v>
      </c>
      <c r="BJ13">
        <v>201</v>
      </c>
      <c r="BK13">
        <v>202</v>
      </c>
      <c r="BL13">
        <v>203</v>
      </c>
      <c r="BM13">
        <v>204</v>
      </c>
      <c r="BN13">
        <v>205</v>
      </c>
      <c r="BO13">
        <v>206</v>
      </c>
      <c r="BP13">
        <v>207</v>
      </c>
      <c r="BQ13">
        <v>208</v>
      </c>
      <c r="BR13">
        <v>209</v>
      </c>
      <c r="BS13">
        <v>210</v>
      </c>
      <c r="BV13">
        <v>2055</v>
      </c>
      <c r="BX13" s="122">
        <v>42036</v>
      </c>
      <c r="CB13" s="122">
        <v>42035</v>
      </c>
      <c r="CC13" s="122">
        <v>42075</v>
      </c>
    </row>
    <row r="14" spans="1:82" x14ac:dyDescent="0.25">
      <c r="A14" t="str">
        <f>IF(UPPER(LEFT(tabSuperdettagli[[#This Row],[WBE Status]],1))="S","sì","no")</f>
        <v>no</v>
      </c>
      <c r="B14">
        <v>2016</v>
      </c>
      <c r="C14" t="e">
        <f>VLOOKUP(tabSuperdettagli[[#This Row],[WBS_]],Pivot_AnnoPrimaMarcatura!A:B,2,FALSE)</f>
        <v>#N/A</v>
      </c>
      <c r="D14" t="str">
        <f>LEFT(tabSuperdettagli[[#This Row],[Network]], 10)</f>
        <v/>
      </c>
      <c r="E14" t="str">
        <f>LEFT(tabSuperdettagli[[#This Row],[Network]], 1)</f>
        <v/>
      </c>
      <c r="F14" t="str">
        <f>LOWER(TRIM( tabSuperdettagli[[#This Row],[Proj. Type ]] ))</f>
        <v/>
      </c>
      <c r="G14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14" t="str">
        <f>IF(  TRIM(tabSuperdettagli[[#This Row],[Raggr. X Struttura]])&gt; "", TRIM(tabSuperdettagli[[#This Row],[Raggr. X Struttura]]), TRIM(tabSuperdettagli[[#This Row],[Resp DT]] ) )</f>
        <v>Gruppo struttura 1</v>
      </c>
      <c r="J14">
        <f>tabSuperdettagli[[#This Row],[Total]]</f>
        <v>3055</v>
      </c>
      <c r="K14">
        <f>tabSuperdettagli[[#This Row],[01.2025]]</f>
        <v>301</v>
      </c>
      <c r="L14">
        <f>tabSuperdettagli[[#This Row],[02.2025]]</f>
        <v>302</v>
      </c>
      <c r="M14">
        <f>tabSuperdettagli[[#This Row],[03.2025]]</f>
        <v>303</v>
      </c>
      <c r="N14">
        <f>tabSuperdettagli[[#This Row],[04.2025]]</f>
        <v>304</v>
      </c>
      <c r="O14">
        <f>tabSuperdettagli[[#This Row],[05.2025]]</f>
        <v>305</v>
      </c>
      <c r="P14">
        <f>tabSuperdettagli[[#This Row],[06.2025]]</f>
        <v>306</v>
      </c>
      <c r="Q14">
        <f>tabSuperdettagli[[#This Row],[07.2025]]</f>
        <v>307</v>
      </c>
      <c r="R14">
        <f>tabSuperdettagli[[#This Row],[08.2025]]</f>
        <v>308</v>
      </c>
      <c r="S14">
        <f>tabSuperdettagli[[#This Row],[09.2025]]</f>
        <v>309</v>
      </c>
      <c r="T14">
        <f>tabSuperdettagli[[#This Row],[10.2025]]</f>
        <v>310</v>
      </c>
      <c r="U14">
        <f>tabSuperdettagli[[#This Row],[11.2025]]</f>
        <v>0</v>
      </c>
      <c r="V14">
        <f>tabSuperdettagli[[#This Row],[12.2025]]</f>
        <v>0</v>
      </c>
      <c r="W14" t="str">
        <f>tabSuperdettagli[[#This Row],[INT/EST]]</f>
        <v>Int.</v>
      </c>
      <c r="X14" t="str">
        <f>tabSuperdettagli[[#This Row],[Resp 2°liv]]&amp;""</f>
        <v/>
      </c>
      <c r="Y14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14" t="str">
        <f>tabSuperdettagli[[#This Row],[WBS Element]]&amp;""</f>
        <v/>
      </c>
      <c r="AA14">
        <f>tabSuperdettagli[[#This Row],[09.2025]]</f>
        <v>309</v>
      </c>
      <c r="AC14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14" t="str">
        <f>LEFT(tabSuperdettagli[[#This Row],[Network]], 18 )</f>
        <v/>
      </c>
      <c r="AE14" t="s">
        <v>282</v>
      </c>
      <c r="AP14" t="s">
        <v>180</v>
      </c>
      <c r="AQ14" t="s">
        <v>298</v>
      </c>
      <c r="AV14" t="s">
        <v>295</v>
      </c>
      <c r="BJ14">
        <v>301</v>
      </c>
      <c r="BK14">
        <v>302</v>
      </c>
      <c r="BL14">
        <v>303</v>
      </c>
      <c r="BM14">
        <v>304</v>
      </c>
      <c r="BN14">
        <v>305</v>
      </c>
      <c r="BO14">
        <v>306</v>
      </c>
      <c r="BP14">
        <v>307</v>
      </c>
      <c r="BQ14">
        <v>308</v>
      </c>
      <c r="BR14">
        <v>309</v>
      </c>
      <c r="BS14">
        <v>310</v>
      </c>
      <c r="BV14">
        <v>3055</v>
      </c>
      <c r="BX14" s="122">
        <v>42039</v>
      </c>
      <c r="CB14" s="122">
        <v>42038</v>
      </c>
      <c r="CC14" s="122">
        <v>42078</v>
      </c>
    </row>
    <row r="15" spans="1:82" x14ac:dyDescent="0.25">
      <c r="A15" t="str">
        <f>IF(UPPER(LEFT(tabSuperdettagli[[#This Row],[WBE Status]],1))="S","sì","no")</f>
        <v>no</v>
      </c>
      <c r="B15">
        <v>2016</v>
      </c>
      <c r="C15" t="e">
        <f>VLOOKUP(tabSuperdettagli[[#This Row],[WBS_]],Pivot_AnnoPrimaMarcatura!A:B,2,FALSE)</f>
        <v>#N/A</v>
      </c>
      <c r="D15" t="str">
        <f>LEFT(tabSuperdettagli[[#This Row],[Network]], 10)</f>
        <v/>
      </c>
      <c r="E15" t="str">
        <f>LEFT(tabSuperdettagli[[#This Row],[Network]], 1)</f>
        <v/>
      </c>
      <c r="F15" t="str">
        <f>LOWER(TRIM( tabSuperdettagli[[#This Row],[Proj. Type ]] ))</f>
        <v/>
      </c>
      <c r="G15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15" t="str">
        <f>IF(  TRIM(tabSuperdettagli[[#This Row],[Raggr. X Struttura]])&gt; "", TRIM(tabSuperdettagli[[#This Row],[Raggr. X Struttura]]), TRIM(tabSuperdettagli[[#This Row],[Resp DT]] ) )</f>
        <v>Gruppo struttura 1</v>
      </c>
      <c r="J15">
        <f>tabSuperdettagli[[#This Row],[Total]]</f>
        <v>4055</v>
      </c>
      <c r="K15">
        <f>tabSuperdettagli[[#This Row],[01.2025]]</f>
        <v>401</v>
      </c>
      <c r="L15">
        <f>tabSuperdettagli[[#This Row],[02.2025]]</f>
        <v>402</v>
      </c>
      <c r="M15">
        <f>tabSuperdettagli[[#This Row],[03.2025]]</f>
        <v>403</v>
      </c>
      <c r="N15">
        <f>tabSuperdettagli[[#This Row],[04.2025]]</f>
        <v>404</v>
      </c>
      <c r="O15">
        <f>tabSuperdettagli[[#This Row],[05.2025]]</f>
        <v>405</v>
      </c>
      <c r="P15">
        <f>tabSuperdettagli[[#This Row],[06.2025]]</f>
        <v>406</v>
      </c>
      <c r="Q15">
        <f>tabSuperdettagli[[#This Row],[07.2025]]</f>
        <v>407</v>
      </c>
      <c r="R15">
        <f>tabSuperdettagli[[#This Row],[08.2025]]</f>
        <v>408</v>
      </c>
      <c r="S15">
        <f>tabSuperdettagli[[#This Row],[09.2025]]</f>
        <v>409</v>
      </c>
      <c r="T15">
        <f>tabSuperdettagli[[#This Row],[10.2025]]</f>
        <v>410</v>
      </c>
      <c r="U15">
        <f>tabSuperdettagli[[#This Row],[11.2025]]</f>
        <v>0</v>
      </c>
      <c r="V15">
        <f>tabSuperdettagli[[#This Row],[12.2025]]</f>
        <v>0</v>
      </c>
      <c r="W15" t="str">
        <f>tabSuperdettagli[[#This Row],[INT/EST]]</f>
        <v>Est.</v>
      </c>
      <c r="X15" t="str">
        <f>tabSuperdettagli[[#This Row],[Resp 2°liv]]&amp;""</f>
        <v/>
      </c>
      <c r="Y15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15" t="str">
        <f>tabSuperdettagli[[#This Row],[WBS Element]]&amp;""</f>
        <v/>
      </c>
      <c r="AA15">
        <f>tabSuperdettagli[[#This Row],[09.2025]]</f>
        <v>409</v>
      </c>
      <c r="AC15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15" t="str">
        <f>LEFT(tabSuperdettagli[[#This Row],[Network]], 18 )</f>
        <v/>
      </c>
      <c r="AE15" t="s">
        <v>282</v>
      </c>
      <c r="AP15" t="s">
        <v>292</v>
      </c>
      <c r="AQ15" t="s">
        <v>298</v>
      </c>
      <c r="AV15" t="s">
        <v>293</v>
      </c>
      <c r="BJ15">
        <v>401</v>
      </c>
      <c r="BK15">
        <v>402</v>
      </c>
      <c r="BL15">
        <v>403</v>
      </c>
      <c r="BM15">
        <v>404</v>
      </c>
      <c r="BN15">
        <v>405</v>
      </c>
      <c r="BO15">
        <v>406</v>
      </c>
      <c r="BP15">
        <v>407</v>
      </c>
      <c r="BQ15">
        <v>408</v>
      </c>
      <c r="BR15">
        <v>409</v>
      </c>
      <c r="BS15">
        <v>410</v>
      </c>
      <c r="BV15">
        <v>4055</v>
      </c>
      <c r="BX15" s="122">
        <v>42042</v>
      </c>
      <c r="CB15" s="122">
        <v>42041</v>
      </c>
      <c r="CC15" s="122">
        <v>42081</v>
      </c>
    </row>
    <row r="16" spans="1:82" x14ac:dyDescent="0.25">
      <c r="A16" t="str">
        <f>IF(UPPER(LEFT(tabSuperdettagli[[#This Row],[WBE Status]],1))="S","sì","no")</f>
        <v>no</v>
      </c>
      <c r="B16">
        <v>2016</v>
      </c>
      <c r="C16" t="e">
        <f>VLOOKUP(tabSuperdettagli[[#This Row],[WBS_]],Pivot_AnnoPrimaMarcatura!A:B,2,FALSE)</f>
        <v>#N/A</v>
      </c>
      <c r="D16" t="str">
        <f>LEFT(tabSuperdettagli[[#This Row],[Network]], 10)</f>
        <v/>
      </c>
      <c r="E16" t="str">
        <f>LEFT(tabSuperdettagli[[#This Row],[Network]], 1)</f>
        <v/>
      </c>
      <c r="F16" t="str">
        <f>LOWER(TRIM( tabSuperdettagli[[#This Row],[Proj. Type ]] ))</f>
        <v/>
      </c>
      <c r="G16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16" t="str">
        <f>IF(  TRIM(tabSuperdettagli[[#This Row],[Raggr. X Struttura]])&gt; "", TRIM(tabSuperdettagli[[#This Row],[Raggr. X Struttura]]), TRIM(tabSuperdettagli[[#This Row],[Resp DT]] ) )</f>
        <v>Gruppo struttura 2</v>
      </c>
      <c r="J16">
        <f>tabSuperdettagli[[#This Row],[Total]]</f>
        <v>5055</v>
      </c>
      <c r="K16">
        <f>tabSuperdettagli[[#This Row],[01.2025]]</f>
        <v>501</v>
      </c>
      <c r="L16">
        <f>tabSuperdettagli[[#This Row],[02.2025]]</f>
        <v>502</v>
      </c>
      <c r="M16">
        <f>tabSuperdettagli[[#This Row],[03.2025]]</f>
        <v>503</v>
      </c>
      <c r="N16">
        <f>tabSuperdettagli[[#This Row],[04.2025]]</f>
        <v>504</v>
      </c>
      <c r="O16">
        <f>tabSuperdettagli[[#This Row],[05.2025]]</f>
        <v>505</v>
      </c>
      <c r="P16">
        <f>tabSuperdettagli[[#This Row],[06.2025]]</f>
        <v>506</v>
      </c>
      <c r="Q16">
        <f>tabSuperdettagli[[#This Row],[07.2025]]</f>
        <v>507</v>
      </c>
      <c r="R16">
        <f>tabSuperdettagli[[#This Row],[08.2025]]</f>
        <v>508</v>
      </c>
      <c r="S16">
        <f>tabSuperdettagli[[#This Row],[09.2025]]</f>
        <v>509</v>
      </c>
      <c r="T16">
        <f>tabSuperdettagli[[#This Row],[10.2025]]</f>
        <v>510</v>
      </c>
      <c r="U16">
        <f>tabSuperdettagli[[#This Row],[11.2025]]</f>
        <v>0</v>
      </c>
      <c r="V16">
        <f>tabSuperdettagli[[#This Row],[12.2025]]</f>
        <v>0</v>
      </c>
      <c r="W16" t="str">
        <f>tabSuperdettagli[[#This Row],[INT/EST]]</f>
        <v>Est.</v>
      </c>
      <c r="X16" t="str">
        <f>tabSuperdettagli[[#This Row],[Resp 2°liv]]&amp;""</f>
        <v/>
      </c>
      <c r="Y16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16" t="str">
        <f>tabSuperdettagli[[#This Row],[WBS Element]]&amp;""</f>
        <v/>
      </c>
      <c r="AA16">
        <f>tabSuperdettagli[[#This Row],[09.2025]]</f>
        <v>509</v>
      </c>
      <c r="AC16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16" t="str">
        <f>LEFT(tabSuperdettagli[[#This Row],[Network]], 18 )</f>
        <v/>
      </c>
      <c r="AE16" t="s">
        <v>282</v>
      </c>
      <c r="AP16" t="s">
        <v>292</v>
      </c>
      <c r="AQ16" t="s">
        <v>299</v>
      </c>
      <c r="AV16" t="s">
        <v>293</v>
      </c>
      <c r="BJ16">
        <v>501</v>
      </c>
      <c r="BK16">
        <v>502</v>
      </c>
      <c r="BL16">
        <v>503</v>
      </c>
      <c r="BM16">
        <v>504</v>
      </c>
      <c r="BN16">
        <v>505</v>
      </c>
      <c r="BO16">
        <v>506</v>
      </c>
      <c r="BP16">
        <v>507</v>
      </c>
      <c r="BQ16">
        <v>508</v>
      </c>
      <c r="BR16">
        <v>509</v>
      </c>
      <c r="BS16">
        <v>510</v>
      </c>
      <c r="BV16">
        <v>5055</v>
      </c>
      <c r="BX16" s="122">
        <v>42045</v>
      </c>
      <c r="CB16" s="122">
        <v>42044</v>
      </c>
      <c r="CC16" s="122">
        <v>42084</v>
      </c>
    </row>
    <row r="17" spans="1:81" x14ac:dyDescent="0.25">
      <c r="A17" t="str">
        <f>IF(UPPER(LEFT(tabSuperdettagli[[#This Row],[WBE Status]],1))="S","sì","no")</f>
        <v>no</v>
      </c>
      <c r="B17">
        <v>2016</v>
      </c>
      <c r="C17" t="e">
        <f>VLOOKUP(tabSuperdettagli[[#This Row],[WBS_]],Pivot_AnnoPrimaMarcatura!A:B,2,FALSE)</f>
        <v>#N/A</v>
      </c>
      <c r="D17" t="str">
        <f>LEFT(tabSuperdettagli[[#This Row],[Network]], 10)</f>
        <v/>
      </c>
      <c r="E17" t="str">
        <f>LEFT(tabSuperdettagli[[#This Row],[Network]], 1)</f>
        <v/>
      </c>
      <c r="F17" t="str">
        <f>LOWER(TRIM( tabSuperdettagli[[#This Row],[Proj. Type ]] ))</f>
        <v/>
      </c>
      <c r="G17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17" t="str">
        <f>IF(  TRIM(tabSuperdettagli[[#This Row],[Raggr. X Struttura]])&gt; "", TRIM(tabSuperdettagli[[#This Row],[Raggr. X Struttura]]), TRIM(tabSuperdettagli[[#This Row],[Resp DT]] ) )</f>
        <v>Gruppo struttura 6</v>
      </c>
      <c r="J17">
        <f>tabSuperdettagli[[#This Row],[Total]]</f>
        <v>55</v>
      </c>
      <c r="K17">
        <f>tabSuperdettagli[[#This Row],[01.2025]]</f>
        <v>1</v>
      </c>
      <c r="L17">
        <f>tabSuperdettagli[[#This Row],[02.2025]]</f>
        <v>2</v>
      </c>
      <c r="M17">
        <f>tabSuperdettagli[[#This Row],[03.2025]]</f>
        <v>3</v>
      </c>
      <c r="N17">
        <f>tabSuperdettagli[[#This Row],[04.2025]]</f>
        <v>4</v>
      </c>
      <c r="O17">
        <f>tabSuperdettagli[[#This Row],[05.2025]]</f>
        <v>5</v>
      </c>
      <c r="P17">
        <f>tabSuperdettagli[[#This Row],[06.2025]]</f>
        <v>6</v>
      </c>
      <c r="Q17">
        <f>tabSuperdettagli[[#This Row],[07.2025]]</f>
        <v>7</v>
      </c>
      <c r="R17">
        <f>tabSuperdettagli[[#This Row],[08.2025]]</f>
        <v>8</v>
      </c>
      <c r="S17">
        <f>tabSuperdettagli[[#This Row],[09.2025]]</f>
        <v>9</v>
      </c>
      <c r="T17">
        <f>tabSuperdettagli[[#This Row],[10.2025]]</f>
        <v>10</v>
      </c>
      <c r="U17">
        <f>tabSuperdettagli[[#This Row],[11.2025]]</f>
        <v>0</v>
      </c>
      <c r="V17">
        <f>tabSuperdettagli[[#This Row],[12.2025]]</f>
        <v>0</v>
      </c>
      <c r="W17" t="str">
        <f>tabSuperdettagli[[#This Row],[INT/EST]]</f>
        <v>Int.</v>
      </c>
      <c r="X17" t="str">
        <f>tabSuperdettagli[[#This Row],[Resp 2°liv]]&amp;""</f>
        <v/>
      </c>
      <c r="Y17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17" t="str">
        <f>tabSuperdettagli[[#This Row],[WBS Element]]&amp;""</f>
        <v/>
      </c>
      <c r="AA17">
        <f>tabSuperdettagli[[#This Row],[09.2025]]</f>
        <v>9</v>
      </c>
      <c r="AC17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17" t="str">
        <f>LEFT(tabSuperdettagli[[#This Row],[Network]], 18 )</f>
        <v/>
      </c>
      <c r="AE17" t="s">
        <v>282</v>
      </c>
      <c r="AP17" t="s">
        <v>180</v>
      </c>
      <c r="AQ17" t="s">
        <v>303</v>
      </c>
      <c r="AV17" t="s">
        <v>293</v>
      </c>
      <c r="BJ17">
        <v>1</v>
      </c>
      <c r="BK17">
        <v>2</v>
      </c>
      <c r="BL17">
        <v>3</v>
      </c>
      <c r="BM17">
        <v>4</v>
      </c>
      <c r="BN17">
        <v>5</v>
      </c>
      <c r="BO17">
        <v>6</v>
      </c>
      <c r="BP17">
        <v>7</v>
      </c>
      <c r="BQ17">
        <v>8</v>
      </c>
      <c r="BR17">
        <v>9</v>
      </c>
      <c r="BS17">
        <v>10</v>
      </c>
      <c r="BV17">
        <v>55</v>
      </c>
      <c r="BX17" s="122">
        <v>42048</v>
      </c>
      <c r="CB17" s="122">
        <v>42047</v>
      </c>
      <c r="CC17" s="122">
        <v>42087</v>
      </c>
    </row>
    <row r="18" spans="1:81" x14ac:dyDescent="0.25">
      <c r="A18" t="str">
        <f>IF(UPPER(LEFT(tabSuperdettagli[[#This Row],[WBE Status]],1))="S","sì","no")</f>
        <v>no</v>
      </c>
      <c r="B18">
        <v>2016</v>
      </c>
      <c r="C18" t="e">
        <f>VLOOKUP(tabSuperdettagli[[#This Row],[WBS_]],Pivot_AnnoPrimaMarcatura!A:B,2,FALSE)</f>
        <v>#N/A</v>
      </c>
      <c r="D18" t="str">
        <f>LEFT(tabSuperdettagli[[#This Row],[Network]], 10)</f>
        <v/>
      </c>
      <c r="E18" t="str">
        <f>LEFT(tabSuperdettagli[[#This Row],[Network]], 1)</f>
        <v/>
      </c>
      <c r="F18" t="str">
        <f>LOWER(TRIM( tabSuperdettagli[[#This Row],[Proj. Type ]] ))</f>
        <v/>
      </c>
      <c r="G18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18" t="str">
        <f>IF(  TRIM(tabSuperdettagli[[#This Row],[Raggr. X Struttura]])&gt; "", TRIM(tabSuperdettagli[[#This Row],[Raggr. X Struttura]]), TRIM(tabSuperdettagli[[#This Row],[Resp DT]] ) )</f>
        <v>Gruppo struttura 1</v>
      </c>
      <c r="J18">
        <f>tabSuperdettagli[[#This Row],[Total]]</f>
        <v>1055</v>
      </c>
      <c r="K18">
        <f>tabSuperdettagli[[#This Row],[01.2025]]</f>
        <v>101</v>
      </c>
      <c r="L18">
        <f>tabSuperdettagli[[#This Row],[02.2025]]</f>
        <v>102</v>
      </c>
      <c r="M18">
        <f>tabSuperdettagli[[#This Row],[03.2025]]</f>
        <v>103</v>
      </c>
      <c r="N18">
        <f>tabSuperdettagli[[#This Row],[04.2025]]</f>
        <v>104</v>
      </c>
      <c r="O18">
        <f>tabSuperdettagli[[#This Row],[05.2025]]</f>
        <v>105</v>
      </c>
      <c r="P18">
        <f>tabSuperdettagli[[#This Row],[06.2025]]</f>
        <v>106</v>
      </c>
      <c r="Q18">
        <f>tabSuperdettagli[[#This Row],[07.2025]]</f>
        <v>107</v>
      </c>
      <c r="R18">
        <f>tabSuperdettagli[[#This Row],[08.2025]]</f>
        <v>108</v>
      </c>
      <c r="S18">
        <f>tabSuperdettagli[[#This Row],[09.2025]]</f>
        <v>109</v>
      </c>
      <c r="T18">
        <f>tabSuperdettagli[[#This Row],[10.2025]]</f>
        <v>110</v>
      </c>
      <c r="U18">
        <f>tabSuperdettagli[[#This Row],[11.2025]]</f>
        <v>0</v>
      </c>
      <c r="V18">
        <f>tabSuperdettagli[[#This Row],[12.2025]]</f>
        <v>0</v>
      </c>
      <c r="W18" t="str">
        <f>tabSuperdettagli[[#This Row],[INT/EST]]</f>
        <v>Int.</v>
      </c>
      <c r="X18" t="str">
        <f>tabSuperdettagli[[#This Row],[Resp 2°liv]]&amp;""</f>
        <v/>
      </c>
      <c r="Y18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18" t="str">
        <f>tabSuperdettagli[[#This Row],[WBS Element]]&amp;""</f>
        <v/>
      </c>
      <c r="AA18">
        <f>tabSuperdettagli[[#This Row],[09.2025]]</f>
        <v>109</v>
      </c>
      <c r="AC18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18" t="str">
        <f>LEFT(tabSuperdettagli[[#This Row],[Network]], 18 )</f>
        <v/>
      </c>
      <c r="AE18" t="s">
        <v>282</v>
      </c>
      <c r="AP18" t="s">
        <v>180</v>
      </c>
      <c r="AQ18" t="s">
        <v>298</v>
      </c>
      <c r="AV18" t="s">
        <v>293</v>
      </c>
      <c r="BJ18">
        <v>101</v>
      </c>
      <c r="BK18">
        <v>102</v>
      </c>
      <c r="BL18">
        <v>103</v>
      </c>
      <c r="BM18">
        <v>104</v>
      </c>
      <c r="BN18">
        <v>105</v>
      </c>
      <c r="BO18">
        <v>106</v>
      </c>
      <c r="BP18">
        <v>107</v>
      </c>
      <c r="BQ18">
        <v>108</v>
      </c>
      <c r="BR18">
        <v>109</v>
      </c>
      <c r="BS18">
        <v>110</v>
      </c>
      <c r="BV18">
        <v>1055</v>
      </c>
      <c r="BX18" s="122">
        <v>42051</v>
      </c>
      <c r="CB18" s="122">
        <v>42050</v>
      </c>
      <c r="CC18" s="122">
        <v>42090</v>
      </c>
    </row>
    <row r="19" spans="1:81" x14ac:dyDescent="0.25">
      <c r="A19" t="str">
        <f>IF(UPPER(LEFT(tabSuperdettagli[[#This Row],[WBE Status]],1))="S","sì","no")</f>
        <v>no</v>
      </c>
      <c r="B19">
        <v>2016</v>
      </c>
      <c r="C19" t="e">
        <f>VLOOKUP(tabSuperdettagli[[#This Row],[WBS_]],Pivot_AnnoPrimaMarcatura!A:B,2,FALSE)</f>
        <v>#N/A</v>
      </c>
      <c r="D19" t="str">
        <f>LEFT(tabSuperdettagli[[#This Row],[Network]], 10)</f>
        <v/>
      </c>
      <c r="E19" t="str">
        <f>LEFT(tabSuperdettagli[[#This Row],[Network]], 1)</f>
        <v/>
      </c>
      <c r="F19" t="str">
        <f>LOWER(TRIM( tabSuperdettagli[[#This Row],[Proj. Type ]] ))</f>
        <v/>
      </c>
      <c r="G19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19" t="str">
        <f>IF(  TRIM(tabSuperdettagli[[#This Row],[Raggr. X Struttura]])&gt; "", TRIM(tabSuperdettagli[[#This Row],[Raggr. X Struttura]]), TRIM(tabSuperdettagli[[#This Row],[Resp DT]] ) )</f>
        <v>Gruppo struttura 4</v>
      </c>
      <c r="J19">
        <f>tabSuperdettagli[[#This Row],[Total]]</f>
        <v>2055</v>
      </c>
      <c r="K19">
        <f>tabSuperdettagli[[#This Row],[01.2025]]</f>
        <v>201</v>
      </c>
      <c r="L19">
        <f>tabSuperdettagli[[#This Row],[02.2025]]</f>
        <v>202</v>
      </c>
      <c r="M19">
        <f>tabSuperdettagli[[#This Row],[03.2025]]</f>
        <v>203</v>
      </c>
      <c r="N19">
        <f>tabSuperdettagli[[#This Row],[04.2025]]</f>
        <v>204</v>
      </c>
      <c r="O19">
        <f>tabSuperdettagli[[#This Row],[05.2025]]</f>
        <v>205</v>
      </c>
      <c r="P19">
        <f>tabSuperdettagli[[#This Row],[06.2025]]</f>
        <v>206</v>
      </c>
      <c r="Q19">
        <f>tabSuperdettagli[[#This Row],[07.2025]]</f>
        <v>207</v>
      </c>
      <c r="R19">
        <f>tabSuperdettagli[[#This Row],[08.2025]]</f>
        <v>208</v>
      </c>
      <c r="S19">
        <f>tabSuperdettagli[[#This Row],[09.2025]]</f>
        <v>209</v>
      </c>
      <c r="T19">
        <f>tabSuperdettagli[[#This Row],[10.2025]]</f>
        <v>210</v>
      </c>
      <c r="U19">
        <f>tabSuperdettagli[[#This Row],[11.2025]]</f>
        <v>0</v>
      </c>
      <c r="V19">
        <f>tabSuperdettagli[[#This Row],[12.2025]]</f>
        <v>0</v>
      </c>
      <c r="W19" t="str">
        <f>tabSuperdettagli[[#This Row],[INT/EST]]</f>
        <v>Int.</v>
      </c>
      <c r="X19" t="str">
        <f>tabSuperdettagli[[#This Row],[Resp 2°liv]]&amp;""</f>
        <v/>
      </c>
      <c r="Y19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19" t="str">
        <f>tabSuperdettagli[[#This Row],[WBS Element]]&amp;""</f>
        <v/>
      </c>
      <c r="AA19">
        <f>tabSuperdettagli[[#This Row],[09.2025]]</f>
        <v>209</v>
      </c>
      <c r="AC19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19" t="str">
        <f>LEFT(tabSuperdettagli[[#This Row],[Network]], 18 )</f>
        <v/>
      </c>
      <c r="AE19" t="s">
        <v>282</v>
      </c>
      <c r="AP19" t="s">
        <v>180</v>
      </c>
      <c r="AQ19" t="s">
        <v>301</v>
      </c>
      <c r="AV19" t="s">
        <v>293</v>
      </c>
      <c r="BJ19">
        <v>201</v>
      </c>
      <c r="BK19">
        <v>202</v>
      </c>
      <c r="BL19">
        <v>203</v>
      </c>
      <c r="BM19">
        <v>204</v>
      </c>
      <c r="BN19">
        <v>205</v>
      </c>
      <c r="BO19">
        <v>206</v>
      </c>
      <c r="BP19">
        <v>207</v>
      </c>
      <c r="BQ19">
        <v>208</v>
      </c>
      <c r="BR19">
        <v>209</v>
      </c>
      <c r="BS19">
        <v>210</v>
      </c>
      <c r="BV19">
        <v>2055</v>
      </c>
      <c r="BX19" s="122">
        <v>42054</v>
      </c>
      <c r="CB19" s="122">
        <v>42053</v>
      </c>
      <c r="CC19" s="122">
        <v>42093</v>
      </c>
    </row>
    <row r="20" spans="1:81" x14ac:dyDescent="0.25">
      <c r="A20" t="str">
        <f>IF(UPPER(LEFT(tabSuperdettagli[[#This Row],[WBE Status]],1))="S","sì","no")</f>
        <v>no</v>
      </c>
      <c r="B20">
        <v>2016</v>
      </c>
      <c r="C20" t="e">
        <f>VLOOKUP(tabSuperdettagli[[#This Row],[WBS_]],Pivot_AnnoPrimaMarcatura!A:B,2,FALSE)</f>
        <v>#N/A</v>
      </c>
      <c r="D20" t="str">
        <f>LEFT(tabSuperdettagli[[#This Row],[Network]], 10)</f>
        <v/>
      </c>
      <c r="E20" t="str">
        <f>LEFT(tabSuperdettagli[[#This Row],[Network]], 1)</f>
        <v/>
      </c>
      <c r="F20" t="str">
        <f>LOWER(TRIM( tabSuperdettagli[[#This Row],[Proj. Type ]] ))</f>
        <v/>
      </c>
      <c r="G20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20" t="str">
        <f>IF(  TRIM(tabSuperdettagli[[#This Row],[Raggr. X Struttura]])&gt; "", TRIM(tabSuperdettagli[[#This Row],[Raggr. X Struttura]]), TRIM(tabSuperdettagli[[#This Row],[Resp DT]] ) )</f>
        <v>Gruppo struttura 1</v>
      </c>
      <c r="J20">
        <f>tabSuperdettagli[[#This Row],[Total]]</f>
        <v>3055</v>
      </c>
      <c r="K20">
        <f>tabSuperdettagli[[#This Row],[01.2025]]</f>
        <v>301</v>
      </c>
      <c r="L20">
        <f>tabSuperdettagli[[#This Row],[02.2025]]</f>
        <v>302</v>
      </c>
      <c r="M20">
        <f>tabSuperdettagli[[#This Row],[03.2025]]</f>
        <v>303</v>
      </c>
      <c r="N20">
        <f>tabSuperdettagli[[#This Row],[04.2025]]</f>
        <v>304</v>
      </c>
      <c r="O20">
        <f>tabSuperdettagli[[#This Row],[05.2025]]</f>
        <v>305</v>
      </c>
      <c r="P20">
        <f>tabSuperdettagli[[#This Row],[06.2025]]</f>
        <v>306</v>
      </c>
      <c r="Q20">
        <f>tabSuperdettagli[[#This Row],[07.2025]]</f>
        <v>307</v>
      </c>
      <c r="R20">
        <f>tabSuperdettagli[[#This Row],[08.2025]]</f>
        <v>308</v>
      </c>
      <c r="S20">
        <f>tabSuperdettagli[[#This Row],[09.2025]]</f>
        <v>309</v>
      </c>
      <c r="T20">
        <f>tabSuperdettagli[[#This Row],[10.2025]]</f>
        <v>310</v>
      </c>
      <c r="U20">
        <f>tabSuperdettagli[[#This Row],[11.2025]]</f>
        <v>0</v>
      </c>
      <c r="V20">
        <f>tabSuperdettagli[[#This Row],[12.2025]]</f>
        <v>0</v>
      </c>
      <c r="W20" t="str">
        <f>tabSuperdettagli[[#This Row],[INT/EST]]</f>
        <v>Int.</v>
      </c>
      <c r="X20" t="str">
        <f>tabSuperdettagli[[#This Row],[Resp 2°liv]]&amp;""</f>
        <v/>
      </c>
      <c r="Y20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20" t="str">
        <f>tabSuperdettagli[[#This Row],[WBS Element]]&amp;""</f>
        <v/>
      </c>
      <c r="AA20">
        <f>tabSuperdettagli[[#This Row],[09.2025]]</f>
        <v>309</v>
      </c>
      <c r="AC20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20" t="str">
        <f>LEFT(tabSuperdettagli[[#This Row],[Network]], 18 )</f>
        <v/>
      </c>
      <c r="AE20" t="s">
        <v>282</v>
      </c>
      <c r="AP20" t="s">
        <v>180</v>
      </c>
      <c r="AQ20" t="s">
        <v>298</v>
      </c>
      <c r="AV20" t="s">
        <v>293</v>
      </c>
      <c r="BJ20">
        <v>301</v>
      </c>
      <c r="BK20">
        <v>302</v>
      </c>
      <c r="BL20">
        <v>303</v>
      </c>
      <c r="BM20">
        <v>304</v>
      </c>
      <c r="BN20">
        <v>305</v>
      </c>
      <c r="BO20">
        <v>306</v>
      </c>
      <c r="BP20">
        <v>307</v>
      </c>
      <c r="BQ20">
        <v>308</v>
      </c>
      <c r="BR20">
        <v>309</v>
      </c>
      <c r="BS20">
        <v>310</v>
      </c>
      <c r="BV20">
        <v>3055</v>
      </c>
      <c r="BX20" s="122">
        <v>42057</v>
      </c>
      <c r="CB20" s="122">
        <v>42056</v>
      </c>
      <c r="CC20" s="122">
        <v>42096</v>
      </c>
    </row>
    <row r="21" spans="1:81" x14ac:dyDescent="0.25">
      <c r="A21" t="str">
        <f>IF(UPPER(LEFT(tabSuperdettagli[[#This Row],[WBE Status]],1))="S","sì","no")</f>
        <v>no</v>
      </c>
      <c r="B21">
        <v>2016</v>
      </c>
      <c r="C21" t="e">
        <f>VLOOKUP(tabSuperdettagli[[#This Row],[WBS_]],Pivot_AnnoPrimaMarcatura!A:B,2,FALSE)</f>
        <v>#N/A</v>
      </c>
      <c r="D21" t="str">
        <f>LEFT(tabSuperdettagli[[#This Row],[Network]], 10)</f>
        <v/>
      </c>
      <c r="E21" t="str">
        <f>LEFT(tabSuperdettagli[[#This Row],[Network]], 1)</f>
        <v/>
      </c>
      <c r="F21" t="str">
        <f>LOWER(TRIM( tabSuperdettagli[[#This Row],[Proj. Type ]] ))</f>
        <v/>
      </c>
      <c r="G21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21" t="str">
        <f>IF(  TRIM(tabSuperdettagli[[#This Row],[Raggr. X Struttura]])&gt; "", TRIM(tabSuperdettagli[[#This Row],[Raggr. X Struttura]]), TRIM(tabSuperdettagli[[#This Row],[Resp DT]] ) )</f>
        <v>Gruppo struttura 5</v>
      </c>
      <c r="J21">
        <f>tabSuperdettagli[[#This Row],[Total]]</f>
        <v>55</v>
      </c>
      <c r="K21">
        <f>tabSuperdettagli[[#This Row],[01.2025]]</f>
        <v>1</v>
      </c>
      <c r="L21">
        <f>tabSuperdettagli[[#This Row],[02.2025]]</f>
        <v>2</v>
      </c>
      <c r="M21">
        <f>tabSuperdettagli[[#This Row],[03.2025]]</f>
        <v>3</v>
      </c>
      <c r="N21">
        <f>tabSuperdettagli[[#This Row],[04.2025]]</f>
        <v>4</v>
      </c>
      <c r="O21">
        <f>tabSuperdettagli[[#This Row],[05.2025]]</f>
        <v>5</v>
      </c>
      <c r="P21">
        <f>tabSuperdettagli[[#This Row],[06.2025]]</f>
        <v>6</v>
      </c>
      <c r="Q21">
        <f>tabSuperdettagli[[#This Row],[07.2025]]</f>
        <v>7</v>
      </c>
      <c r="R21">
        <f>tabSuperdettagli[[#This Row],[08.2025]]</f>
        <v>8</v>
      </c>
      <c r="S21">
        <f>tabSuperdettagli[[#This Row],[09.2025]]</f>
        <v>9</v>
      </c>
      <c r="T21">
        <f>tabSuperdettagli[[#This Row],[10.2025]]</f>
        <v>10</v>
      </c>
      <c r="U21">
        <f>tabSuperdettagli[[#This Row],[11.2025]]</f>
        <v>0</v>
      </c>
      <c r="V21">
        <f>tabSuperdettagli[[#This Row],[12.2025]]</f>
        <v>0</v>
      </c>
      <c r="W21" t="str">
        <f>tabSuperdettagli[[#This Row],[INT/EST]]</f>
        <v>Int.</v>
      </c>
      <c r="X21" t="str">
        <f>tabSuperdettagli[[#This Row],[Resp 2°liv]]&amp;""</f>
        <v/>
      </c>
      <c r="Y21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21" t="str">
        <f>tabSuperdettagli[[#This Row],[WBS Element]]&amp;""</f>
        <v/>
      </c>
      <c r="AA21">
        <f>tabSuperdettagli[[#This Row],[09.2025]]</f>
        <v>9</v>
      </c>
      <c r="AC21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21" t="str">
        <f>LEFT(tabSuperdettagli[[#This Row],[Network]], 18 )</f>
        <v/>
      </c>
      <c r="AE21" t="s">
        <v>282</v>
      </c>
      <c r="AP21" t="s">
        <v>180</v>
      </c>
      <c r="AQ21" t="s">
        <v>302</v>
      </c>
      <c r="AV21" t="s">
        <v>295</v>
      </c>
      <c r="BJ21">
        <v>1</v>
      </c>
      <c r="BK21">
        <v>2</v>
      </c>
      <c r="BL21">
        <v>3</v>
      </c>
      <c r="BM21">
        <v>4</v>
      </c>
      <c r="BN21">
        <v>5</v>
      </c>
      <c r="BO21">
        <v>6</v>
      </c>
      <c r="BP21">
        <v>7</v>
      </c>
      <c r="BQ21">
        <v>8</v>
      </c>
      <c r="BR21">
        <v>9</v>
      </c>
      <c r="BS21">
        <v>10</v>
      </c>
      <c r="BV21">
        <v>55</v>
      </c>
      <c r="BX21" s="122">
        <v>42060</v>
      </c>
      <c r="CB21" s="122">
        <v>42059</v>
      </c>
      <c r="CC21" s="122">
        <v>42099</v>
      </c>
    </row>
    <row r="22" spans="1:81" x14ac:dyDescent="0.25">
      <c r="A22" t="str">
        <f>IF(UPPER(LEFT(tabSuperdettagli[[#This Row],[WBE Status]],1))="S","sì","no")</f>
        <v>no</v>
      </c>
      <c r="B22">
        <v>2016</v>
      </c>
      <c r="C22" t="e">
        <f>VLOOKUP(tabSuperdettagli[[#This Row],[WBS_]],Pivot_AnnoPrimaMarcatura!A:B,2,FALSE)</f>
        <v>#N/A</v>
      </c>
      <c r="D22" t="str">
        <f>LEFT(tabSuperdettagli[[#This Row],[Network]], 10)</f>
        <v/>
      </c>
      <c r="E22" t="str">
        <f>LEFT(tabSuperdettagli[[#This Row],[Network]], 1)</f>
        <v/>
      </c>
      <c r="F22" t="str">
        <f>LOWER(TRIM( tabSuperdettagli[[#This Row],[Proj. Type ]] ))</f>
        <v/>
      </c>
      <c r="G22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22" t="str">
        <f>IF(  TRIM(tabSuperdettagli[[#This Row],[Raggr. X Struttura]])&gt; "", TRIM(tabSuperdettagli[[#This Row],[Raggr. X Struttura]]), TRIM(tabSuperdettagli[[#This Row],[Resp DT]] ) )</f>
        <v>Responsabile B</v>
      </c>
      <c r="J22">
        <f>tabSuperdettagli[[#This Row],[Total]]</f>
        <v>1055</v>
      </c>
      <c r="K22">
        <f>tabSuperdettagli[[#This Row],[01.2025]]</f>
        <v>101</v>
      </c>
      <c r="L22">
        <f>tabSuperdettagli[[#This Row],[02.2025]]</f>
        <v>102</v>
      </c>
      <c r="M22">
        <f>tabSuperdettagli[[#This Row],[03.2025]]</f>
        <v>103</v>
      </c>
      <c r="N22">
        <f>tabSuperdettagli[[#This Row],[04.2025]]</f>
        <v>104</v>
      </c>
      <c r="O22">
        <f>tabSuperdettagli[[#This Row],[05.2025]]</f>
        <v>105</v>
      </c>
      <c r="P22">
        <f>tabSuperdettagli[[#This Row],[06.2025]]</f>
        <v>106</v>
      </c>
      <c r="Q22">
        <f>tabSuperdettagli[[#This Row],[07.2025]]</f>
        <v>107</v>
      </c>
      <c r="R22">
        <f>tabSuperdettagli[[#This Row],[08.2025]]</f>
        <v>108</v>
      </c>
      <c r="S22">
        <f>tabSuperdettagli[[#This Row],[09.2025]]</f>
        <v>109</v>
      </c>
      <c r="T22">
        <f>tabSuperdettagli[[#This Row],[10.2025]]</f>
        <v>110</v>
      </c>
      <c r="U22">
        <f>tabSuperdettagli[[#This Row],[11.2025]]</f>
        <v>0</v>
      </c>
      <c r="V22">
        <f>tabSuperdettagli[[#This Row],[12.2025]]</f>
        <v>0</v>
      </c>
      <c r="W22" t="str">
        <f>tabSuperdettagli[[#This Row],[INT/EST]]</f>
        <v>Int.</v>
      </c>
      <c r="X22" t="str">
        <f>tabSuperdettagli[[#This Row],[Resp 2°liv]]&amp;""</f>
        <v/>
      </c>
      <c r="Y22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22" t="str">
        <f>tabSuperdettagli[[#This Row],[WBS Element]]&amp;""</f>
        <v/>
      </c>
      <c r="AA22">
        <f>tabSuperdettagli[[#This Row],[09.2025]]</f>
        <v>109</v>
      </c>
      <c r="AC22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22" t="str">
        <f>LEFT(tabSuperdettagli[[#This Row],[Network]], 18 )</f>
        <v/>
      </c>
      <c r="AE22" t="s">
        <v>282</v>
      </c>
      <c r="AP22" t="s">
        <v>180</v>
      </c>
      <c r="AV22" t="s">
        <v>294</v>
      </c>
      <c r="BJ22">
        <v>101</v>
      </c>
      <c r="BK22">
        <v>102</v>
      </c>
      <c r="BL22">
        <v>103</v>
      </c>
      <c r="BM22">
        <v>104</v>
      </c>
      <c r="BN22">
        <v>105</v>
      </c>
      <c r="BO22">
        <v>106</v>
      </c>
      <c r="BP22">
        <v>107</v>
      </c>
      <c r="BQ22">
        <v>108</v>
      </c>
      <c r="BR22">
        <v>109</v>
      </c>
      <c r="BS22">
        <v>110</v>
      </c>
      <c r="BV22">
        <v>1055</v>
      </c>
      <c r="BX22" s="122">
        <v>42063</v>
      </c>
      <c r="CB22" s="122">
        <v>42062</v>
      </c>
      <c r="CC22" s="122">
        <v>42102</v>
      </c>
    </row>
    <row r="23" spans="1:81" x14ac:dyDescent="0.25">
      <c r="A23" t="str">
        <f>IF(UPPER(LEFT(tabSuperdettagli[[#This Row],[WBE Status]],1))="S","sì","no")</f>
        <v>no</v>
      </c>
      <c r="B23">
        <v>2017</v>
      </c>
      <c r="C23" t="e">
        <f>VLOOKUP(tabSuperdettagli[[#This Row],[WBS_]],Pivot_AnnoPrimaMarcatura!A:B,2,FALSE)</f>
        <v>#N/A</v>
      </c>
      <c r="D23" t="str">
        <f>LEFT(tabSuperdettagli[[#This Row],[Network]], 10)</f>
        <v/>
      </c>
      <c r="E23" t="str">
        <f>LEFT(tabSuperdettagli[[#This Row],[Network]], 1)</f>
        <v/>
      </c>
      <c r="F23" t="str">
        <f>LOWER(TRIM( tabSuperdettagli[[#This Row],[Proj. Type ]] ))</f>
        <v/>
      </c>
      <c r="G23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23" t="str">
        <f>IF(  TRIM(tabSuperdettagli[[#This Row],[Raggr. X Struttura]])&gt; "", TRIM(tabSuperdettagli[[#This Row],[Raggr. X Struttura]]), TRIM(tabSuperdettagli[[#This Row],[Resp DT]] ) )</f>
        <v>Gruppo struttura 3</v>
      </c>
      <c r="J23">
        <f>tabSuperdettagli[[#This Row],[Total]]</f>
        <v>2055</v>
      </c>
      <c r="K23">
        <f>tabSuperdettagli[[#This Row],[01.2025]]</f>
        <v>201</v>
      </c>
      <c r="L23">
        <f>tabSuperdettagli[[#This Row],[02.2025]]</f>
        <v>202</v>
      </c>
      <c r="M23">
        <f>tabSuperdettagli[[#This Row],[03.2025]]</f>
        <v>203</v>
      </c>
      <c r="N23">
        <f>tabSuperdettagli[[#This Row],[04.2025]]</f>
        <v>204</v>
      </c>
      <c r="O23">
        <f>tabSuperdettagli[[#This Row],[05.2025]]</f>
        <v>205</v>
      </c>
      <c r="P23">
        <f>tabSuperdettagli[[#This Row],[06.2025]]</f>
        <v>206</v>
      </c>
      <c r="Q23">
        <f>tabSuperdettagli[[#This Row],[07.2025]]</f>
        <v>207</v>
      </c>
      <c r="R23">
        <f>tabSuperdettagli[[#This Row],[08.2025]]</f>
        <v>208</v>
      </c>
      <c r="S23">
        <f>tabSuperdettagli[[#This Row],[09.2025]]</f>
        <v>209</v>
      </c>
      <c r="T23">
        <f>tabSuperdettagli[[#This Row],[10.2025]]</f>
        <v>210</v>
      </c>
      <c r="U23">
        <f>tabSuperdettagli[[#This Row],[11.2025]]</f>
        <v>0</v>
      </c>
      <c r="V23">
        <f>tabSuperdettagli[[#This Row],[12.2025]]</f>
        <v>0</v>
      </c>
      <c r="W23" t="str">
        <f>tabSuperdettagli[[#This Row],[INT/EST]]</f>
        <v>Est.</v>
      </c>
      <c r="X23" t="str">
        <f>tabSuperdettagli[[#This Row],[Resp 2°liv]]&amp;""</f>
        <v/>
      </c>
      <c r="Y23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23" t="str">
        <f>tabSuperdettagli[[#This Row],[WBS Element]]&amp;""</f>
        <v/>
      </c>
      <c r="AA23">
        <f>tabSuperdettagli[[#This Row],[09.2025]]</f>
        <v>209</v>
      </c>
      <c r="AC23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23" t="str">
        <f>LEFT(tabSuperdettagli[[#This Row],[Network]], 18 )</f>
        <v/>
      </c>
      <c r="AE23" t="s">
        <v>283</v>
      </c>
      <c r="AP23" t="s">
        <v>292</v>
      </c>
      <c r="AQ23" t="s">
        <v>300</v>
      </c>
      <c r="AV23" t="s">
        <v>293</v>
      </c>
      <c r="BJ23">
        <v>201</v>
      </c>
      <c r="BK23">
        <v>202</v>
      </c>
      <c r="BL23">
        <v>203</v>
      </c>
      <c r="BM23">
        <v>204</v>
      </c>
      <c r="BN23">
        <v>205</v>
      </c>
      <c r="BO23">
        <v>206</v>
      </c>
      <c r="BP23">
        <v>207</v>
      </c>
      <c r="BQ23">
        <v>208</v>
      </c>
      <c r="BR23">
        <v>209</v>
      </c>
      <c r="BS23">
        <v>210</v>
      </c>
      <c r="BV23">
        <v>2055</v>
      </c>
      <c r="BX23" s="122">
        <v>42066</v>
      </c>
      <c r="CB23" s="122">
        <v>42065</v>
      </c>
      <c r="CC23" s="122">
        <v>42105</v>
      </c>
    </row>
    <row r="24" spans="1:81" x14ac:dyDescent="0.25">
      <c r="A24" t="str">
        <f>IF(UPPER(LEFT(tabSuperdettagli[[#This Row],[WBE Status]],1))="S","sì","no")</f>
        <v>no</v>
      </c>
      <c r="B24">
        <v>2017</v>
      </c>
      <c r="C24" t="e">
        <f>VLOOKUP(tabSuperdettagli[[#This Row],[WBS_]],Pivot_AnnoPrimaMarcatura!A:B,2,FALSE)</f>
        <v>#N/A</v>
      </c>
      <c r="D24" t="str">
        <f>LEFT(tabSuperdettagli[[#This Row],[Network]], 10)</f>
        <v/>
      </c>
      <c r="E24" t="str">
        <f>LEFT(tabSuperdettagli[[#This Row],[Network]], 1)</f>
        <v/>
      </c>
      <c r="F24" t="str">
        <f>LOWER(TRIM( tabSuperdettagli[[#This Row],[Proj. Type ]] ))</f>
        <v/>
      </c>
      <c r="G24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24" t="str">
        <f>IF(  TRIM(tabSuperdettagli[[#This Row],[Raggr. X Struttura]])&gt; "", TRIM(tabSuperdettagli[[#This Row],[Raggr. X Struttura]]), TRIM(tabSuperdettagli[[#This Row],[Resp DT]] ) )</f>
        <v>Gruppo struttura 1</v>
      </c>
      <c r="J24">
        <f>tabSuperdettagli[[#This Row],[Total]]</f>
        <v>3055</v>
      </c>
      <c r="K24">
        <f>tabSuperdettagli[[#This Row],[01.2025]]</f>
        <v>301</v>
      </c>
      <c r="L24">
        <f>tabSuperdettagli[[#This Row],[02.2025]]</f>
        <v>302</v>
      </c>
      <c r="M24">
        <f>tabSuperdettagli[[#This Row],[03.2025]]</f>
        <v>303</v>
      </c>
      <c r="N24">
        <f>tabSuperdettagli[[#This Row],[04.2025]]</f>
        <v>304</v>
      </c>
      <c r="O24">
        <f>tabSuperdettagli[[#This Row],[05.2025]]</f>
        <v>305</v>
      </c>
      <c r="P24">
        <f>tabSuperdettagli[[#This Row],[06.2025]]</f>
        <v>306</v>
      </c>
      <c r="Q24">
        <f>tabSuperdettagli[[#This Row],[07.2025]]</f>
        <v>307</v>
      </c>
      <c r="R24">
        <f>tabSuperdettagli[[#This Row],[08.2025]]</f>
        <v>308</v>
      </c>
      <c r="S24">
        <f>tabSuperdettagli[[#This Row],[09.2025]]</f>
        <v>309</v>
      </c>
      <c r="T24">
        <f>tabSuperdettagli[[#This Row],[10.2025]]</f>
        <v>310</v>
      </c>
      <c r="U24">
        <f>tabSuperdettagli[[#This Row],[11.2025]]</f>
        <v>0</v>
      </c>
      <c r="V24">
        <f>tabSuperdettagli[[#This Row],[12.2025]]</f>
        <v>0</v>
      </c>
      <c r="W24" t="str">
        <f>tabSuperdettagli[[#This Row],[INT/EST]]</f>
        <v>Est.</v>
      </c>
      <c r="X24" t="str">
        <f>tabSuperdettagli[[#This Row],[Resp 2°liv]]&amp;""</f>
        <v/>
      </c>
      <c r="Y24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24" t="str">
        <f>tabSuperdettagli[[#This Row],[WBS Element]]&amp;""</f>
        <v/>
      </c>
      <c r="AA24">
        <f>tabSuperdettagli[[#This Row],[09.2025]]</f>
        <v>309</v>
      </c>
      <c r="AC24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24" t="str">
        <f>LEFT(tabSuperdettagli[[#This Row],[Network]], 18 )</f>
        <v/>
      </c>
      <c r="AE24" t="s">
        <v>283</v>
      </c>
      <c r="AP24" t="s">
        <v>292</v>
      </c>
      <c r="AQ24" t="s">
        <v>298</v>
      </c>
      <c r="AV24" t="s">
        <v>293</v>
      </c>
      <c r="BJ24">
        <v>301</v>
      </c>
      <c r="BK24">
        <v>302</v>
      </c>
      <c r="BL24">
        <v>303</v>
      </c>
      <c r="BM24">
        <v>304</v>
      </c>
      <c r="BN24">
        <v>305</v>
      </c>
      <c r="BO24">
        <v>306</v>
      </c>
      <c r="BP24">
        <v>307</v>
      </c>
      <c r="BQ24">
        <v>308</v>
      </c>
      <c r="BR24">
        <v>309</v>
      </c>
      <c r="BS24">
        <v>310</v>
      </c>
      <c r="BV24">
        <v>3055</v>
      </c>
      <c r="BX24" s="122">
        <v>42069</v>
      </c>
      <c r="CB24" s="122">
        <v>42068</v>
      </c>
      <c r="CC24" s="122">
        <v>42108</v>
      </c>
    </row>
    <row r="25" spans="1:81" x14ac:dyDescent="0.25">
      <c r="A25" t="str">
        <f>IF(UPPER(LEFT(tabSuperdettagli[[#This Row],[WBE Status]],1))="S","sì","no")</f>
        <v>no</v>
      </c>
      <c r="B25">
        <v>2017</v>
      </c>
      <c r="C25" t="e">
        <f>VLOOKUP(tabSuperdettagli[[#This Row],[WBS_]],Pivot_AnnoPrimaMarcatura!A:B,2,FALSE)</f>
        <v>#N/A</v>
      </c>
      <c r="D25" t="str">
        <f>LEFT(tabSuperdettagli[[#This Row],[Network]], 10)</f>
        <v/>
      </c>
      <c r="E25" t="str">
        <f>LEFT(tabSuperdettagli[[#This Row],[Network]], 1)</f>
        <v/>
      </c>
      <c r="F25" t="str">
        <f>LOWER(TRIM( tabSuperdettagli[[#This Row],[Proj. Type ]] ))</f>
        <v/>
      </c>
      <c r="G25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25" t="str">
        <f>IF(  TRIM(tabSuperdettagli[[#This Row],[Raggr. X Struttura]])&gt; "", TRIM(tabSuperdettagli[[#This Row],[Raggr. X Struttura]]), TRIM(tabSuperdettagli[[#This Row],[Resp DT]] ) )</f>
        <v>Gruppo struttura 1</v>
      </c>
      <c r="J25">
        <f>tabSuperdettagli[[#This Row],[Total]]</f>
        <v>4055</v>
      </c>
      <c r="K25">
        <f>tabSuperdettagli[[#This Row],[01.2025]]</f>
        <v>401</v>
      </c>
      <c r="L25">
        <f>tabSuperdettagli[[#This Row],[02.2025]]</f>
        <v>402</v>
      </c>
      <c r="M25">
        <f>tabSuperdettagli[[#This Row],[03.2025]]</f>
        <v>403</v>
      </c>
      <c r="N25">
        <f>tabSuperdettagli[[#This Row],[04.2025]]</f>
        <v>404</v>
      </c>
      <c r="O25">
        <f>tabSuperdettagli[[#This Row],[05.2025]]</f>
        <v>405</v>
      </c>
      <c r="P25">
        <f>tabSuperdettagli[[#This Row],[06.2025]]</f>
        <v>406</v>
      </c>
      <c r="Q25">
        <f>tabSuperdettagli[[#This Row],[07.2025]]</f>
        <v>407</v>
      </c>
      <c r="R25">
        <f>tabSuperdettagli[[#This Row],[08.2025]]</f>
        <v>408</v>
      </c>
      <c r="S25">
        <f>tabSuperdettagli[[#This Row],[09.2025]]</f>
        <v>409</v>
      </c>
      <c r="T25">
        <f>tabSuperdettagli[[#This Row],[10.2025]]</f>
        <v>410</v>
      </c>
      <c r="U25">
        <f>tabSuperdettagli[[#This Row],[11.2025]]</f>
        <v>0</v>
      </c>
      <c r="V25">
        <f>tabSuperdettagli[[#This Row],[12.2025]]</f>
        <v>0</v>
      </c>
      <c r="W25" t="str">
        <f>tabSuperdettagli[[#This Row],[INT/EST]]</f>
        <v>Int.</v>
      </c>
      <c r="X25" t="str">
        <f>tabSuperdettagli[[#This Row],[Resp 2°liv]]&amp;""</f>
        <v/>
      </c>
      <c r="Y25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25" t="str">
        <f>tabSuperdettagli[[#This Row],[WBS Element]]&amp;""</f>
        <v/>
      </c>
      <c r="AA25">
        <f>tabSuperdettagli[[#This Row],[09.2025]]</f>
        <v>409</v>
      </c>
      <c r="AC25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25" t="str">
        <f>LEFT(tabSuperdettagli[[#This Row],[Network]], 18 )</f>
        <v/>
      </c>
      <c r="AE25" t="s">
        <v>283</v>
      </c>
      <c r="AP25" t="s">
        <v>180</v>
      </c>
      <c r="AQ25" t="s">
        <v>298</v>
      </c>
      <c r="AV25" t="s">
        <v>293</v>
      </c>
      <c r="BJ25">
        <v>401</v>
      </c>
      <c r="BK25">
        <v>402</v>
      </c>
      <c r="BL25">
        <v>403</v>
      </c>
      <c r="BM25">
        <v>404</v>
      </c>
      <c r="BN25">
        <v>405</v>
      </c>
      <c r="BO25">
        <v>406</v>
      </c>
      <c r="BP25">
        <v>407</v>
      </c>
      <c r="BQ25">
        <v>408</v>
      </c>
      <c r="BR25">
        <v>409</v>
      </c>
      <c r="BS25">
        <v>410</v>
      </c>
      <c r="BV25">
        <v>4055</v>
      </c>
      <c r="BX25" s="122">
        <v>42072</v>
      </c>
      <c r="CB25" s="122">
        <v>42071</v>
      </c>
      <c r="CC25" s="122">
        <v>42111</v>
      </c>
    </row>
    <row r="26" spans="1:81" x14ac:dyDescent="0.25">
      <c r="A26" t="str">
        <f>IF(UPPER(LEFT(tabSuperdettagli[[#This Row],[WBE Status]],1))="S","sì","no")</f>
        <v>no</v>
      </c>
      <c r="B26">
        <v>2017</v>
      </c>
      <c r="C26" t="e">
        <f>VLOOKUP(tabSuperdettagli[[#This Row],[WBS_]],Pivot_AnnoPrimaMarcatura!A:B,2,FALSE)</f>
        <v>#N/A</v>
      </c>
      <c r="D26" t="str">
        <f>LEFT(tabSuperdettagli[[#This Row],[Network]], 10)</f>
        <v/>
      </c>
      <c r="E26" t="str">
        <f>LEFT(tabSuperdettagli[[#This Row],[Network]], 1)</f>
        <v/>
      </c>
      <c r="F26" t="str">
        <f>LOWER(TRIM( tabSuperdettagli[[#This Row],[Proj. Type ]] ))</f>
        <v/>
      </c>
      <c r="G26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26" t="str">
        <f>IF(  TRIM(tabSuperdettagli[[#This Row],[Raggr. X Struttura]])&gt; "", TRIM(tabSuperdettagli[[#This Row],[Raggr. X Struttura]]), TRIM(tabSuperdettagli[[#This Row],[Resp DT]] ) )</f>
        <v>Gruppo struttura 4</v>
      </c>
      <c r="J26">
        <f>tabSuperdettagli[[#This Row],[Total]]</f>
        <v>5055</v>
      </c>
      <c r="K26">
        <f>tabSuperdettagli[[#This Row],[01.2025]]</f>
        <v>501</v>
      </c>
      <c r="L26">
        <f>tabSuperdettagli[[#This Row],[02.2025]]</f>
        <v>502</v>
      </c>
      <c r="M26">
        <f>tabSuperdettagli[[#This Row],[03.2025]]</f>
        <v>503</v>
      </c>
      <c r="N26">
        <f>tabSuperdettagli[[#This Row],[04.2025]]</f>
        <v>504</v>
      </c>
      <c r="O26">
        <f>tabSuperdettagli[[#This Row],[05.2025]]</f>
        <v>505</v>
      </c>
      <c r="P26">
        <f>tabSuperdettagli[[#This Row],[06.2025]]</f>
        <v>506</v>
      </c>
      <c r="Q26">
        <f>tabSuperdettagli[[#This Row],[07.2025]]</f>
        <v>507</v>
      </c>
      <c r="R26">
        <f>tabSuperdettagli[[#This Row],[08.2025]]</f>
        <v>508</v>
      </c>
      <c r="S26">
        <f>tabSuperdettagli[[#This Row],[09.2025]]</f>
        <v>509</v>
      </c>
      <c r="T26">
        <f>tabSuperdettagli[[#This Row],[10.2025]]</f>
        <v>510</v>
      </c>
      <c r="U26">
        <f>tabSuperdettagli[[#This Row],[11.2025]]</f>
        <v>0</v>
      </c>
      <c r="V26">
        <f>tabSuperdettagli[[#This Row],[12.2025]]</f>
        <v>0</v>
      </c>
      <c r="W26" t="str">
        <f>tabSuperdettagli[[#This Row],[INT/EST]]</f>
        <v>Int.</v>
      </c>
      <c r="X26" t="str">
        <f>tabSuperdettagli[[#This Row],[Resp 2°liv]]&amp;""</f>
        <v/>
      </c>
      <c r="Y26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26" t="str">
        <f>tabSuperdettagli[[#This Row],[WBS Element]]&amp;""</f>
        <v/>
      </c>
      <c r="AA26">
        <f>tabSuperdettagli[[#This Row],[09.2025]]</f>
        <v>509</v>
      </c>
      <c r="AC26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26" t="str">
        <f>LEFT(tabSuperdettagli[[#This Row],[Network]], 18 )</f>
        <v/>
      </c>
      <c r="AE26" t="s">
        <v>283</v>
      </c>
      <c r="AP26" t="s">
        <v>180</v>
      </c>
      <c r="AQ26" t="s">
        <v>301</v>
      </c>
      <c r="AV26" t="s">
        <v>293</v>
      </c>
      <c r="BJ26">
        <v>501</v>
      </c>
      <c r="BK26">
        <v>502</v>
      </c>
      <c r="BL26">
        <v>503</v>
      </c>
      <c r="BM26">
        <v>504</v>
      </c>
      <c r="BN26">
        <v>505</v>
      </c>
      <c r="BO26">
        <v>506</v>
      </c>
      <c r="BP26">
        <v>507</v>
      </c>
      <c r="BQ26">
        <v>508</v>
      </c>
      <c r="BR26">
        <v>509</v>
      </c>
      <c r="BS26">
        <v>510</v>
      </c>
      <c r="BV26">
        <v>5055</v>
      </c>
      <c r="BX26" s="122">
        <v>42075</v>
      </c>
      <c r="CB26" s="122">
        <v>42074</v>
      </c>
      <c r="CC26" s="122">
        <v>42114</v>
      </c>
    </row>
    <row r="27" spans="1:81" x14ac:dyDescent="0.25">
      <c r="A27" t="str">
        <f>IF(UPPER(LEFT(tabSuperdettagli[[#This Row],[WBE Status]],1))="S","sì","no")</f>
        <v>no</v>
      </c>
      <c r="B27">
        <v>2017</v>
      </c>
      <c r="C27" t="e">
        <f>VLOOKUP(tabSuperdettagli[[#This Row],[WBS_]],Pivot_AnnoPrimaMarcatura!A:B,2,FALSE)</f>
        <v>#N/A</v>
      </c>
      <c r="D27" t="str">
        <f>LEFT(tabSuperdettagli[[#This Row],[Network]], 10)</f>
        <v/>
      </c>
      <c r="E27" t="str">
        <f>LEFT(tabSuperdettagli[[#This Row],[Network]], 1)</f>
        <v/>
      </c>
      <c r="F27" t="str">
        <f>LOWER(TRIM( tabSuperdettagli[[#This Row],[Proj. Type ]] ))</f>
        <v/>
      </c>
      <c r="G27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27" t="str">
        <f>IF(  TRIM(tabSuperdettagli[[#This Row],[Raggr. X Struttura]])&gt; "", TRIM(tabSuperdettagli[[#This Row],[Raggr. X Struttura]]), TRIM(tabSuperdettagli[[#This Row],[Resp DT]] ) )</f>
        <v>Gruppo struttura 1</v>
      </c>
      <c r="J27">
        <f>tabSuperdettagli[[#This Row],[Total]]</f>
        <v>6055</v>
      </c>
      <c r="K27">
        <f>tabSuperdettagli[[#This Row],[01.2025]]</f>
        <v>601</v>
      </c>
      <c r="L27">
        <f>tabSuperdettagli[[#This Row],[02.2025]]</f>
        <v>602</v>
      </c>
      <c r="M27">
        <f>tabSuperdettagli[[#This Row],[03.2025]]</f>
        <v>603</v>
      </c>
      <c r="N27">
        <f>tabSuperdettagli[[#This Row],[04.2025]]</f>
        <v>604</v>
      </c>
      <c r="O27">
        <f>tabSuperdettagli[[#This Row],[05.2025]]</f>
        <v>605</v>
      </c>
      <c r="P27">
        <f>tabSuperdettagli[[#This Row],[06.2025]]</f>
        <v>606</v>
      </c>
      <c r="Q27">
        <f>tabSuperdettagli[[#This Row],[07.2025]]</f>
        <v>607</v>
      </c>
      <c r="R27">
        <f>tabSuperdettagli[[#This Row],[08.2025]]</f>
        <v>608</v>
      </c>
      <c r="S27">
        <f>tabSuperdettagli[[#This Row],[09.2025]]</f>
        <v>609</v>
      </c>
      <c r="T27">
        <f>tabSuperdettagli[[#This Row],[10.2025]]</f>
        <v>610</v>
      </c>
      <c r="U27">
        <f>tabSuperdettagli[[#This Row],[11.2025]]</f>
        <v>0</v>
      </c>
      <c r="V27">
        <f>tabSuperdettagli[[#This Row],[12.2025]]</f>
        <v>0</v>
      </c>
      <c r="W27" t="str">
        <f>tabSuperdettagli[[#This Row],[INT/EST]]</f>
        <v>Int.</v>
      </c>
      <c r="X27" t="str">
        <f>tabSuperdettagli[[#This Row],[Resp 2°liv]]&amp;""</f>
        <v/>
      </c>
      <c r="Y27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27" t="str">
        <f>tabSuperdettagli[[#This Row],[WBS Element]]&amp;""</f>
        <v/>
      </c>
      <c r="AA27">
        <f>tabSuperdettagli[[#This Row],[09.2025]]</f>
        <v>609</v>
      </c>
      <c r="AC27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27" t="str">
        <f>LEFT(tabSuperdettagli[[#This Row],[Network]], 18 )</f>
        <v/>
      </c>
      <c r="AE27" t="s">
        <v>283</v>
      </c>
      <c r="AP27" t="s">
        <v>180</v>
      </c>
      <c r="AQ27" t="s">
        <v>298</v>
      </c>
      <c r="AV27" t="s">
        <v>293</v>
      </c>
      <c r="BJ27">
        <v>601</v>
      </c>
      <c r="BK27">
        <v>602</v>
      </c>
      <c r="BL27">
        <v>603</v>
      </c>
      <c r="BM27">
        <v>604</v>
      </c>
      <c r="BN27">
        <v>605</v>
      </c>
      <c r="BO27">
        <v>606</v>
      </c>
      <c r="BP27">
        <v>607</v>
      </c>
      <c r="BQ27">
        <v>608</v>
      </c>
      <c r="BR27">
        <v>609</v>
      </c>
      <c r="BS27">
        <v>610</v>
      </c>
      <c r="BV27">
        <v>6055</v>
      </c>
      <c r="BX27" s="122">
        <v>42078</v>
      </c>
      <c r="CB27" s="122">
        <v>42077</v>
      </c>
      <c r="CC27" s="122">
        <v>42117</v>
      </c>
    </row>
    <row r="28" spans="1:81" x14ac:dyDescent="0.25">
      <c r="A28" t="str">
        <f>IF(UPPER(LEFT(tabSuperdettagli[[#This Row],[WBE Status]],1))="S","sì","no")</f>
        <v>no</v>
      </c>
      <c r="B28">
        <v>2017</v>
      </c>
      <c r="C28" t="e">
        <f>VLOOKUP(tabSuperdettagli[[#This Row],[WBS_]],Pivot_AnnoPrimaMarcatura!A:B,2,FALSE)</f>
        <v>#N/A</v>
      </c>
      <c r="D28" t="str">
        <f>LEFT(tabSuperdettagli[[#This Row],[Network]], 10)</f>
        <v/>
      </c>
      <c r="E28" t="str">
        <f>LEFT(tabSuperdettagli[[#This Row],[Network]], 1)</f>
        <v/>
      </c>
      <c r="F28" t="str">
        <f>LOWER(TRIM( tabSuperdettagli[[#This Row],[Proj. Type ]] ))</f>
        <v/>
      </c>
      <c r="G28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28" t="str">
        <f>IF(  TRIM(tabSuperdettagli[[#This Row],[Raggr. X Struttura]])&gt; "", TRIM(tabSuperdettagli[[#This Row],[Raggr. X Struttura]]), TRIM(tabSuperdettagli[[#This Row],[Resp DT]] ) )</f>
        <v>Gruppo struttura 1</v>
      </c>
      <c r="J28">
        <f>tabSuperdettagli[[#This Row],[Total]]</f>
        <v>55</v>
      </c>
      <c r="K28">
        <f>tabSuperdettagli[[#This Row],[01.2025]]</f>
        <v>1</v>
      </c>
      <c r="L28">
        <f>tabSuperdettagli[[#This Row],[02.2025]]</f>
        <v>2</v>
      </c>
      <c r="M28">
        <f>tabSuperdettagli[[#This Row],[03.2025]]</f>
        <v>3</v>
      </c>
      <c r="N28">
        <f>tabSuperdettagli[[#This Row],[04.2025]]</f>
        <v>4</v>
      </c>
      <c r="O28">
        <f>tabSuperdettagli[[#This Row],[05.2025]]</f>
        <v>5</v>
      </c>
      <c r="P28">
        <f>tabSuperdettagli[[#This Row],[06.2025]]</f>
        <v>6</v>
      </c>
      <c r="Q28">
        <f>tabSuperdettagli[[#This Row],[07.2025]]</f>
        <v>7</v>
      </c>
      <c r="R28">
        <f>tabSuperdettagli[[#This Row],[08.2025]]</f>
        <v>8</v>
      </c>
      <c r="S28">
        <f>tabSuperdettagli[[#This Row],[09.2025]]</f>
        <v>9</v>
      </c>
      <c r="T28">
        <f>tabSuperdettagli[[#This Row],[10.2025]]</f>
        <v>10</v>
      </c>
      <c r="U28">
        <f>tabSuperdettagli[[#This Row],[11.2025]]</f>
        <v>0</v>
      </c>
      <c r="V28">
        <f>tabSuperdettagli[[#This Row],[12.2025]]</f>
        <v>0</v>
      </c>
      <c r="W28" t="str">
        <f>tabSuperdettagli[[#This Row],[INT/EST]]</f>
        <v>Int.</v>
      </c>
      <c r="X28" t="str">
        <f>tabSuperdettagli[[#This Row],[Resp 2°liv]]&amp;""</f>
        <v/>
      </c>
      <c r="Y28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28" t="str">
        <f>tabSuperdettagli[[#This Row],[WBS Element]]&amp;""</f>
        <v/>
      </c>
      <c r="AA28">
        <f>tabSuperdettagli[[#This Row],[09.2025]]</f>
        <v>9</v>
      </c>
      <c r="AC28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28" t="str">
        <f>LEFT(tabSuperdettagli[[#This Row],[Network]], 18 )</f>
        <v/>
      </c>
      <c r="AE28" t="s">
        <v>283</v>
      </c>
      <c r="AP28" t="s">
        <v>180</v>
      </c>
      <c r="AQ28" t="s">
        <v>298</v>
      </c>
      <c r="AV28" t="s">
        <v>293</v>
      </c>
      <c r="BJ28">
        <v>1</v>
      </c>
      <c r="BK28">
        <v>2</v>
      </c>
      <c r="BL28">
        <v>3</v>
      </c>
      <c r="BM28">
        <v>4</v>
      </c>
      <c r="BN28">
        <v>5</v>
      </c>
      <c r="BO28">
        <v>6</v>
      </c>
      <c r="BP28">
        <v>7</v>
      </c>
      <c r="BQ28">
        <v>8</v>
      </c>
      <c r="BR28">
        <v>9</v>
      </c>
      <c r="BS28">
        <v>10</v>
      </c>
      <c r="BV28">
        <v>55</v>
      </c>
      <c r="BX28" s="122">
        <v>42081</v>
      </c>
      <c r="CB28" s="122">
        <v>42080</v>
      </c>
      <c r="CC28" s="122">
        <v>42120</v>
      </c>
    </row>
    <row r="29" spans="1:81" x14ac:dyDescent="0.25">
      <c r="A29" t="str">
        <f>IF(UPPER(LEFT(tabSuperdettagli[[#This Row],[WBE Status]],1))="S","sì","no")</f>
        <v>no</v>
      </c>
      <c r="B29">
        <v>2017</v>
      </c>
      <c r="C29" t="e">
        <f>VLOOKUP(tabSuperdettagli[[#This Row],[WBS_]],Pivot_AnnoPrimaMarcatura!A:B,2,FALSE)</f>
        <v>#N/A</v>
      </c>
      <c r="D29" t="str">
        <f>LEFT(tabSuperdettagli[[#This Row],[Network]], 10)</f>
        <v/>
      </c>
      <c r="E29" t="str">
        <f>LEFT(tabSuperdettagli[[#This Row],[Network]], 1)</f>
        <v/>
      </c>
      <c r="F29" t="str">
        <f>LOWER(TRIM( tabSuperdettagli[[#This Row],[Proj. Type ]] ))</f>
        <v/>
      </c>
      <c r="G29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29" t="str">
        <f>IF(  TRIM(tabSuperdettagli[[#This Row],[Raggr. X Struttura]])&gt; "", TRIM(tabSuperdettagli[[#This Row],[Raggr. X Struttura]]), TRIM(tabSuperdettagli[[#This Row],[Resp DT]] ) )</f>
        <v>Gruppo struttura 1</v>
      </c>
      <c r="J29">
        <f>tabSuperdettagli[[#This Row],[Total]]</f>
        <v>1055</v>
      </c>
      <c r="K29">
        <f>tabSuperdettagli[[#This Row],[01.2025]]</f>
        <v>101</v>
      </c>
      <c r="L29">
        <f>tabSuperdettagli[[#This Row],[02.2025]]</f>
        <v>102</v>
      </c>
      <c r="M29">
        <f>tabSuperdettagli[[#This Row],[03.2025]]</f>
        <v>103</v>
      </c>
      <c r="N29">
        <f>tabSuperdettagli[[#This Row],[04.2025]]</f>
        <v>104</v>
      </c>
      <c r="O29">
        <f>tabSuperdettagli[[#This Row],[05.2025]]</f>
        <v>105</v>
      </c>
      <c r="P29">
        <f>tabSuperdettagli[[#This Row],[06.2025]]</f>
        <v>106</v>
      </c>
      <c r="Q29">
        <f>tabSuperdettagli[[#This Row],[07.2025]]</f>
        <v>107</v>
      </c>
      <c r="R29">
        <f>tabSuperdettagli[[#This Row],[08.2025]]</f>
        <v>108</v>
      </c>
      <c r="S29">
        <f>tabSuperdettagli[[#This Row],[09.2025]]</f>
        <v>109</v>
      </c>
      <c r="T29">
        <f>tabSuperdettagli[[#This Row],[10.2025]]</f>
        <v>110</v>
      </c>
      <c r="U29">
        <f>tabSuperdettagli[[#This Row],[11.2025]]</f>
        <v>0</v>
      </c>
      <c r="V29">
        <f>tabSuperdettagli[[#This Row],[12.2025]]</f>
        <v>0</v>
      </c>
      <c r="W29" t="str">
        <f>tabSuperdettagli[[#This Row],[INT/EST]]</f>
        <v>Int.</v>
      </c>
      <c r="X29" t="str">
        <f>tabSuperdettagli[[#This Row],[Resp 2°liv]]&amp;""</f>
        <v/>
      </c>
      <c r="Y29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29" t="str">
        <f>tabSuperdettagli[[#This Row],[WBS Element]]&amp;""</f>
        <v/>
      </c>
      <c r="AA29">
        <f>tabSuperdettagli[[#This Row],[09.2025]]</f>
        <v>109</v>
      </c>
      <c r="AC29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29" t="str">
        <f>LEFT(tabSuperdettagli[[#This Row],[Network]], 18 )</f>
        <v/>
      </c>
      <c r="AE29" t="s">
        <v>283</v>
      </c>
      <c r="AP29" t="s">
        <v>180</v>
      </c>
      <c r="AQ29" t="s">
        <v>298</v>
      </c>
      <c r="AV29" t="s">
        <v>293</v>
      </c>
      <c r="BJ29">
        <v>101</v>
      </c>
      <c r="BK29">
        <v>102</v>
      </c>
      <c r="BL29">
        <v>103</v>
      </c>
      <c r="BM29">
        <v>104</v>
      </c>
      <c r="BN29">
        <v>105</v>
      </c>
      <c r="BO29">
        <v>106</v>
      </c>
      <c r="BP29">
        <v>107</v>
      </c>
      <c r="BQ29">
        <v>108</v>
      </c>
      <c r="BR29">
        <v>109</v>
      </c>
      <c r="BS29">
        <v>110</v>
      </c>
      <c r="BV29">
        <v>1055</v>
      </c>
      <c r="BX29" s="122">
        <v>42084</v>
      </c>
      <c r="CB29" s="122">
        <v>42083</v>
      </c>
      <c r="CC29" s="122">
        <v>42123</v>
      </c>
    </row>
    <row r="30" spans="1:81" x14ac:dyDescent="0.25">
      <c r="A30" t="str">
        <f>IF(UPPER(LEFT(tabSuperdettagli[[#This Row],[WBE Status]],1))="S","sì","no")</f>
        <v>no</v>
      </c>
      <c r="B30">
        <v>2017</v>
      </c>
      <c r="C30" t="e">
        <f>VLOOKUP(tabSuperdettagli[[#This Row],[WBS_]],Pivot_AnnoPrimaMarcatura!A:B,2,FALSE)</f>
        <v>#N/A</v>
      </c>
      <c r="D30" t="str">
        <f>LEFT(tabSuperdettagli[[#This Row],[Network]], 10)</f>
        <v/>
      </c>
      <c r="E30" t="str">
        <f>LEFT(tabSuperdettagli[[#This Row],[Network]], 1)</f>
        <v/>
      </c>
      <c r="F30" t="str">
        <f>LOWER(TRIM( tabSuperdettagli[[#This Row],[Proj. Type ]] ))</f>
        <v/>
      </c>
      <c r="G30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30" t="str">
        <f>IF(  TRIM(tabSuperdettagli[[#This Row],[Raggr. X Struttura]])&gt; "", TRIM(tabSuperdettagli[[#This Row],[Raggr. X Struttura]]), TRIM(tabSuperdettagli[[#This Row],[Resp DT]] ) )</f>
        <v>Gruppo struttura 2</v>
      </c>
      <c r="J30">
        <f>tabSuperdettagli[[#This Row],[Total]]</f>
        <v>2055</v>
      </c>
      <c r="K30">
        <f>tabSuperdettagli[[#This Row],[01.2025]]</f>
        <v>201</v>
      </c>
      <c r="L30">
        <f>tabSuperdettagli[[#This Row],[02.2025]]</f>
        <v>202</v>
      </c>
      <c r="M30">
        <f>tabSuperdettagli[[#This Row],[03.2025]]</f>
        <v>203</v>
      </c>
      <c r="N30">
        <f>tabSuperdettagli[[#This Row],[04.2025]]</f>
        <v>204</v>
      </c>
      <c r="O30">
        <f>tabSuperdettagli[[#This Row],[05.2025]]</f>
        <v>205</v>
      </c>
      <c r="P30">
        <f>tabSuperdettagli[[#This Row],[06.2025]]</f>
        <v>206</v>
      </c>
      <c r="Q30">
        <f>tabSuperdettagli[[#This Row],[07.2025]]</f>
        <v>207</v>
      </c>
      <c r="R30">
        <f>tabSuperdettagli[[#This Row],[08.2025]]</f>
        <v>208</v>
      </c>
      <c r="S30">
        <f>tabSuperdettagli[[#This Row],[09.2025]]</f>
        <v>209</v>
      </c>
      <c r="T30">
        <f>tabSuperdettagli[[#This Row],[10.2025]]</f>
        <v>210</v>
      </c>
      <c r="U30">
        <f>tabSuperdettagli[[#This Row],[11.2025]]</f>
        <v>0</v>
      </c>
      <c r="V30">
        <f>tabSuperdettagli[[#This Row],[12.2025]]</f>
        <v>0</v>
      </c>
      <c r="W30" t="str">
        <f>tabSuperdettagli[[#This Row],[INT/EST]]</f>
        <v>Int.</v>
      </c>
      <c r="X30" t="str">
        <f>tabSuperdettagli[[#This Row],[Resp 2°liv]]&amp;""</f>
        <v/>
      </c>
      <c r="Y30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30" t="str">
        <f>tabSuperdettagli[[#This Row],[WBS Element]]&amp;""</f>
        <v/>
      </c>
      <c r="AA30">
        <f>tabSuperdettagli[[#This Row],[09.2025]]</f>
        <v>209</v>
      </c>
      <c r="AC30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30" t="str">
        <f>LEFT(tabSuperdettagli[[#This Row],[Network]], 18 )</f>
        <v/>
      </c>
      <c r="AE30" t="s">
        <v>283</v>
      </c>
      <c r="AP30" t="s">
        <v>180</v>
      </c>
      <c r="AQ30" t="s">
        <v>299</v>
      </c>
      <c r="AV30" t="s">
        <v>297</v>
      </c>
      <c r="BJ30">
        <v>201</v>
      </c>
      <c r="BK30">
        <v>202</v>
      </c>
      <c r="BL30">
        <v>203</v>
      </c>
      <c r="BM30">
        <v>204</v>
      </c>
      <c r="BN30">
        <v>205</v>
      </c>
      <c r="BO30">
        <v>206</v>
      </c>
      <c r="BP30">
        <v>207</v>
      </c>
      <c r="BQ30">
        <v>208</v>
      </c>
      <c r="BR30">
        <v>209</v>
      </c>
      <c r="BS30">
        <v>210</v>
      </c>
      <c r="BV30">
        <v>2055</v>
      </c>
      <c r="BX30" s="122">
        <v>42087</v>
      </c>
      <c r="CB30" s="122">
        <v>42086</v>
      </c>
      <c r="CC30" s="122">
        <v>42126</v>
      </c>
    </row>
    <row r="31" spans="1:81" x14ac:dyDescent="0.25">
      <c r="A31" t="str">
        <f>IF(UPPER(LEFT(tabSuperdettagli[[#This Row],[WBE Status]],1))="S","sì","no")</f>
        <v>no</v>
      </c>
      <c r="B31">
        <v>2017</v>
      </c>
      <c r="C31" t="e">
        <f>VLOOKUP(tabSuperdettagli[[#This Row],[WBS_]],Pivot_AnnoPrimaMarcatura!A:B,2,FALSE)</f>
        <v>#N/A</v>
      </c>
      <c r="D31" t="str">
        <f>LEFT(tabSuperdettagli[[#This Row],[Network]], 10)</f>
        <v/>
      </c>
      <c r="E31" t="str">
        <f>LEFT(tabSuperdettagli[[#This Row],[Network]], 1)</f>
        <v/>
      </c>
      <c r="F31" t="str">
        <f>LOWER(TRIM( tabSuperdettagli[[#This Row],[Proj. Type ]] ))</f>
        <v/>
      </c>
      <c r="G31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31" t="str">
        <f>IF(  TRIM(tabSuperdettagli[[#This Row],[Raggr. X Struttura]])&gt; "", TRIM(tabSuperdettagli[[#This Row],[Raggr. X Struttura]]), TRIM(tabSuperdettagli[[#This Row],[Resp DT]] ) )</f>
        <v>Gruppo struttura 1</v>
      </c>
      <c r="J31">
        <f>tabSuperdettagli[[#This Row],[Total]]</f>
        <v>3055</v>
      </c>
      <c r="K31">
        <f>tabSuperdettagli[[#This Row],[01.2025]]</f>
        <v>301</v>
      </c>
      <c r="L31">
        <f>tabSuperdettagli[[#This Row],[02.2025]]</f>
        <v>302</v>
      </c>
      <c r="M31">
        <f>tabSuperdettagli[[#This Row],[03.2025]]</f>
        <v>303</v>
      </c>
      <c r="N31">
        <f>tabSuperdettagli[[#This Row],[04.2025]]</f>
        <v>304</v>
      </c>
      <c r="O31">
        <f>tabSuperdettagli[[#This Row],[05.2025]]</f>
        <v>305</v>
      </c>
      <c r="P31">
        <f>tabSuperdettagli[[#This Row],[06.2025]]</f>
        <v>306</v>
      </c>
      <c r="Q31">
        <f>tabSuperdettagli[[#This Row],[07.2025]]</f>
        <v>307</v>
      </c>
      <c r="R31">
        <f>tabSuperdettagli[[#This Row],[08.2025]]</f>
        <v>308</v>
      </c>
      <c r="S31">
        <f>tabSuperdettagli[[#This Row],[09.2025]]</f>
        <v>309</v>
      </c>
      <c r="T31">
        <f>tabSuperdettagli[[#This Row],[10.2025]]</f>
        <v>310</v>
      </c>
      <c r="U31">
        <f>tabSuperdettagli[[#This Row],[11.2025]]</f>
        <v>0</v>
      </c>
      <c r="V31">
        <f>tabSuperdettagli[[#This Row],[12.2025]]</f>
        <v>0</v>
      </c>
      <c r="W31" t="str">
        <f>tabSuperdettagli[[#This Row],[INT/EST]]</f>
        <v>Est.</v>
      </c>
      <c r="X31" t="str">
        <f>tabSuperdettagli[[#This Row],[Resp 2°liv]]&amp;""</f>
        <v/>
      </c>
      <c r="Y31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31" t="str">
        <f>tabSuperdettagli[[#This Row],[WBS Element]]&amp;""</f>
        <v/>
      </c>
      <c r="AA31">
        <f>tabSuperdettagli[[#This Row],[09.2025]]</f>
        <v>309</v>
      </c>
      <c r="AC31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31" t="str">
        <f>LEFT(tabSuperdettagli[[#This Row],[Network]], 18 )</f>
        <v/>
      </c>
      <c r="AE31" t="s">
        <v>283</v>
      </c>
      <c r="AP31" t="s">
        <v>292</v>
      </c>
      <c r="AQ31" t="s">
        <v>298</v>
      </c>
      <c r="AV31" t="s">
        <v>294</v>
      </c>
      <c r="BJ31">
        <v>301</v>
      </c>
      <c r="BK31">
        <v>302</v>
      </c>
      <c r="BL31">
        <v>303</v>
      </c>
      <c r="BM31">
        <v>304</v>
      </c>
      <c r="BN31">
        <v>305</v>
      </c>
      <c r="BO31">
        <v>306</v>
      </c>
      <c r="BP31">
        <v>307</v>
      </c>
      <c r="BQ31">
        <v>308</v>
      </c>
      <c r="BR31">
        <v>309</v>
      </c>
      <c r="BS31">
        <v>310</v>
      </c>
      <c r="BV31">
        <v>3055</v>
      </c>
      <c r="BX31" s="122">
        <v>42090</v>
      </c>
      <c r="CB31" s="122">
        <v>42089</v>
      </c>
      <c r="CC31" s="122">
        <v>42129</v>
      </c>
    </row>
    <row r="32" spans="1:81" x14ac:dyDescent="0.25">
      <c r="A32" t="str">
        <f>IF(UPPER(LEFT(tabSuperdettagli[[#This Row],[WBE Status]],1))="S","sì","no")</f>
        <v>no</v>
      </c>
      <c r="B32">
        <v>2017</v>
      </c>
      <c r="C32" t="e">
        <f>VLOOKUP(tabSuperdettagli[[#This Row],[WBS_]],Pivot_AnnoPrimaMarcatura!A:B,2,FALSE)</f>
        <v>#N/A</v>
      </c>
      <c r="D32" t="str">
        <f>LEFT(tabSuperdettagli[[#This Row],[Network]], 10)</f>
        <v/>
      </c>
      <c r="E32" t="str">
        <f>LEFT(tabSuperdettagli[[#This Row],[Network]], 1)</f>
        <v/>
      </c>
      <c r="F32" t="str">
        <f>LOWER(TRIM( tabSuperdettagli[[#This Row],[Proj. Type ]] ))</f>
        <v/>
      </c>
      <c r="G32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32" t="str">
        <f>IF(  TRIM(tabSuperdettagli[[#This Row],[Raggr. X Struttura]])&gt; "", TRIM(tabSuperdettagli[[#This Row],[Raggr. X Struttura]]), TRIM(tabSuperdettagli[[#This Row],[Resp DT]] ) )</f>
        <v>Responsabile A</v>
      </c>
      <c r="J32">
        <f>tabSuperdettagli[[#This Row],[Total]]</f>
        <v>4055</v>
      </c>
      <c r="K32">
        <f>tabSuperdettagli[[#This Row],[01.2025]]</f>
        <v>401</v>
      </c>
      <c r="L32">
        <f>tabSuperdettagli[[#This Row],[02.2025]]</f>
        <v>402</v>
      </c>
      <c r="M32">
        <f>tabSuperdettagli[[#This Row],[03.2025]]</f>
        <v>403</v>
      </c>
      <c r="N32">
        <f>tabSuperdettagli[[#This Row],[04.2025]]</f>
        <v>404</v>
      </c>
      <c r="O32">
        <f>tabSuperdettagli[[#This Row],[05.2025]]</f>
        <v>405</v>
      </c>
      <c r="P32">
        <f>tabSuperdettagli[[#This Row],[06.2025]]</f>
        <v>406</v>
      </c>
      <c r="Q32">
        <f>tabSuperdettagli[[#This Row],[07.2025]]</f>
        <v>407</v>
      </c>
      <c r="R32">
        <f>tabSuperdettagli[[#This Row],[08.2025]]</f>
        <v>408</v>
      </c>
      <c r="S32">
        <f>tabSuperdettagli[[#This Row],[09.2025]]</f>
        <v>409</v>
      </c>
      <c r="T32">
        <f>tabSuperdettagli[[#This Row],[10.2025]]</f>
        <v>410</v>
      </c>
      <c r="U32">
        <f>tabSuperdettagli[[#This Row],[11.2025]]</f>
        <v>0</v>
      </c>
      <c r="V32">
        <f>tabSuperdettagli[[#This Row],[12.2025]]</f>
        <v>0</v>
      </c>
      <c r="W32" t="str">
        <f>tabSuperdettagli[[#This Row],[INT/EST]]</f>
        <v>Est.</v>
      </c>
      <c r="X32" t="str">
        <f>tabSuperdettagli[[#This Row],[Resp 2°liv]]&amp;""</f>
        <v/>
      </c>
      <c r="Y32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32" t="str">
        <f>tabSuperdettagli[[#This Row],[WBS Element]]&amp;""</f>
        <v/>
      </c>
      <c r="AA32">
        <f>tabSuperdettagli[[#This Row],[09.2025]]</f>
        <v>409</v>
      </c>
      <c r="AC32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32" t="str">
        <f>LEFT(tabSuperdettagli[[#This Row],[Network]], 18 )</f>
        <v/>
      </c>
      <c r="AE32" t="s">
        <v>283</v>
      </c>
      <c r="AP32" t="s">
        <v>292</v>
      </c>
      <c r="AV32" t="s">
        <v>293</v>
      </c>
      <c r="BJ32">
        <v>401</v>
      </c>
      <c r="BK32">
        <v>402</v>
      </c>
      <c r="BL32">
        <v>403</v>
      </c>
      <c r="BM32">
        <v>404</v>
      </c>
      <c r="BN32">
        <v>405</v>
      </c>
      <c r="BO32">
        <v>406</v>
      </c>
      <c r="BP32">
        <v>407</v>
      </c>
      <c r="BQ32">
        <v>408</v>
      </c>
      <c r="BR32">
        <v>409</v>
      </c>
      <c r="BS32">
        <v>410</v>
      </c>
      <c r="BV32">
        <v>4055</v>
      </c>
      <c r="BX32" s="122">
        <v>42093</v>
      </c>
      <c r="CB32" s="122">
        <v>42092</v>
      </c>
      <c r="CC32" s="122">
        <v>42132</v>
      </c>
    </row>
    <row r="33" spans="1:81" x14ac:dyDescent="0.25">
      <c r="A33" t="str">
        <f>IF(UPPER(LEFT(tabSuperdettagli[[#This Row],[WBE Status]],1))="S","sì","no")</f>
        <v>no</v>
      </c>
      <c r="B33">
        <v>2018</v>
      </c>
      <c r="C33" t="e">
        <f>VLOOKUP(tabSuperdettagli[[#This Row],[WBS_]],Pivot_AnnoPrimaMarcatura!A:B,2,FALSE)</f>
        <v>#N/A</v>
      </c>
      <c r="D33" t="str">
        <f>LEFT(tabSuperdettagli[[#This Row],[Network]], 10)</f>
        <v/>
      </c>
      <c r="E33" t="str">
        <f>LEFT(tabSuperdettagli[[#This Row],[Network]], 1)</f>
        <v/>
      </c>
      <c r="F33" t="str">
        <f>LOWER(TRIM( tabSuperdettagli[[#This Row],[Proj. Type ]] ))</f>
        <v/>
      </c>
      <c r="G33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33" t="str">
        <f>IF(  TRIM(tabSuperdettagli[[#This Row],[Raggr. X Struttura]])&gt; "", TRIM(tabSuperdettagli[[#This Row],[Raggr. X Struttura]]), TRIM(tabSuperdettagli[[#This Row],[Resp DT]] ) )</f>
        <v>Responsabile A</v>
      </c>
      <c r="J33">
        <f>tabSuperdettagli[[#This Row],[Total]]</f>
        <v>5055</v>
      </c>
      <c r="K33">
        <f>tabSuperdettagli[[#This Row],[01.2025]]</f>
        <v>501</v>
      </c>
      <c r="L33">
        <f>tabSuperdettagli[[#This Row],[02.2025]]</f>
        <v>502</v>
      </c>
      <c r="M33">
        <f>tabSuperdettagli[[#This Row],[03.2025]]</f>
        <v>503</v>
      </c>
      <c r="N33">
        <f>tabSuperdettagli[[#This Row],[04.2025]]</f>
        <v>504</v>
      </c>
      <c r="O33">
        <f>tabSuperdettagli[[#This Row],[05.2025]]</f>
        <v>505</v>
      </c>
      <c r="P33">
        <f>tabSuperdettagli[[#This Row],[06.2025]]</f>
        <v>506</v>
      </c>
      <c r="Q33">
        <f>tabSuperdettagli[[#This Row],[07.2025]]</f>
        <v>507</v>
      </c>
      <c r="R33">
        <f>tabSuperdettagli[[#This Row],[08.2025]]</f>
        <v>508</v>
      </c>
      <c r="S33">
        <f>tabSuperdettagli[[#This Row],[09.2025]]</f>
        <v>509</v>
      </c>
      <c r="T33">
        <f>tabSuperdettagli[[#This Row],[10.2025]]</f>
        <v>510</v>
      </c>
      <c r="U33">
        <f>tabSuperdettagli[[#This Row],[11.2025]]</f>
        <v>0</v>
      </c>
      <c r="V33">
        <f>tabSuperdettagli[[#This Row],[12.2025]]</f>
        <v>0</v>
      </c>
      <c r="W33" t="str">
        <f>tabSuperdettagli[[#This Row],[INT/EST]]</f>
        <v>Est.</v>
      </c>
      <c r="X33" t="str">
        <f>tabSuperdettagli[[#This Row],[Resp 2°liv]]&amp;""</f>
        <v/>
      </c>
      <c r="Y33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33" t="str">
        <f>tabSuperdettagli[[#This Row],[WBS Element]]&amp;""</f>
        <v/>
      </c>
      <c r="AA33">
        <f>tabSuperdettagli[[#This Row],[09.2025]]</f>
        <v>509</v>
      </c>
      <c r="AC33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33" t="str">
        <f>LEFT(tabSuperdettagli[[#This Row],[Network]], 18 )</f>
        <v/>
      </c>
      <c r="AE33" t="s">
        <v>284</v>
      </c>
      <c r="AP33" t="s">
        <v>292</v>
      </c>
      <c r="AV33" t="s">
        <v>293</v>
      </c>
      <c r="BJ33">
        <v>501</v>
      </c>
      <c r="BK33">
        <v>502</v>
      </c>
      <c r="BL33">
        <v>503</v>
      </c>
      <c r="BM33">
        <v>504</v>
      </c>
      <c r="BN33">
        <v>505</v>
      </c>
      <c r="BO33">
        <v>506</v>
      </c>
      <c r="BP33">
        <v>507</v>
      </c>
      <c r="BQ33">
        <v>508</v>
      </c>
      <c r="BR33">
        <v>509</v>
      </c>
      <c r="BS33">
        <v>510</v>
      </c>
      <c r="BV33">
        <v>5055</v>
      </c>
      <c r="BX33" s="122">
        <v>42096</v>
      </c>
      <c r="CB33" s="122">
        <v>42095</v>
      </c>
      <c r="CC33" s="122">
        <v>42135</v>
      </c>
    </row>
    <row r="34" spans="1:81" x14ac:dyDescent="0.25">
      <c r="A34" t="str">
        <f>IF(UPPER(LEFT(tabSuperdettagli[[#This Row],[WBE Status]],1))="S","sì","no")</f>
        <v>no</v>
      </c>
      <c r="B34">
        <v>2018</v>
      </c>
      <c r="C34" t="e">
        <f>VLOOKUP(tabSuperdettagli[[#This Row],[WBS_]],Pivot_AnnoPrimaMarcatura!A:B,2,FALSE)</f>
        <v>#N/A</v>
      </c>
      <c r="D34" t="str">
        <f>LEFT(tabSuperdettagli[[#This Row],[Network]], 10)</f>
        <v/>
      </c>
      <c r="E34" t="str">
        <f>LEFT(tabSuperdettagli[[#This Row],[Network]], 1)</f>
        <v/>
      </c>
      <c r="F34" t="str">
        <f>LOWER(TRIM( tabSuperdettagli[[#This Row],[Proj. Type ]] ))</f>
        <v/>
      </c>
      <c r="G34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34" t="str">
        <f>IF(  TRIM(tabSuperdettagli[[#This Row],[Raggr. X Struttura]])&gt; "", TRIM(tabSuperdettagli[[#This Row],[Raggr. X Struttura]]), TRIM(tabSuperdettagli[[#This Row],[Resp DT]] ) )</f>
        <v>Gruppo struttura 2</v>
      </c>
      <c r="J34">
        <f>tabSuperdettagli[[#This Row],[Total]]</f>
        <v>6055</v>
      </c>
      <c r="K34">
        <f>tabSuperdettagli[[#This Row],[01.2025]]</f>
        <v>601</v>
      </c>
      <c r="L34">
        <f>tabSuperdettagli[[#This Row],[02.2025]]</f>
        <v>602</v>
      </c>
      <c r="M34">
        <f>tabSuperdettagli[[#This Row],[03.2025]]</f>
        <v>603</v>
      </c>
      <c r="N34">
        <f>tabSuperdettagli[[#This Row],[04.2025]]</f>
        <v>604</v>
      </c>
      <c r="O34">
        <f>tabSuperdettagli[[#This Row],[05.2025]]</f>
        <v>605</v>
      </c>
      <c r="P34">
        <f>tabSuperdettagli[[#This Row],[06.2025]]</f>
        <v>606</v>
      </c>
      <c r="Q34">
        <f>tabSuperdettagli[[#This Row],[07.2025]]</f>
        <v>607</v>
      </c>
      <c r="R34">
        <f>tabSuperdettagli[[#This Row],[08.2025]]</f>
        <v>608</v>
      </c>
      <c r="S34">
        <f>tabSuperdettagli[[#This Row],[09.2025]]</f>
        <v>609</v>
      </c>
      <c r="T34">
        <f>tabSuperdettagli[[#This Row],[10.2025]]</f>
        <v>610</v>
      </c>
      <c r="U34">
        <f>tabSuperdettagli[[#This Row],[11.2025]]</f>
        <v>0</v>
      </c>
      <c r="V34">
        <f>tabSuperdettagli[[#This Row],[12.2025]]</f>
        <v>0</v>
      </c>
      <c r="W34" t="str">
        <f>tabSuperdettagli[[#This Row],[INT/EST]]</f>
        <v>Est.</v>
      </c>
      <c r="X34" t="str">
        <f>tabSuperdettagli[[#This Row],[Resp 2°liv]]&amp;""</f>
        <v/>
      </c>
      <c r="Y34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34" t="str">
        <f>tabSuperdettagli[[#This Row],[WBS Element]]&amp;""</f>
        <v/>
      </c>
      <c r="AA34">
        <f>tabSuperdettagli[[#This Row],[09.2025]]</f>
        <v>609</v>
      </c>
      <c r="AC34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34" t="str">
        <f>LEFT(tabSuperdettagli[[#This Row],[Network]], 18 )</f>
        <v/>
      </c>
      <c r="AE34" t="s">
        <v>284</v>
      </c>
      <c r="AP34" t="s">
        <v>292</v>
      </c>
      <c r="AQ34" t="s">
        <v>299</v>
      </c>
      <c r="AV34" t="s">
        <v>295</v>
      </c>
      <c r="BJ34">
        <v>601</v>
      </c>
      <c r="BK34">
        <v>602</v>
      </c>
      <c r="BL34">
        <v>603</v>
      </c>
      <c r="BM34">
        <v>604</v>
      </c>
      <c r="BN34">
        <v>605</v>
      </c>
      <c r="BO34">
        <v>606</v>
      </c>
      <c r="BP34">
        <v>607</v>
      </c>
      <c r="BQ34">
        <v>608</v>
      </c>
      <c r="BR34">
        <v>609</v>
      </c>
      <c r="BS34">
        <v>610</v>
      </c>
      <c r="BV34">
        <v>6055</v>
      </c>
      <c r="BX34" s="122">
        <v>42099</v>
      </c>
      <c r="CB34" s="122">
        <v>42098</v>
      </c>
      <c r="CC34" s="122">
        <v>42138</v>
      </c>
    </row>
    <row r="35" spans="1:81" x14ac:dyDescent="0.25">
      <c r="A35" t="str">
        <f>IF(UPPER(LEFT(tabSuperdettagli[[#This Row],[WBE Status]],1))="S","sì","no")</f>
        <v>no</v>
      </c>
      <c r="B35">
        <v>2018</v>
      </c>
      <c r="C35" t="e">
        <f>VLOOKUP(tabSuperdettagli[[#This Row],[WBS_]],Pivot_AnnoPrimaMarcatura!A:B,2,FALSE)</f>
        <v>#N/A</v>
      </c>
      <c r="D35" t="str">
        <f>LEFT(tabSuperdettagli[[#This Row],[Network]], 10)</f>
        <v/>
      </c>
      <c r="E35" t="str">
        <f>LEFT(tabSuperdettagli[[#This Row],[Network]], 1)</f>
        <v/>
      </c>
      <c r="F35" t="str">
        <f>LOWER(TRIM( tabSuperdettagli[[#This Row],[Proj. Type ]] ))</f>
        <v/>
      </c>
      <c r="G35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35" t="str">
        <f>IF(  TRIM(tabSuperdettagli[[#This Row],[Raggr. X Struttura]])&gt; "", TRIM(tabSuperdettagli[[#This Row],[Raggr. X Struttura]]), TRIM(tabSuperdettagli[[#This Row],[Resp DT]] ) )</f>
        <v>Responsabile A</v>
      </c>
      <c r="J35">
        <f>tabSuperdettagli[[#This Row],[Total]]</f>
        <v>55</v>
      </c>
      <c r="K35">
        <f>tabSuperdettagli[[#This Row],[01.2025]]</f>
        <v>1</v>
      </c>
      <c r="L35">
        <f>tabSuperdettagli[[#This Row],[02.2025]]</f>
        <v>2</v>
      </c>
      <c r="M35">
        <f>tabSuperdettagli[[#This Row],[03.2025]]</f>
        <v>3</v>
      </c>
      <c r="N35">
        <f>tabSuperdettagli[[#This Row],[04.2025]]</f>
        <v>4</v>
      </c>
      <c r="O35">
        <f>tabSuperdettagli[[#This Row],[05.2025]]</f>
        <v>5</v>
      </c>
      <c r="P35">
        <f>tabSuperdettagli[[#This Row],[06.2025]]</f>
        <v>6</v>
      </c>
      <c r="Q35">
        <f>tabSuperdettagli[[#This Row],[07.2025]]</f>
        <v>7</v>
      </c>
      <c r="R35">
        <f>tabSuperdettagli[[#This Row],[08.2025]]</f>
        <v>8</v>
      </c>
      <c r="S35">
        <f>tabSuperdettagli[[#This Row],[09.2025]]</f>
        <v>9</v>
      </c>
      <c r="T35">
        <f>tabSuperdettagli[[#This Row],[10.2025]]</f>
        <v>10</v>
      </c>
      <c r="U35">
        <f>tabSuperdettagli[[#This Row],[11.2025]]</f>
        <v>0</v>
      </c>
      <c r="V35">
        <f>tabSuperdettagli[[#This Row],[12.2025]]</f>
        <v>0</v>
      </c>
      <c r="W35" t="str">
        <f>tabSuperdettagli[[#This Row],[INT/EST]]</f>
        <v>Est.</v>
      </c>
      <c r="X35" t="str">
        <f>tabSuperdettagli[[#This Row],[Resp 2°liv]]&amp;""</f>
        <v/>
      </c>
      <c r="Y35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35" t="str">
        <f>tabSuperdettagli[[#This Row],[WBS Element]]&amp;""</f>
        <v/>
      </c>
      <c r="AA35">
        <f>tabSuperdettagli[[#This Row],[09.2025]]</f>
        <v>9</v>
      </c>
      <c r="AC35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35" t="str">
        <f>LEFT(tabSuperdettagli[[#This Row],[Network]], 18 )</f>
        <v/>
      </c>
      <c r="AE35" t="s">
        <v>284</v>
      </c>
      <c r="AP35" t="s">
        <v>292</v>
      </c>
      <c r="AV35" t="s">
        <v>293</v>
      </c>
      <c r="BJ35">
        <v>1</v>
      </c>
      <c r="BK35">
        <v>2</v>
      </c>
      <c r="BL35">
        <v>3</v>
      </c>
      <c r="BM35">
        <v>4</v>
      </c>
      <c r="BN35">
        <v>5</v>
      </c>
      <c r="BO35">
        <v>6</v>
      </c>
      <c r="BP35">
        <v>7</v>
      </c>
      <c r="BQ35">
        <v>8</v>
      </c>
      <c r="BR35">
        <v>9</v>
      </c>
      <c r="BS35">
        <v>10</v>
      </c>
      <c r="BV35">
        <v>55</v>
      </c>
      <c r="BX35" s="122">
        <v>42102</v>
      </c>
      <c r="CB35" s="122">
        <v>42101</v>
      </c>
      <c r="CC35" s="122">
        <v>42141</v>
      </c>
    </row>
    <row r="36" spans="1:81" x14ac:dyDescent="0.25">
      <c r="A36" t="str">
        <f>IF(UPPER(LEFT(tabSuperdettagli[[#This Row],[WBE Status]],1))="S","sì","no")</f>
        <v>no</v>
      </c>
      <c r="B36">
        <v>2018</v>
      </c>
      <c r="C36" t="e">
        <f>VLOOKUP(tabSuperdettagli[[#This Row],[WBS_]],Pivot_AnnoPrimaMarcatura!A:B,2,FALSE)</f>
        <v>#N/A</v>
      </c>
      <c r="D36" t="str">
        <f>LEFT(tabSuperdettagli[[#This Row],[Network]], 10)</f>
        <v/>
      </c>
      <c r="E36" t="str">
        <f>LEFT(tabSuperdettagli[[#This Row],[Network]], 1)</f>
        <v/>
      </c>
      <c r="F36" t="str">
        <f>LOWER(TRIM( tabSuperdettagli[[#This Row],[Proj. Type ]] ))</f>
        <v/>
      </c>
      <c r="G36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36" t="str">
        <f>IF(  TRIM(tabSuperdettagli[[#This Row],[Raggr. X Struttura]])&gt; "", TRIM(tabSuperdettagli[[#This Row],[Raggr. X Struttura]]), TRIM(tabSuperdettagli[[#This Row],[Resp DT]] ) )</f>
        <v>Responsabile A</v>
      </c>
      <c r="J36">
        <f>tabSuperdettagli[[#This Row],[Total]]</f>
        <v>1055</v>
      </c>
      <c r="K36">
        <f>tabSuperdettagli[[#This Row],[01.2025]]</f>
        <v>101</v>
      </c>
      <c r="L36">
        <f>tabSuperdettagli[[#This Row],[02.2025]]</f>
        <v>102</v>
      </c>
      <c r="M36">
        <f>tabSuperdettagli[[#This Row],[03.2025]]</f>
        <v>103</v>
      </c>
      <c r="N36">
        <f>tabSuperdettagli[[#This Row],[04.2025]]</f>
        <v>104</v>
      </c>
      <c r="O36">
        <f>tabSuperdettagli[[#This Row],[05.2025]]</f>
        <v>105</v>
      </c>
      <c r="P36">
        <f>tabSuperdettagli[[#This Row],[06.2025]]</f>
        <v>106</v>
      </c>
      <c r="Q36">
        <f>tabSuperdettagli[[#This Row],[07.2025]]</f>
        <v>107</v>
      </c>
      <c r="R36">
        <f>tabSuperdettagli[[#This Row],[08.2025]]</f>
        <v>108</v>
      </c>
      <c r="S36">
        <f>tabSuperdettagli[[#This Row],[09.2025]]</f>
        <v>109</v>
      </c>
      <c r="T36">
        <f>tabSuperdettagli[[#This Row],[10.2025]]</f>
        <v>110</v>
      </c>
      <c r="U36">
        <f>tabSuperdettagli[[#This Row],[11.2025]]</f>
        <v>0</v>
      </c>
      <c r="V36">
        <f>tabSuperdettagli[[#This Row],[12.2025]]</f>
        <v>0</v>
      </c>
      <c r="W36" t="str">
        <f>tabSuperdettagli[[#This Row],[INT/EST]]</f>
        <v>Est.</v>
      </c>
      <c r="X36" t="str">
        <f>tabSuperdettagli[[#This Row],[Resp 2°liv]]&amp;""</f>
        <v/>
      </c>
      <c r="Y36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36" t="str">
        <f>tabSuperdettagli[[#This Row],[WBS Element]]&amp;""</f>
        <v/>
      </c>
      <c r="AA36">
        <f>tabSuperdettagli[[#This Row],[09.2025]]</f>
        <v>109</v>
      </c>
      <c r="AC36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36" t="str">
        <f>LEFT(tabSuperdettagli[[#This Row],[Network]], 18 )</f>
        <v/>
      </c>
      <c r="AE36" t="s">
        <v>284</v>
      </c>
      <c r="AP36" t="s">
        <v>292</v>
      </c>
      <c r="AV36" t="s">
        <v>293</v>
      </c>
      <c r="BJ36">
        <v>101</v>
      </c>
      <c r="BK36">
        <v>102</v>
      </c>
      <c r="BL36">
        <v>103</v>
      </c>
      <c r="BM36">
        <v>104</v>
      </c>
      <c r="BN36">
        <v>105</v>
      </c>
      <c r="BO36">
        <v>106</v>
      </c>
      <c r="BP36">
        <v>107</v>
      </c>
      <c r="BQ36">
        <v>108</v>
      </c>
      <c r="BR36">
        <v>109</v>
      </c>
      <c r="BS36">
        <v>110</v>
      </c>
      <c r="BV36">
        <v>1055</v>
      </c>
      <c r="BX36" s="122">
        <v>42105</v>
      </c>
      <c r="CB36" s="122">
        <v>42104</v>
      </c>
      <c r="CC36" s="122">
        <v>42144</v>
      </c>
    </row>
    <row r="37" spans="1:81" x14ac:dyDescent="0.25">
      <c r="A37" t="str">
        <f>IF(UPPER(LEFT(tabSuperdettagli[[#This Row],[WBE Status]],1))="S","sì","no")</f>
        <v>no</v>
      </c>
      <c r="B37">
        <v>2018</v>
      </c>
      <c r="C37" t="e">
        <f>VLOOKUP(tabSuperdettagli[[#This Row],[WBS_]],Pivot_AnnoPrimaMarcatura!A:B,2,FALSE)</f>
        <v>#N/A</v>
      </c>
      <c r="D37" t="str">
        <f>LEFT(tabSuperdettagli[[#This Row],[Network]], 10)</f>
        <v/>
      </c>
      <c r="E37" t="str">
        <f>LEFT(tabSuperdettagli[[#This Row],[Network]], 1)</f>
        <v/>
      </c>
      <c r="F37" t="str">
        <f>LOWER(TRIM( tabSuperdettagli[[#This Row],[Proj. Type ]] ))</f>
        <v/>
      </c>
      <c r="G37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37" t="str">
        <f>IF(  TRIM(tabSuperdettagli[[#This Row],[Raggr. X Struttura]])&gt; "", TRIM(tabSuperdettagli[[#This Row],[Raggr. X Struttura]]), TRIM(tabSuperdettagli[[#This Row],[Resp DT]] ) )</f>
        <v>Gruppo struttura 3</v>
      </c>
      <c r="J37">
        <f>tabSuperdettagli[[#This Row],[Total]]</f>
        <v>2055</v>
      </c>
      <c r="K37">
        <f>tabSuperdettagli[[#This Row],[01.2025]]</f>
        <v>201</v>
      </c>
      <c r="L37">
        <f>tabSuperdettagli[[#This Row],[02.2025]]</f>
        <v>202</v>
      </c>
      <c r="M37">
        <f>tabSuperdettagli[[#This Row],[03.2025]]</f>
        <v>203</v>
      </c>
      <c r="N37">
        <f>tabSuperdettagli[[#This Row],[04.2025]]</f>
        <v>204</v>
      </c>
      <c r="O37">
        <f>tabSuperdettagli[[#This Row],[05.2025]]</f>
        <v>205</v>
      </c>
      <c r="P37">
        <f>tabSuperdettagli[[#This Row],[06.2025]]</f>
        <v>206</v>
      </c>
      <c r="Q37">
        <f>tabSuperdettagli[[#This Row],[07.2025]]</f>
        <v>207</v>
      </c>
      <c r="R37">
        <f>tabSuperdettagli[[#This Row],[08.2025]]</f>
        <v>208</v>
      </c>
      <c r="S37">
        <f>tabSuperdettagli[[#This Row],[09.2025]]</f>
        <v>209</v>
      </c>
      <c r="T37">
        <f>tabSuperdettagli[[#This Row],[10.2025]]</f>
        <v>210</v>
      </c>
      <c r="U37">
        <f>tabSuperdettagli[[#This Row],[11.2025]]</f>
        <v>0</v>
      </c>
      <c r="V37">
        <f>tabSuperdettagli[[#This Row],[12.2025]]</f>
        <v>0</v>
      </c>
      <c r="W37" t="str">
        <f>tabSuperdettagli[[#This Row],[INT/EST]]</f>
        <v>Est.</v>
      </c>
      <c r="X37" t="str">
        <f>tabSuperdettagli[[#This Row],[Resp 2°liv]]&amp;""</f>
        <v/>
      </c>
      <c r="Y37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37" t="str">
        <f>tabSuperdettagli[[#This Row],[WBS Element]]&amp;""</f>
        <v/>
      </c>
      <c r="AA37">
        <f>tabSuperdettagli[[#This Row],[09.2025]]</f>
        <v>209</v>
      </c>
      <c r="AC37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37" t="str">
        <f>LEFT(tabSuperdettagli[[#This Row],[Network]], 18 )</f>
        <v/>
      </c>
      <c r="AE37" t="s">
        <v>284</v>
      </c>
      <c r="AP37" t="s">
        <v>292</v>
      </c>
      <c r="AQ37" t="s">
        <v>300</v>
      </c>
      <c r="AV37" t="s">
        <v>293</v>
      </c>
      <c r="BJ37">
        <v>201</v>
      </c>
      <c r="BK37">
        <v>202</v>
      </c>
      <c r="BL37">
        <v>203</v>
      </c>
      <c r="BM37">
        <v>204</v>
      </c>
      <c r="BN37">
        <v>205</v>
      </c>
      <c r="BO37">
        <v>206</v>
      </c>
      <c r="BP37">
        <v>207</v>
      </c>
      <c r="BQ37">
        <v>208</v>
      </c>
      <c r="BR37">
        <v>209</v>
      </c>
      <c r="BS37">
        <v>210</v>
      </c>
      <c r="BV37">
        <v>2055</v>
      </c>
      <c r="BX37" s="122">
        <v>42108</v>
      </c>
      <c r="CB37" s="122">
        <v>42107</v>
      </c>
      <c r="CC37" s="122">
        <v>42147</v>
      </c>
    </row>
    <row r="38" spans="1:81" x14ac:dyDescent="0.25">
      <c r="A38" t="str">
        <f>IF(UPPER(LEFT(tabSuperdettagli[[#This Row],[WBE Status]],1))="S","sì","no")</f>
        <v>no</v>
      </c>
      <c r="B38">
        <v>2018</v>
      </c>
      <c r="C38" t="e">
        <f>VLOOKUP(tabSuperdettagli[[#This Row],[WBS_]],Pivot_AnnoPrimaMarcatura!A:B,2,FALSE)</f>
        <v>#N/A</v>
      </c>
      <c r="D38" t="str">
        <f>LEFT(tabSuperdettagli[[#This Row],[Network]], 10)</f>
        <v/>
      </c>
      <c r="E38" t="str">
        <f>LEFT(tabSuperdettagli[[#This Row],[Network]], 1)</f>
        <v/>
      </c>
      <c r="F38" t="str">
        <f>LOWER(TRIM( tabSuperdettagli[[#This Row],[Proj. Type ]] ))</f>
        <v/>
      </c>
      <c r="G38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38" t="str">
        <f>IF(  TRIM(tabSuperdettagli[[#This Row],[Raggr. X Struttura]])&gt; "", TRIM(tabSuperdettagli[[#This Row],[Raggr. X Struttura]]), TRIM(tabSuperdettagli[[#This Row],[Resp DT]] ) )</f>
        <v>Gruppo struttura 1</v>
      </c>
      <c r="J38">
        <f>tabSuperdettagli[[#This Row],[Total]]</f>
        <v>3055</v>
      </c>
      <c r="K38">
        <f>tabSuperdettagli[[#This Row],[01.2025]]</f>
        <v>301</v>
      </c>
      <c r="L38">
        <f>tabSuperdettagli[[#This Row],[02.2025]]</f>
        <v>302</v>
      </c>
      <c r="M38">
        <f>tabSuperdettagli[[#This Row],[03.2025]]</f>
        <v>303</v>
      </c>
      <c r="N38">
        <f>tabSuperdettagli[[#This Row],[04.2025]]</f>
        <v>304</v>
      </c>
      <c r="O38">
        <f>tabSuperdettagli[[#This Row],[05.2025]]</f>
        <v>305</v>
      </c>
      <c r="P38">
        <f>tabSuperdettagli[[#This Row],[06.2025]]</f>
        <v>306</v>
      </c>
      <c r="Q38">
        <f>tabSuperdettagli[[#This Row],[07.2025]]</f>
        <v>307</v>
      </c>
      <c r="R38">
        <f>tabSuperdettagli[[#This Row],[08.2025]]</f>
        <v>308</v>
      </c>
      <c r="S38">
        <f>tabSuperdettagli[[#This Row],[09.2025]]</f>
        <v>309</v>
      </c>
      <c r="T38">
        <f>tabSuperdettagli[[#This Row],[10.2025]]</f>
        <v>310</v>
      </c>
      <c r="U38">
        <f>tabSuperdettagli[[#This Row],[11.2025]]</f>
        <v>0</v>
      </c>
      <c r="V38">
        <f>tabSuperdettagli[[#This Row],[12.2025]]</f>
        <v>0</v>
      </c>
      <c r="W38" t="str">
        <f>tabSuperdettagli[[#This Row],[INT/EST]]</f>
        <v>Est.</v>
      </c>
      <c r="X38" t="str">
        <f>tabSuperdettagli[[#This Row],[Resp 2°liv]]&amp;""</f>
        <v/>
      </c>
      <c r="Y38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38" t="str">
        <f>tabSuperdettagli[[#This Row],[WBS Element]]&amp;""</f>
        <v/>
      </c>
      <c r="AA38">
        <f>tabSuperdettagli[[#This Row],[09.2025]]</f>
        <v>309</v>
      </c>
      <c r="AC38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38" t="str">
        <f>LEFT(tabSuperdettagli[[#This Row],[Network]], 18 )</f>
        <v/>
      </c>
      <c r="AE38" t="s">
        <v>284</v>
      </c>
      <c r="AP38" t="s">
        <v>292</v>
      </c>
      <c r="AQ38" t="s">
        <v>298</v>
      </c>
      <c r="AV38" t="s">
        <v>296</v>
      </c>
      <c r="BJ38">
        <v>301</v>
      </c>
      <c r="BK38">
        <v>302</v>
      </c>
      <c r="BL38">
        <v>303</v>
      </c>
      <c r="BM38">
        <v>304</v>
      </c>
      <c r="BN38">
        <v>305</v>
      </c>
      <c r="BO38">
        <v>306</v>
      </c>
      <c r="BP38">
        <v>307</v>
      </c>
      <c r="BQ38">
        <v>308</v>
      </c>
      <c r="BR38">
        <v>309</v>
      </c>
      <c r="BS38">
        <v>310</v>
      </c>
      <c r="BV38">
        <v>3055</v>
      </c>
      <c r="BX38" s="122">
        <v>42111</v>
      </c>
      <c r="CB38" s="122">
        <v>42110</v>
      </c>
      <c r="CC38" s="122">
        <v>42150</v>
      </c>
    </row>
    <row r="39" spans="1:81" x14ac:dyDescent="0.25">
      <c r="A39" t="str">
        <f>IF(UPPER(LEFT(tabSuperdettagli[[#This Row],[WBE Status]],1))="S","sì","no")</f>
        <v>no</v>
      </c>
      <c r="B39">
        <v>2018</v>
      </c>
      <c r="C39" t="e">
        <f>VLOOKUP(tabSuperdettagli[[#This Row],[WBS_]],Pivot_AnnoPrimaMarcatura!A:B,2,FALSE)</f>
        <v>#N/A</v>
      </c>
      <c r="D39" t="str">
        <f>LEFT(tabSuperdettagli[[#This Row],[Network]], 10)</f>
        <v/>
      </c>
      <c r="E39" t="str">
        <f>LEFT(tabSuperdettagli[[#This Row],[Network]], 1)</f>
        <v/>
      </c>
      <c r="F39" t="str">
        <f>LOWER(TRIM( tabSuperdettagli[[#This Row],[Proj. Type ]] ))</f>
        <v/>
      </c>
      <c r="G39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39" t="str">
        <f>IF(  TRIM(tabSuperdettagli[[#This Row],[Raggr. X Struttura]])&gt; "", TRIM(tabSuperdettagli[[#This Row],[Raggr. X Struttura]]), TRIM(tabSuperdettagli[[#This Row],[Resp DT]] ) )</f>
        <v>Gruppo struttura 6</v>
      </c>
      <c r="J39">
        <f>tabSuperdettagli[[#This Row],[Total]]</f>
        <v>4055</v>
      </c>
      <c r="K39">
        <f>tabSuperdettagli[[#This Row],[01.2025]]</f>
        <v>401</v>
      </c>
      <c r="L39">
        <f>tabSuperdettagli[[#This Row],[02.2025]]</f>
        <v>402</v>
      </c>
      <c r="M39">
        <f>tabSuperdettagli[[#This Row],[03.2025]]</f>
        <v>403</v>
      </c>
      <c r="N39">
        <f>tabSuperdettagli[[#This Row],[04.2025]]</f>
        <v>404</v>
      </c>
      <c r="O39">
        <f>tabSuperdettagli[[#This Row],[05.2025]]</f>
        <v>405</v>
      </c>
      <c r="P39">
        <f>tabSuperdettagli[[#This Row],[06.2025]]</f>
        <v>406</v>
      </c>
      <c r="Q39">
        <f>tabSuperdettagli[[#This Row],[07.2025]]</f>
        <v>407</v>
      </c>
      <c r="R39">
        <f>tabSuperdettagli[[#This Row],[08.2025]]</f>
        <v>408</v>
      </c>
      <c r="S39">
        <f>tabSuperdettagli[[#This Row],[09.2025]]</f>
        <v>409</v>
      </c>
      <c r="T39">
        <f>tabSuperdettagli[[#This Row],[10.2025]]</f>
        <v>410</v>
      </c>
      <c r="U39">
        <f>tabSuperdettagli[[#This Row],[11.2025]]</f>
        <v>0</v>
      </c>
      <c r="V39">
        <f>tabSuperdettagli[[#This Row],[12.2025]]</f>
        <v>0</v>
      </c>
      <c r="W39" t="str">
        <f>tabSuperdettagli[[#This Row],[INT/EST]]</f>
        <v>Est.</v>
      </c>
      <c r="X39" t="str">
        <f>tabSuperdettagli[[#This Row],[Resp 2°liv]]&amp;""</f>
        <v/>
      </c>
      <c r="Y39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39" t="str">
        <f>tabSuperdettagli[[#This Row],[WBS Element]]&amp;""</f>
        <v/>
      </c>
      <c r="AA39">
        <f>tabSuperdettagli[[#This Row],[09.2025]]</f>
        <v>409</v>
      </c>
      <c r="AC39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39" t="str">
        <f>LEFT(tabSuperdettagli[[#This Row],[Network]], 18 )</f>
        <v/>
      </c>
      <c r="AE39" t="s">
        <v>284</v>
      </c>
      <c r="AP39" t="s">
        <v>292</v>
      </c>
      <c r="AQ39" t="s">
        <v>303</v>
      </c>
      <c r="AV39" t="s">
        <v>293</v>
      </c>
      <c r="BJ39">
        <v>401</v>
      </c>
      <c r="BK39">
        <v>402</v>
      </c>
      <c r="BL39">
        <v>403</v>
      </c>
      <c r="BM39">
        <v>404</v>
      </c>
      <c r="BN39">
        <v>405</v>
      </c>
      <c r="BO39">
        <v>406</v>
      </c>
      <c r="BP39">
        <v>407</v>
      </c>
      <c r="BQ39">
        <v>408</v>
      </c>
      <c r="BR39">
        <v>409</v>
      </c>
      <c r="BS39">
        <v>410</v>
      </c>
      <c r="BV39">
        <v>4055</v>
      </c>
      <c r="BX39" s="122">
        <v>42114</v>
      </c>
      <c r="CB39" s="122">
        <v>42113</v>
      </c>
      <c r="CC39" s="122">
        <v>42153</v>
      </c>
    </row>
    <row r="40" spans="1:81" x14ac:dyDescent="0.25">
      <c r="A40" t="str">
        <f>IF(UPPER(LEFT(tabSuperdettagli[[#This Row],[WBE Status]],1))="S","sì","no")</f>
        <v>no</v>
      </c>
      <c r="B40">
        <v>2018</v>
      </c>
      <c r="C40" t="e">
        <f>VLOOKUP(tabSuperdettagli[[#This Row],[WBS_]],Pivot_AnnoPrimaMarcatura!A:B,2,FALSE)</f>
        <v>#N/A</v>
      </c>
      <c r="D40" t="str">
        <f>LEFT(tabSuperdettagli[[#This Row],[Network]], 10)</f>
        <v/>
      </c>
      <c r="E40" t="str">
        <f>LEFT(tabSuperdettagli[[#This Row],[Network]], 1)</f>
        <v/>
      </c>
      <c r="F40" t="str">
        <f>LOWER(TRIM( tabSuperdettagli[[#This Row],[Proj. Type ]] ))</f>
        <v/>
      </c>
      <c r="G40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40" t="str">
        <f>IF(  TRIM(tabSuperdettagli[[#This Row],[Raggr. X Struttura]])&gt; "", TRIM(tabSuperdettagli[[#This Row],[Raggr. X Struttura]]), TRIM(tabSuperdettagli[[#This Row],[Resp DT]] ) )</f>
        <v>Gruppo struttura 1</v>
      </c>
      <c r="J40">
        <f>tabSuperdettagli[[#This Row],[Total]]</f>
        <v>5055</v>
      </c>
      <c r="K40">
        <f>tabSuperdettagli[[#This Row],[01.2025]]</f>
        <v>501</v>
      </c>
      <c r="L40">
        <f>tabSuperdettagli[[#This Row],[02.2025]]</f>
        <v>502</v>
      </c>
      <c r="M40">
        <f>tabSuperdettagli[[#This Row],[03.2025]]</f>
        <v>503</v>
      </c>
      <c r="N40">
        <f>tabSuperdettagli[[#This Row],[04.2025]]</f>
        <v>504</v>
      </c>
      <c r="O40">
        <f>tabSuperdettagli[[#This Row],[05.2025]]</f>
        <v>505</v>
      </c>
      <c r="P40">
        <f>tabSuperdettagli[[#This Row],[06.2025]]</f>
        <v>506</v>
      </c>
      <c r="Q40">
        <f>tabSuperdettagli[[#This Row],[07.2025]]</f>
        <v>507</v>
      </c>
      <c r="R40">
        <f>tabSuperdettagli[[#This Row],[08.2025]]</f>
        <v>508</v>
      </c>
      <c r="S40">
        <f>tabSuperdettagli[[#This Row],[09.2025]]</f>
        <v>509</v>
      </c>
      <c r="T40">
        <f>tabSuperdettagli[[#This Row],[10.2025]]</f>
        <v>510</v>
      </c>
      <c r="U40">
        <f>tabSuperdettagli[[#This Row],[11.2025]]</f>
        <v>0</v>
      </c>
      <c r="V40">
        <f>tabSuperdettagli[[#This Row],[12.2025]]</f>
        <v>0</v>
      </c>
      <c r="W40" t="str">
        <f>tabSuperdettagli[[#This Row],[INT/EST]]</f>
        <v>Est.</v>
      </c>
      <c r="X40" t="str">
        <f>tabSuperdettagli[[#This Row],[Resp 2°liv]]&amp;""</f>
        <v/>
      </c>
      <c r="Y40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40" t="str">
        <f>tabSuperdettagli[[#This Row],[WBS Element]]&amp;""</f>
        <v/>
      </c>
      <c r="AA40">
        <f>tabSuperdettagli[[#This Row],[09.2025]]</f>
        <v>509</v>
      </c>
      <c r="AC40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40" t="str">
        <f>LEFT(tabSuperdettagli[[#This Row],[Network]], 18 )</f>
        <v/>
      </c>
      <c r="AE40" t="s">
        <v>284</v>
      </c>
      <c r="AP40" t="s">
        <v>292</v>
      </c>
      <c r="AQ40" t="s">
        <v>298</v>
      </c>
      <c r="AV40" t="s">
        <v>293</v>
      </c>
      <c r="BJ40">
        <v>501</v>
      </c>
      <c r="BK40">
        <v>502</v>
      </c>
      <c r="BL40">
        <v>503</v>
      </c>
      <c r="BM40">
        <v>504</v>
      </c>
      <c r="BN40">
        <v>505</v>
      </c>
      <c r="BO40">
        <v>506</v>
      </c>
      <c r="BP40">
        <v>507</v>
      </c>
      <c r="BQ40">
        <v>508</v>
      </c>
      <c r="BR40">
        <v>509</v>
      </c>
      <c r="BS40">
        <v>510</v>
      </c>
      <c r="BV40">
        <v>5055</v>
      </c>
      <c r="BX40" s="122">
        <v>42117</v>
      </c>
      <c r="CB40" s="122">
        <v>42116</v>
      </c>
      <c r="CC40" s="122">
        <v>42156</v>
      </c>
    </row>
    <row r="41" spans="1:81" x14ac:dyDescent="0.25">
      <c r="A41" t="str">
        <f>IF(UPPER(LEFT(tabSuperdettagli[[#This Row],[WBE Status]],1))="S","sì","no")</f>
        <v>no</v>
      </c>
      <c r="B41">
        <v>2018</v>
      </c>
      <c r="C41" t="e">
        <f>VLOOKUP(tabSuperdettagli[[#This Row],[WBS_]],Pivot_AnnoPrimaMarcatura!A:B,2,FALSE)</f>
        <v>#N/A</v>
      </c>
      <c r="D41" t="str">
        <f>LEFT(tabSuperdettagli[[#This Row],[Network]], 10)</f>
        <v/>
      </c>
      <c r="E41" t="str">
        <f>LEFT(tabSuperdettagli[[#This Row],[Network]], 1)</f>
        <v/>
      </c>
      <c r="F41" t="str">
        <f>LOWER(TRIM( tabSuperdettagli[[#This Row],[Proj. Type ]] ))</f>
        <v/>
      </c>
      <c r="G41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41" t="str">
        <f>IF(  TRIM(tabSuperdettagli[[#This Row],[Raggr. X Struttura]])&gt; "", TRIM(tabSuperdettagli[[#This Row],[Raggr. X Struttura]]), TRIM(tabSuperdettagli[[#This Row],[Resp DT]] ) )</f>
        <v>Gruppo struttura 1</v>
      </c>
      <c r="J41">
        <f>tabSuperdettagli[[#This Row],[Total]]</f>
        <v>6055</v>
      </c>
      <c r="K41">
        <f>tabSuperdettagli[[#This Row],[01.2025]]</f>
        <v>601</v>
      </c>
      <c r="L41">
        <f>tabSuperdettagli[[#This Row],[02.2025]]</f>
        <v>602</v>
      </c>
      <c r="M41">
        <f>tabSuperdettagli[[#This Row],[03.2025]]</f>
        <v>603</v>
      </c>
      <c r="N41">
        <f>tabSuperdettagli[[#This Row],[04.2025]]</f>
        <v>604</v>
      </c>
      <c r="O41">
        <f>tabSuperdettagli[[#This Row],[05.2025]]</f>
        <v>605</v>
      </c>
      <c r="P41">
        <f>tabSuperdettagli[[#This Row],[06.2025]]</f>
        <v>606</v>
      </c>
      <c r="Q41">
        <f>tabSuperdettagli[[#This Row],[07.2025]]</f>
        <v>607</v>
      </c>
      <c r="R41">
        <f>tabSuperdettagli[[#This Row],[08.2025]]</f>
        <v>608</v>
      </c>
      <c r="S41">
        <f>tabSuperdettagli[[#This Row],[09.2025]]</f>
        <v>609</v>
      </c>
      <c r="T41">
        <f>tabSuperdettagli[[#This Row],[10.2025]]</f>
        <v>610</v>
      </c>
      <c r="U41">
        <f>tabSuperdettagli[[#This Row],[11.2025]]</f>
        <v>0</v>
      </c>
      <c r="V41">
        <f>tabSuperdettagli[[#This Row],[12.2025]]</f>
        <v>0</v>
      </c>
      <c r="W41" t="str">
        <f>tabSuperdettagli[[#This Row],[INT/EST]]</f>
        <v>Est.</v>
      </c>
      <c r="X41" t="str">
        <f>tabSuperdettagli[[#This Row],[Resp 2°liv]]&amp;""</f>
        <v/>
      </c>
      <c r="Y41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41" t="str">
        <f>tabSuperdettagli[[#This Row],[WBS Element]]&amp;""</f>
        <v/>
      </c>
      <c r="AA41">
        <f>tabSuperdettagli[[#This Row],[09.2025]]</f>
        <v>609</v>
      </c>
      <c r="AC41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41" t="str">
        <f>LEFT(tabSuperdettagli[[#This Row],[Network]], 18 )</f>
        <v/>
      </c>
      <c r="AE41" t="s">
        <v>284</v>
      </c>
      <c r="AP41" t="s">
        <v>292</v>
      </c>
      <c r="AQ41" t="s">
        <v>298</v>
      </c>
      <c r="AV41" t="s">
        <v>293</v>
      </c>
      <c r="BJ41">
        <v>601</v>
      </c>
      <c r="BK41">
        <v>602</v>
      </c>
      <c r="BL41">
        <v>603</v>
      </c>
      <c r="BM41">
        <v>604</v>
      </c>
      <c r="BN41">
        <v>605</v>
      </c>
      <c r="BO41">
        <v>606</v>
      </c>
      <c r="BP41">
        <v>607</v>
      </c>
      <c r="BQ41">
        <v>608</v>
      </c>
      <c r="BR41">
        <v>609</v>
      </c>
      <c r="BS41">
        <v>610</v>
      </c>
      <c r="BV41">
        <v>6055</v>
      </c>
      <c r="BX41" s="122">
        <v>42120</v>
      </c>
      <c r="CB41" s="122">
        <v>42119</v>
      </c>
      <c r="CC41" s="122">
        <v>42159</v>
      </c>
    </row>
    <row r="42" spans="1:81" x14ac:dyDescent="0.25">
      <c r="A42" t="str">
        <f>IF(UPPER(LEFT(tabSuperdettagli[[#This Row],[WBE Status]],1))="S","sì","no")</f>
        <v>no</v>
      </c>
      <c r="B42">
        <v>2018</v>
      </c>
      <c r="C42" t="e">
        <f>VLOOKUP(tabSuperdettagli[[#This Row],[WBS_]],Pivot_AnnoPrimaMarcatura!A:B,2,FALSE)</f>
        <v>#N/A</v>
      </c>
      <c r="D42" t="str">
        <f>LEFT(tabSuperdettagli[[#This Row],[Network]], 10)</f>
        <v/>
      </c>
      <c r="E42" t="str">
        <f>LEFT(tabSuperdettagli[[#This Row],[Network]], 1)</f>
        <v/>
      </c>
      <c r="F42" t="str">
        <f>LOWER(TRIM( tabSuperdettagli[[#This Row],[Proj. Type ]] ))</f>
        <v/>
      </c>
      <c r="G42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42" t="str">
        <f>IF(  TRIM(tabSuperdettagli[[#This Row],[Raggr. X Struttura]])&gt; "", TRIM(tabSuperdettagli[[#This Row],[Raggr. X Struttura]]), TRIM(tabSuperdettagli[[#This Row],[Resp DT]] ) )</f>
        <v>Gruppo struttura 1</v>
      </c>
      <c r="J42">
        <f>tabSuperdettagli[[#This Row],[Total]]</f>
        <v>55</v>
      </c>
      <c r="K42">
        <f>tabSuperdettagli[[#This Row],[01.2025]]</f>
        <v>1</v>
      </c>
      <c r="L42">
        <f>tabSuperdettagli[[#This Row],[02.2025]]</f>
        <v>2</v>
      </c>
      <c r="M42">
        <f>tabSuperdettagli[[#This Row],[03.2025]]</f>
        <v>3</v>
      </c>
      <c r="N42">
        <f>tabSuperdettagli[[#This Row],[04.2025]]</f>
        <v>4</v>
      </c>
      <c r="O42">
        <f>tabSuperdettagli[[#This Row],[05.2025]]</f>
        <v>5</v>
      </c>
      <c r="P42">
        <f>tabSuperdettagli[[#This Row],[06.2025]]</f>
        <v>6</v>
      </c>
      <c r="Q42">
        <f>tabSuperdettagli[[#This Row],[07.2025]]</f>
        <v>7</v>
      </c>
      <c r="R42">
        <f>tabSuperdettagli[[#This Row],[08.2025]]</f>
        <v>8</v>
      </c>
      <c r="S42">
        <f>tabSuperdettagli[[#This Row],[09.2025]]</f>
        <v>9</v>
      </c>
      <c r="T42">
        <f>tabSuperdettagli[[#This Row],[10.2025]]</f>
        <v>10</v>
      </c>
      <c r="U42">
        <f>tabSuperdettagli[[#This Row],[11.2025]]</f>
        <v>0</v>
      </c>
      <c r="V42">
        <f>tabSuperdettagli[[#This Row],[12.2025]]</f>
        <v>0</v>
      </c>
      <c r="W42" t="str">
        <f>tabSuperdettagli[[#This Row],[INT/EST]]</f>
        <v>Est.</v>
      </c>
      <c r="X42" t="str">
        <f>tabSuperdettagli[[#This Row],[Resp 2°liv]]&amp;""</f>
        <v/>
      </c>
      <c r="Y42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42" t="str">
        <f>tabSuperdettagli[[#This Row],[WBS Element]]&amp;""</f>
        <v/>
      </c>
      <c r="AA42">
        <f>tabSuperdettagli[[#This Row],[09.2025]]</f>
        <v>9</v>
      </c>
      <c r="AC42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42" t="str">
        <f>LEFT(tabSuperdettagli[[#This Row],[Network]], 18 )</f>
        <v/>
      </c>
      <c r="AE42" t="s">
        <v>284</v>
      </c>
      <c r="AP42" t="s">
        <v>292</v>
      </c>
      <c r="AQ42" t="s">
        <v>298</v>
      </c>
      <c r="AV42" t="s">
        <v>295</v>
      </c>
      <c r="BJ42">
        <v>1</v>
      </c>
      <c r="BK42">
        <v>2</v>
      </c>
      <c r="BL42">
        <v>3</v>
      </c>
      <c r="BM42">
        <v>4</v>
      </c>
      <c r="BN42">
        <v>5</v>
      </c>
      <c r="BO42">
        <v>6</v>
      </c>
      <c r="BP42">
        <v>7</v>
      </c>
      <c r="BQ42">
        <v>8</v>
      </c>
      <c r="BR42">
        <v>9</v>
      </c>
      <c r="BS42">
        <v>10</v>
      </c>
      <c r="BV42">
        <v>55</v>
      </c>
      <c r="BX42" s="122">
        <v>42123</v>
      </c>
      <c r="CB42" s="122">
        <v>42122</v>
      </c>
      <c r="CC42" s="122">
        <v>42162</v>
      </c>
    </row>
    <row r="43" spans="1:81" x14ac:dyDescent="0.25">
      <c r="A43" t="str">
        <f>IF(UPPER(LEFT(tabSuperdettagli[[#This Row],[WBE Status]],1))="S","sì","no")</f>
        <v>no</v>
      </c>
      <c r="B43">
        <v>2019</v>
      </c>
      <c r="C43" t="e">
        <f>VLOOKUP(tabSuperdettagli[[#This Row],[WBS_]],Pivot_AnnoPrimaMarcatura!A:B,2,FALSE)</f>
        <v>#N/A</v>
      </c>
      <c r="D43" t="str">
        <f>LEFT(tabSuperdettagli[[#This Row],[Network]], 10)</f>
        <v/>
      </c>
      <c r="E43" t="str">
        <f>LEFT(tabSuperdettagli[[#This Row],[Network]], 1)</f>
        <v/>
      </c>
      <c r="F43" t="str">
        <f>LOWER(TRIM( tabSuperdettagli[[#This Row],[Proj. Type ]] ))</f>
        <v/>
      </c>
      <c r="G43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43" t="str">
        <f>IF(  TRIM(tabSuperdettagli[[#This Row],[Raggr. X Struttura]])&gt; "", TRIM(tabSuperdettagli[[#This Row],[Raggr. X Struttura]]), TRIM(tabSuperdettagli[[#This Row],[Resp DT]] ) )</f>
        <v>Gruppo struttura 4</v>
      </c>
      <c r="J43">
        <f>tabSuperdettagli[[#This Row],[Total]]</f>
        <v>1055</v>
      </c>
      <c r="K43">
        <f>tabSuperdettagli[[#This Row],[01.2025]]</f>
        <v>101</v>
      </c>
      <c r="L43">
        <f>tabSuperdettagli[[#This Row],[02.2025]]</f>
        <v>102</v>
      </c>
      <c r="M43">
        <f>tabSuperdettagli[[#This Row],[03.2025]]</f>
        <v>103</v>
      </c>
      <c r="N43">
        <f>tabSuperdettagli[[#This Row],[04.2025]]</f>
        <v>104</v>
      </c>
      <c r="O43">
        <f>tabSuperdettagli[[#This Row],[05.2025]]</f>
        <v>105</v>
      </c>
      <c r="P43">
        <f>tabSuperdettagli[[#This Row],[06.2025]]</f>
        <v>106</v>
      </c>
      <c r="Q43">
        <f>tabSuperdettagli[[#This Row],[07.2025]]</f>
        <v>107</v>
      </c>
      <c r="R43">
        <f>tabSuperdettagli[[#This Row],[08.2025]]</f>
        <v>108</v>
      </c>
      <c r="S43">
        <f>tabSuperdettagli[[#This Row],[09.2025]]</f>
        <v>109</v>
      </c>
      <c r="T43">
        <f>tabSuperdettagli[[#This Row],[10.2025]]</f>
        <v>110</v>
      </c>
      <c r="U43">
        <f>tabSuperdettagli[[#This Row],[11.2025]]</f>
        <v>0</v>
      </c>
      <c r="V43">
        <f>tabSuperdettagli[[#This Row],[12.2025]]</f>
        <v>0</v>
      </c>
      <c r="W43" t="str">
        <f>tabSuperdettagli[[#This Row],[INT/EST]]</f>
        <v>Est.</v>
      </c>
      <c r="X43" t="str">
        <f>tabSuperdettagli[[#This Row],[Resp 2°liv]]&amp;""</f>
        <v/>
      </c>
      <c r="Y43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43" t="str">
        <f>tabSuperdettagli[[#This Row],[WBS Element]]&amp;""</f>
        <v/>
      </c>
      <c r="AA43">
        <f>tabSuperdettagli[[#This Row],[09.2025]]</f>
        <v>109</v>
      </c>
      <c r="AC43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43" t="str">
        <f>LEFT(tabSuperdettagli[[#This Row],[Network]], 18 )</f>
        <v/>
      </c>
      <c r="AE43" t="s">
        <v>285</v>
      </c>
      <c r="AP43" t="s">
        <v>292</v>
      </c>
      <c r="AQ43" t="s">
        <v>301</v>
      </c>
      <c r="AV43" t="s">
        <v>294</v>
      </c>
      <c r="BJ43">
        <v>101</v>
      </c>
      <c r="BK43">
        <v>102</v>
      </c>
      <c r="BL43">
        <v>103</v>
      </c>
      <c r="BM43">
        <v>104</v>
      </c>
      <c r="BN43">
        <v>105</v>
      </c>
      <c r="BO43">
        <v>106</v>
      </c>
      <c r="BP43">
        <v>107</v>
      </c>
      <c r="BQ43">
        <v>108</v>
      </c>
      <c r="BR43">
        <v>109</v>
      </c>
      <c r="BS43">
        <v>110</v>
      </c>
      <c r="BV43">
        <v>1055</v>
      </c>
      <c r="BX43" s="122">
        <v>42126</v>
      </c>
      <c r="CB43" s="122">
        <v>42125</v>
      </c>
      <c r="CC43" s="122">
        <v>42165</v>
      </c>
    </row>
    <row r="44" spans="1:81" x14ac:dyDescent="0.25">
      <c r="A44" t="str">
        <f>IF(UPPER(LEFT(tabSuperdettagli[[#This Row],[WBE Status]],1))="S","sì","no")</f>
        <v>no</v>
      </c>
      <c r="B44">
        <v>2019</v>
      </c>
      <c r="C44" t="e">
        <f>VLOOKUP(tabSuperdettagli[[#This Row],[WBS_]],Pivot_AnnoPrimaMarcatura!A:B,2,FALSE)</f>
        <v>#N/A</v>
      </c>
      <c r="D44" t="str">
        <f>LEFT(tabSuperdettagli[[#This Row],[Network]], 10)</f>
        <v/>
      </c>
      <c r="E44" t="str">
        <f>LEFT(tabSuperdettagli[[#This Row],[Network]], 1)</f>
        <v/>
      </c>
      <c r="F44" t="str">
        <f>LOWER(TRIM( tabSuperdettagli[[#This Row],[Proj. Type ]] ))</f>
        <v/>
      </c>
      <c r="G44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44" t="str">
        <f>IF(  TRIM(tabSuperdettagli[[#This Row],[Raggr. X Struttura]])&gt; "", TRIM(tabSuperdettagli[[#This Row],[Raggr. X Struttura]]), TRIM(tabSuperdettagli[[#This Row],[Resp DT]] ) )</f>
        <v>Gruppo struttura 4</v>
      </c>
      <c r="J44">
        <f>tabSuperdettagli[[#This Row],[Total]]</f>
        <v>2055</v>
      </c>
      <c r="K44">
        <f>tabSuperdettagli[[#This Row],[01.2025]]</f>
        <v>201</v>
      </c>
      <c r="L44">
        <f>tabSuperdettagli[[#This Row],[02.2025]]</f>
        <v>202</v>
      </c>
      <c r="M44">
        <f>tabSuperdettagli[[#This Row],[03.2025]]</f>
        <v>203</v>
      </c>
      <c r="N44">
        <f>tabSuperdettagli[[#This Row],[04.2025]]</f>
        <v>204</v>
      </c>
      <c r="O44">
        <f>tabSuperdettagli[[#This Row],[05.2025]]</f>
        <v>205</v>
      </c>
      <c r="P44">
        <f>tabSuperdettagli[[#This Row],[06.2025]]</f>
        <v>206</v>
      </c>
      <c r="Q44">
        <f>tabSuperdettagli[[#This Row],[07.2025]]</f>
        <v>207</v>
      </c>
      <c r="R44">
        <f>tabSuperdettagli[[#This Row],[08.2025]]</f>
        <v>208</v>
      </c>
      <c r="S44">
        <f>tabSuperdettagli[[#This Row],[09.2025]]</f>
        <v>209</v>
      </c>
      <c r="T44">
        <f>tabSuperdettagli[[#This Row],[10.2025]]</f>
        <v>210</v>
      </c>
      <c r="U44">
        <f>tabSuperdettagli[[#This Row],[11.2025]]</f>
        <v>0</v>
      </c>
      <c r="V44">
        <f>tabSuperdettagli[[#This Row],[12.2025]]</f>
        <v>0</v>
      </c>
      <c r="W44" t="str">
        <f>tabSuperdettagli[[#This Row],[INT/EST]]</f>
        <v>Int.</v>
      </c>
      <c r="X44" t="str">
        <f>tabSuperdettagli[[#This Row],[Resp 2°liv]]&amp;""</f>
        <v/>
      </c>
      <c r="Y44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44" t="str">
        <f>tabSuperdettagli[[#This Row],[WBS Element]]&amp;""</f>
        <v/>
      </c>
      <c r="AA44">
        <f>tabSuperdettagli[[#This Row],[09.2025]]</f>
        <v>209</v>
      </c>
      <c r="AC44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44" t="str">
        <f>LEFT(tabSuperdettagli[[#This Row],[Network]], 18 )</f>
        <v/>
      </c>
      <c r="AE44" t="s">
        <v>285</v>
      </c>
      <c r="AP44" t="s">
        <v>180</v>
      </c>
      <c r="AQ44" t="s">
        <v>301</v>
      </c>
      <c r="AV44" t="s">
        <v>293</v>
      </c>
      <c r="BJ44">
        <v>201</v>
      </c>
      <c r="BK44">
        <v>202</v>
      </c>
      <c r="BL44">
        <v>203</v>
      </c>
      <c r="BM44">
        <v>204</v>
      </c>
      <c r="BN44">
        <v>205</v>
      </c>
      <c r="BO44">
        <v>206</v>
      </c>
      <c r="BP44">
        <v>207</v>
      </c>
      <c r="BQ44">
        <v>208</v>
      </c>
      <c r="BR44">
        <v>209</v>
      </c>
      <c r="BS44">
        <v>210</v>
      </c>
      <c r="BV44">
        <v>2055</v>
      </c>
      <c r="BX44" s="122">
        <v>42129</v>
      </c>
      <c r="CB44" s="122">
        <v>42128</v>
      </c>
      <c r="CC44" s="122">
        <v>42168</v>
      </c>
    </row>
    <row r="45" spans="1:81" x14ac:dyDescent="0.25">
      <c r="A45" t="str">
        <f>IF(UPPER(LEFT(tabSuperdettagli[[#This Row],[WBE Status]],1))="S","sì","no")</f>
        <v>no</v>
      </c>
      <c r="B45">
        <v>2019</v>
      </c>
      <c r="C45" t="e">
        <f>VLOOKUP(tabSuperdettagli[[#This Row],[WBS_]],Pivot_AnnoPrimaMarcatura!A:B,2,FALSE)</f>
        <v>#N/A</v>
      </c>
      <c r="D45" t="str">
        <f>LEFT(tabSuperdettagli[[#This Row],[Network]], 10)</f>
        <v/>
      </c>
      <c r="E45" t="str">
        <f>LEFT(tabSuperdettagli[[#This Row],[Network]], 1)</f>
        <v/>
      </c>
      <c r="F45" t="str">
        <f>LOWER(TRIM( tabSuperdettagli[[#This Row],[Proj. Type ]] ))</f>
        <v/>
      </c>
      <c r="G45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45" t="str">
        <f>IF(  TRIM(tabSuperdettagli[[#This Row],[Raggr. X Struttura]])&gt; "", TRIM(tabSuperdettagli[[#This Row],[Raggr. X Struttura]]), TRIM(tabSuperdettagli[[#This Row],[Resp DT]] ) )</f>
        <v>Gruppo struttura 1</v>
      </c>
      <c r="J45">
        <f>tabSuperdettagli[[#This Row],[Total]]</f>
        <v>3055</v>
      </c>
      <c r="K45">
        <f>tabSuperdettagli[[#This Row],[01.2025]]</f>
        <v>301</v>
      </c>
      <c r="L45">
        <f>tabSuperdettagli[[#This Row],[02.2025]]</f>
        <v>302</v>
      </c>
      <c r="M45">
        <f>tabSuperdettagli[[#This Row],[03.2025]]</f>
        <v>303</v>
      </c>
      <c r="N45">
        <f>tabSuperdettagli[[#This Row],[04.2025]]</f>
        <v>304</v>
      </c>
      <c r="O45">
        <f>tabSuperdettagli[[#This Row],[05.2025]]</f>
        <v>305</v>
      </c>
      <c r="P45">
        <f>tabSuperdettagli[[#This Row],[06.2025]]</f>
        <v>306</v>
      </c>
      <c r="Q45">
        <f>tabSuperdettagli[[#This Row],[07.2025]]</f>
        <v>307</v>
      </c>
      <c r="R45">
        <f>tabSuperdettagli[[#This Row],[08.2025]]</f>
        <v>308</v>
      </c>
      <c r="S45">
        <f>tabSuperdettagli[[#This Row],[09.2025]]</f>
        <v>309</v>
      </c>
      <c r="T45">
        <f>tabSuperdettagli[[#This Row],[10.2025]]</f>
        <v>310</v>
      </c>
      <c r="U45">
        <f>tabSuperdettagli[[#This Row],[11.2025]]</f>
        <v>0</v>
      </c>
      <c r="V45">
        <f>tabSuperdettagli[[#This Row],[12.2025]]</f>
        <v>0</v>
      </c>
      <c r="W45" t="str">
        <f>tabSuperdettagli[[#This Row],[INT/EST]]</f>
        <v>Int.</v>
      </c>
      <c r="X45" t="str">
        <f>tabSuperdettagli[[#This Row],[Resp 2°liv]]&amp;""</f>
        <v/>
      </c>
      <c r="Y45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45" t="str">
        <f>tabSuperdettagli[[#This Row],[WBS Element]]&amp;""</f>
        <v/>
      </c>
      <c r="AA45">
        <f>tabSuperdettagli[[#This Row],[09.2025]]</f>
        <v>309</v>
      </c>
      <c r="AC45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45" t="str">
        <f>LEFT(tabSuperdettagli[[#This Row],[Network]], 18 )</f>
        <v/>
      </c>
      <c r="AE45" t="s">
        <v>285</v>
      </c>
      <c r="AP45" t="s">
        <v>180</v>
      </c>
      <c r="AQ45" t="s">
        <v>298</v>
      </c>
      <c r="AV45" t="s">
        <v>297</v>
      </c>
      <c r="BJ45">
        <v>301</v>
      </c>
      <c r="BK45">
        <v>302</v>
      </c>
      <c r="BL45">
        <v>303</v>
      </c>
      <c r="BM45">
        <v>304</v>
      </c>
      <c r="BN45">
        <v>305</v>
      </c>
      <c r="BO45">
        <v>306</v>
      </c>
      <c r="BP45">
        <v>307</v>
      </c>
      <c r="BQ45">
        <v>308</v>
      </c>
      <c r="BR45">
        <v>309</v>
      </c>
      <c r="BS45">
        <v>310</v>
      </c>
      <c r="BV45">
        <v>3055</v>
      </c>
      <c r="BX45" s="122">
        <v>42132</v>
      </c>
      <c r="CB45" s="122">
        <v>42131</v>
      </c>
      <c r="CC45" s="122">
        <v>42171</v>
      </c>
    </row>
    <row r="46" spans="1:81" x14ac:dyDescent="0.25">
      <c r="A46" t="str">
        <f>IF(UPPER(LEFT(tabSuperdettagli[[#This Row],[WBE Status]],1))="S","sì","no")</f>
        <v>no</v>
      </c>
      <c r="B46">
        <v>2019</v>
      </c>
      <c r="C46" t="e">
        <f>VLOOKUP(tabSuperdettagli[[#This Row],[WBS_]],Pivot_AnnoPrimaMarcatura!A:B,2,FALSE)</f>
        <v>#N/A</v>
      </c>
      <c r="D46" t="str">
        <f>LEFT(tabSuperdettagli[[#This Row],[Network]], 10)</f>
        <v/>
      </c>
      <c r="E46" t="str">
        <f>LEFT(tabSuperdettagli[[#This Row],[Network]], 1)</f>
        <v/>
      </c>
      <c r="F46" t="str">
        <f>LOWER(TRIM( tabSuperdettagli[[#This Row],[Proj. Type ]] ))</f>
        <v/>
      </c>
      <c r="G46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46" t="str">
        <f>IF(  TRIM(tabSuperdettagli[[#This Row],[Raggr. X Struttura]])&gt; "", TRIM(tabSuperdettagli[[#This Row],[Raggr. X Struttura]]), TRIM(tabSuperdettagli[[#This Row],[Resp DT]] ) )</f>
        <v>Gruppo struttura 1</v>
      </c>
      <c r="J46">
        <f>tabSuperdettagli[[#This Row],[Total]]</f>
        <v>4055</v>
      </c>
      <c r="K46">
        <f>tabSuperdettagli[[#This Row],[01.2025]]</f>
        <v>401</v>
      </c>
      <c r="L46">
        <f>tabSuperdettagli[[#This Row],[02.2025]]</f>
        <v>402</v>
      </c>
      <c r="M46">
        <f>tabSuperdettagli[[#This Row],[03.2025]]</f>
        <v>403</v>
      </c>
      <c r="N46">
        <f>tabSuperdettagli[[#This Row],[04.2025]]</f>
        <v>404</v>
      </c>
      <c r="O46">
        <f>tabSuperdettagli[[#This Row],[05.2025]]</f>
        <v>405</v>
      </c>
      <c r="P46">
        <f>tabSuperdettagli[[#This Row],[06.2025]]</f>
        <v>406</v>
      </c>
      <c r="Q46">
        <f>tabSuperdettagli[[#This Row],[07.2025]]</f>
        <v>407</v>
      </c>
      <c r="R46">
        <f>tabSuperdettagli[[#This Row],[08.2025]]</f>
        <v>408</v>
      </c>
      <c r="S46">
        <f>tabSuperdettagli[[#This Row],[09.2025]]</f>
        <v>409</v>
      </c>
      <c r="T46">
        <f>tabSuperdettagli[[#This Row],[10.2025]]</f>
        <v>410</v>
      </c>
      <c r="U46">
        <f>tabSuperdettagli[[#This Row],[11.2025]]</f>
        <v>0</v>
      </c>
      <c r="V46">
        <f>tabSuperdettagli[[#This Row],[12.2025]]</f>
        <v>0</v>
      </c>
      <c r="W46" t="str">
        <f>tabSuperdettagli[[#This Row],[INT/EST]]</f>
        <v>Int.</v>
      </c>
      <c r="X46" t="str">
        <f>tabSuperdettagli[[#This Row],[Resp 2°liv]]&amp;""</f>
        <v/>
      </c>
      <c r="Y46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46" t="str">
        <f>tabSuperdettagli[[#This Row],[WBS Element]]&amp;""</f>
        <v/>
      </c>
      <c r="AA46">
        <f>tabSuperdettagli[[#This Row],[09.2025]]</f>
        <v>409</v>
      </c>
      <c r="AC46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46" t="str">
        <f>LEFT(tabSuperdettagli[[#This Row],[Network]], 18 )</f>
        <v/>
      </c>
      <c r="AE46" t="s">
        <v>285</v>
      </c>
      <c r="AP46" t="s">
        <v>180</v>
      </c>
      <c r="AQ46" t="s">
        <v>298</v>
      </c>
      <c r="AV46" t="s">
        <v>293</v>
      </c>
      <c r="BJ46">
        <v>401</v>
      </c>
      <c r="BK46">
        <v>402</v>
      </c>
      <c r="BL46">
        <v>403</v>
      </c>
      <c r="BM46">
        <v>404</v>
      </c>
      <c r="BN46">
        <v>405</v>
      </c>
      <c r="BO46">
        <v>406</v>
      </c>
      <c r="BP46">
        <v>407</v>
      </c>
      <c r="BQ46">
        <v>408</v>
      </c>
      <c r="BR46">
        <v>409</v>
      </c>
      <c r="BS46">
        <v>410</v>
      </c>
      <c r="BV46">
        <v>4055</v>
      </c>
      <c r="BX46" s="122">
        <v>42135</v>
      </c>
      <c r="CB46" s="122">
        <v>42134</v>
      </c>
      <c r="CC46" s="122">
        <v>42174</v>
      </c>
    </row>
    <row r="47" spans="1:81" x14ac:dyDescent="0.25">
      <c r="A47" t="str">
        <f>IF(UPPER(LEFT(tabSuperdettagli[[#This Row],[WBE Status]],1))="S","sì","no")</f>
        <v>no</v>
      </c>
      <c r="B47">
        <v>2019</v>
      </c>
      <c r="C47" t="e">
        <f>VLOOKUP(tabSuperdettagli[[#This Row],[WBS_]],Pivot_AnnoPrimaMarcatura!A:B,2,FALSE)</f>
        <v>#N/A</v>
      </c>
      <c r="D47" t="str">
        <f>LEFT(tabSuperdettagli[[#This Row],[Network]], 10)</f>
        <v/>
      </c>
      <c r="E47" t="str">
        <f>LEFT(tabSuperdettagli[[#This Row],[Network]], 1)</f>
        <v/>
      </c>
      <c r="F47" t="str">
        <f>LOWER(TRIM( tabSuperdettagli[[#This Row],[Proj. Type ]] ))</f>
        <v/>
      </c>
      <c r="G47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47" t="str">
        <f>IF(  TRIM(tabSuperdettagli[[#This Row],[Raggr. X Struttura]])&gt; "", TRIM(tabSuperdettagli[[#This Row],[Raggr. X Struttura]]), TRIM(tabSuperdettagli[[#This Row],[Resp DT]] ) )</f>
        <v>Gruppo struttura 1</v>
      </c>
      <c r="J47">
        <f>tabSuperdettagli[[#This Row],[Total]]</f>
        <v>5055</v>
      </c>
      <c r="K47">
        <f>tabSuperdettagli[[#This Row],[01.2025]]</f>
        <v>501</v>
      </c>
      <c r="L47">
        <f>tabSuperdettagli[[#This Row],[02.2025]]</f>
        <v>502</v>
      </c>
      <c r="M47">
        <f>tabSuperdettagli[[#This Row],[03.2025]]</f>
        <v>503</v>
      </c>
      <c r="N47">
        <f>tabSuperdettagli[[#This Row],[04.2025]]</f>
        <v>504</v>
      </c>
      <c r="O47">
        <f>tabSuperdettagli[[#This Row],[05.2025]]</f>
        <v>505</v>
      </c>
      <c r="P47">
        <f>tabSuperdettagli[[#This Row],[06.2025]]</f>
        <v>506</v>
      </c>
      <c r="Q47">
        <f>tabSuperdettagli[[#This Row],[07.2025]]</f>
        <v>507</v>
      </c>
      <c r="R47">
        <f>tabSuperdettagli[[#This Row],[08.2025]]</f>
        <v>508</v>
      </c>
      <c r="S47">
        <f>tabSuperdettagli[[#This Row],[09.2025]]</f>
        <v>509</v>
      </c>
      <c r="T47">
        <f>tabSuperdettagli[[#This Row],[10.2025]]</f>
        <v>510</v>
      </c>
      <c r="U47">
        <f>tabSuperdettagli[[#This Row],[11.2025]]</f>
        <v>0</v>
      </c>
      <c r="V47">
        <f>tabSuperdettagli[[#This Row],[12.2025]]</f>
        <v>0</v>
      </c>
      <c r="W47" t="str">
        <f>tabSuperdettagli[[#This Row],[INT/EST]]</f>
        <v>Int.</v>
      </c>
      <c r="X47" t="str">
        <f>tabSuperdettagli[[#This Row],[Resp 2°liv]]&amp;""</f>
        <v/>
      </c>
      <c r="Y47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47" t="str">
        <f>tabSuperdettagli[[#This Row],[WBS Element]]&amp;""</f>
        <v/>
      </c>
      <c r="AA47">
        <f>tabSuperdettagli[[#This Row],[09.2025]]</f>
        <v>509</v>
      </c>
      <c r="AC47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47" t="str">
        <f>LEFT(tabSuperdettagli[[#This Row],[Network]], 18 )</f>
        <v/>
      </c>
      <c r="AE47" t="s">
        <v>285</v>
      </c>
      <c r="AP47" t="s">
        <v>180</v>
      </c>
      <c r="AQ47" t="s">
        <v>298</v>
      </c>
      <c r="AV47" t="s">
        <v>293</v>
      </c>
      <c r="BJ47">
        <v>501</v>
      </c>
      <c r="BK47">
        <v>502</v>
      </c>
      <c r="BL47">
        <v>503</v>
      </c>
      <c r="BM47">
        <v>504</v>
      </c>
      <c r="BN47">
        <v>505</v>
      </c>
      <c r="BO47">
        <v>506</v>
      </c>
      <c r="BP47">
        <v>507</v>
      </c>
      <c r="BQ47">
        <v>508</v>
      </c>
      <c r="BR47">
        <v>509</v>
      </c>
      <c r="BS47">
        <v>510</v>
      </c>
      <c r="BV47">
        <v>5055</v>
      </c>
      <c r="BX47" s="122">
        <v>42138</v>
      </c>
      <c r="CB47" s="122">
        <v>42137</v>
      </c>
      <c r="CC47" s="122">
        <v>42177</v>
      </c>
    </row>
    <row r="48" spans="1:81" x14ac:dyDescent="0.25">
      <c r="A48" t="str">
        <f>IF(UPPER(LEFT(tabSuperdettagli[[#This Row],[WBE Status]],1))="S","sì","no")</f>
        <v>no</v>
      </c>
      <c r="B48">
        <v>2019</v>
      </c>
      <c r="C48" t="e">
        <f>VLOOKUP(tabSuperdettagli[[#This Row],[WBS_]],Pivot_AnnoPrimaMarcatura!A:B,2,FALSE)</f>
        <v>#N/A</v>
      </c>
      <c r="D48" t="str">
        <f>LEFT(tabSuperdettagli[[#This Row],[Network]], 10)</f>
        <v/>
      </c>
      <c r="E48" t="str">
        <f>LEFT(tabSuperdettagli[[#This Row],[Network]], 1)</f>
        <v/>
      </c>
      <c r="F48" t="str">
        <f>LOWER(TRIM( tabSuperdettagli[[#This Row],[Proj. Type ]] ))</f>
        <v/>
      </c>
      <c r="G48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48" t="str">
        <f>IF(  TRIM(tabSuperdettagli[[#This Row],[Raggr. X Struttura]])&gt; "", TRIM(tabSuperdettagli[[#This Row],[Raggr. X Struttura]]), TRIM(tabSuperdettagli[[#This Row],[Resp DT]] ) )</f>
        <v>Gruppo struttura 4</v>
      </c>
      <c r="J48">
        <f>tabSuperdettagli[[#This Row],[Total]]</f>
        <v>6055</v>
      </c>
      <c r="K48">
        <f>tabSuperdettagli[[#This Row],[01.2025]]</f>
        <v>601</v>
      </c>
      <c r="L48">
        <f>tabSuperdettagli[[#This Row],[02.2025]]</f>
        <v>602</v>
      </c>
      <c r="M48">
        <f>tabSuperdettagli[[#This Row],[03.2025]]</f>
        <v>603</v>
      </c>
      <c r="N48">
        <f>tabSuperdettagli[[#This Row],[04.2025]]</f>
        <v>604</v>
      </c>
      <c r="O48">
        <f>tabSuperdettagli[[#This Row],[05.2025]]</f>
        <v>605</v>
      </c>
      <c r="P48">
        <f>tabSuperdettagli[[#This Row],[06.2025]]</f>
        <v>606</v>
      </c>
      <c r="Q48">
        <f>tabSuperdettagli[[#This Row],[07.2025]]</f>
        <v>607</v>
      </c>
      <c r="R48">
        <f>tabSuperdettagli[[#This Row],[08.2025]]</f>
        <v>608</v>
      </c>
      <c r="S48">
        <f>tabSuperdettagli[[#This Row],[09.2025]]</f>
        <v>609</v>
      </c>
      <c r="T48">
        <f>tabSuperdettagli[[#This Row],[10.2025]]</f>
        <v>610</v>
      </c>
      <c r="U48">
        <f>tabSuperdettagli[[#This Row],[11.2025]]</f>
        <v>0</v>
      </c>
      <c r="V48">
        <f>tabSuperdettagli[[#This Row],[12.2025]]</f>
        <v>0</v>
      </c>
      <c r="W48" t="str">
        <f>tabSuperdettagli[[#This Row],[INT/EST]]</f>
        <v>Est.</v>
      </c>
      <c r="X48" t="str">
        <f>tabSuperdettagli[[#This Row],[Resp 2°liv]]&amp;""</f>
        <v/>
      </c>
      <c r="Y48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48" t="str">
        <f>tabSuperdettagli[[#This Row],[WBS Element]]&amp;""</f>
        <v/>
      </c>
      <c r="AA48">
        <f>tabSuperdettagli[[#This Row],[09.2025]]</f>
        <v>609</v>
      </c>
      <c r="AC48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48" t="str">
        <f>LEFT(tabSuperdettagli[[#This Row],[Network]], 18 )</f>
        <v/>
      </c>
      <c r="AE48" t="s">
        <v>285</v>
      </c>
      <c r="AP48" t="s">
        <v>292</v>
      </c>
      <c r="AQ48" t="s">
        <v>301</v>
      </c>
      <c r="AV48" t="s">
        <v>293</v>
      </c>
      <c r="BJ48">
        <v>601</v>
      </c>
      <c r="BK48">
        <v>602</v>
      </c>
      <c r="BL48">
        <v>603</v>
      </c>
      <c r="BM48">
        <v>604</v>
      </c>
      <c r="BN48">
        <v>605</v>
      </c>
      <c r="BO48">
        <v>606</v>
      </c>
      <c r="BP48">
        <v>607</v>
      </c>
      <c r="BQ48">
        <v>608</v>
      </c>
      <c r="BR48">
        <v>609</v>
      </c>
      <c r="BS48">
        <v>610</v>
      </c>
      <c r="BV48">
        <v>6055</v>
      </c>
      <c r="BX48" s="122">
        <v>42141</v>
      </c>
      <c r="CB48" s="122">
        <v>42140</v>
      </c>
      <c r="CC48" s="122">
        <v>42180</v>
      </c>
    </row>
    <row r="49" spans="1:81" x14ac:dyDescent="0.25">
      <c r="A49" t="str">
        <f>IF(UPPER(LEFT(tabSuperdettagli[[#This Row],[WBE Status]],1))="S","sì","no")</f>
        <v>no</v>
      </c>
      <c r="B49">
        <v>2019</v>
      </c>
      <c r="C49" t="e">
        <f>VLOOKUP(tabSuperdettagli[[#This Row],[WBS_]],Pivot_AnnoPrimaMarcatura!A:B,2,FALSE)</f>
        <v>#N/A</v>
      </c>
      <c r="D49" t="str">
        <f>LEFT(tabSuperdettagli[[#This Row],[Network]], 10)</f>
        <v/>
      </c>
      <c r="E49" t="str">
        <f>LEFT(tabSuperdettagli[[#This Row],[Network]], 1)</f>
        <v/>
      </c>
      <c r="F49" t="str">
        <f>LOWER(TRIM( tabSuperdettagli[[#This Row],[Proj. Type ]] ))</f>
        <v/>
      </c>
      <c r="G49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49" t="str">
        <f>IF(  TRIM(tabSuperdettagli[[#This Row],[Raggr. X Struttura]])&gt; "", TRIM(tabSuperdettagli[[#This Row],[Raggr. X Struttura]]), TRIM(tabSuperdettagli[[#This Row],[Resp DT]] ) )</f>
        <v>Gruppo struttura 4</v>
      </c>
      <c r="J49">
        <f>tabSuperdettagli[[#This Row],[Total]]</f>
        <v>55</v>
      </c>
      <c r="K49">
        <f>tabSuperdettagli[[#This Row],[01.2025]]</f>
        <v>1</v>
      </c>
      <c r="L49">
        <f>tabSuperdettagli[[#This Row],[02.2025]]</f>
        <v>2</v>
      </c>
      <c r="M49">
        <f>tabSuperdettagli[[#This Row],[03.2025]]</f>
        <v>3</v>
      </c>
      <c r="N49">
        <f>tabSuperdettagli[[#This Row],[04.2025]]</f>
        <v>4</v>
      </c>
      <c r="O49">
        <f>tabSuperdettagli[[#This Row],[05.2025]]</f>
        <v>5</v>
      </c>
      <c r="P49">
        <f>tabSuperdettagli[[#This Row],[06.2025]]</f>
        <v>6</v>
      </c>
      <c r="Q49">
        <f>tabSuperdettagli[[#This Row],[07.2025]]</f>
        <v>7</v>
      </c>
      <c r="R49">
        <f>tabSuperdettagli[[#This Row],[08.2025]]</f>
        <v>8</v>
      </c>
      <c r="S49">
        <f>tabSuperdettagli[[#This Row],[09.2025]]</f>
        <v>9</v>
      </c>
      <c r="T49">
        <f>tabSuperdettagli[[#This Row],[10.2025]]</f>
        <v>10</v>
      </c>
      <c r="U49">
        <f>tabSuperdettagli[[#This Row],[11.2025]]</f>
        <v>0</v>
      </c>
      <c r="V49">
        <f>tabSuperdettagli[[#This Row],[12.2025]]</f>
        <v>0</v>
      </c>
      <c r="W49" t="str">
        <f>tabSuperdettagli[[#This Row],[INT/EST]]</f>
        <v>Est.</v>
      </c>
      <c r="X49" t="str">
        <f>tabSuperdettagli[[#This Row],[Resp 2°liv]]&amp;""</f>
        <v/>
      </c>
      <c r="Y49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49" t="str">
        <f>tabSuperdettagli[[#This Row],[WBS Element]]&amp;""</f>
        <v/>
      </c>
      <c r="AA49">
        <f>tabSuperdettagli[[#This Row],[09.2025]]</f>
        <v>9</v>
      </c>
      <c r="AC49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49" t="str">
        <f>LEFT(tabSuperdettagli[[#This Row],[Network]], 18 )</f>
        <v/>
      </c>
      <c r="AE49" t="s">
        <v>285</v>
      </c>
      <c r="AP49" t="s">
        <v>292</v>
      </c>
      <c r="AQ49" t="s">
        <v>301</v>
      </c>
      <c r="AV49" t="s">
        <v>293</v>
      </c>
      <c r="BJ49">
        <v>1</v>
      </c>
      <c r="BK49">
        <v>2</v>
      </c>
      <c r="BL49">
        <v>3</v>
      </c>
      <c r="BM49">
        <v>4</v>
      </c>
      <c r="BN49">
        <v>5</v>
      </c>
      <c r="BO49">
        <v>6</v>
      </c>
      <c r="BP49">
        <v>7</v>
      </c>
      <c r="BQ49">
        <v>8</v>
      </c>
      <c r="BR49">
        <v>9</v>
      </c>
      <c r="BS49">
        <v>10</v>
      </c>
      <c r="BV49">
        <v>55</v>
      </c>
      <c r="BX49" s="122">
        <v>42144</v>
      </c>
      <c r="CB49" s="122">
        <v>42143</v>
      </c>
      <c r="CC49" s="122">
        <v>42183</v>
      </c>
    </row>
    <row r="50" spans="1:81" x14ac:dyDescent="0.25">
      <c r="A50" t="str">
        <f>IF(UPPER(LEFT(tabSuperdettagli[[#This Row],[WBE Status]],1))="S","sì","no")</f>
        <v>no</v>
      </c>
      <c r="B50">
        <v>2019</v>
      </c>
      <c r="C50" t="e">
        <f>VLOOKUP(tabSuperdettagli[[#This Row],[WBS_]],Pivot_AnnoPrimaMarcatura!A:B,2,FALSE)</f>
        <v>#N/A</v>
      </c>
      <c r="D50" t="str">
        <f>LEFT(tabSuperdettagli[[#This Row],[Network]], 10)</f>
        <v/>
      </c>
      <c r="E50" t="str">
        <f>LEFT(tabSuperdettagli[[#This Row],[Network]], 1)</f>
        <v/>
      </c>
      <c r="F50" t="str">
        <f>LOWER(TRIM( tabSuperdettagli[[#This Row],[Proj. Type ]] ))</f>
        <v/>
      </c>
      <c r="G50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50" t="str">
        <f>IF(  TRIM(tabSuperdettagli[[#This Row],[Raggr. X Struttura]])&gt; "", TRIM(tabSuperdettagli[[#This Row],[Raggr. X Struttura]]), TRIM(tabSuperdettagli[[#This Row],[Resp DT]] ) )</f>
        <v>Gruppo struttura 3</v>
      </c>
      <c r="J50">
        <f>tabSuperdettagli[[#This Row],[Total]]</f>
        <v>1055</v>
      </c>
      <c r="K50">
        <f>tabSuperdettagli[[#This Row],[01.2025]]</f>
        <v>101</v>
      </c>
      <c r="L50">
        <f>tabSuperdettagli[[#This Row],[02.2025]]</f>
        <v>102</v>
      </c>
      <c r="M50">
        <f>tabSuperdettagli[[#This Row],[03.2025]]</f>
        <v>103</v>
      </c>
      <c r="N50">
        <f>tabSuperdettagli[[#This Row],[04.2025]]</f>
        <v>104</v>
      </c>
      <c r="O50">
        <f>tabSuperdettagli[[#This Row],[05.2025]]</f>
        <v>105</v>
      </c>
      <c r="P50">
        <f>tabSuperdettagli[[#This Row],[06.2025]]</f>
        <v>106</v>
      </c>
      <c r="Q50">
        <f>tabSuperdettagli[[#This Row],[07.2025]]</f>
        <v>107</v>
      </c>
      <c r="R50">
        <f>tabSuperdettagli[[#This Row],[08.2025]]</f>
        <v>108</v>
      </c>
      <c r="S50">
        <f>tabSuperdettagli[[#This Row],[09.2025]]</f>
        <v>109</v>
      </c>
      <c r="T50">
        <f>tabSuperdettagli[[#This Row],[10.2025]]</f>
        <v>110</v>
      </c>
      <c r="U50">
        <f>tabSuperdettagli[[#This Row],[11.2025]]</f>
        <v>0</v>
      </c>
      <c r="V50">
        <f>tabSuperdettagli[[#This Row],[12.2025]]</f>
        <v>0</v>
      </c>
      <c r="W50" t="str">
        <f>tabSuperdettagli[[#This Row],[INT/EST]]</f>
        <v>Est.</v>
      </c>
      <c r="X50" t="str">
        <f>tabSuperdettagli[[#This Row],[Resp 2°liv]]&amp;""</f>
        <v/>
      </c>
      <c r="Y50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50" t="str">
        <f>tabSuperdettagli[[#This Row],[WBS Element]]&amp;""</f>
        <v/>
      </c>
      <c r="AA50">
        <f>tabSuperdettagli[[#This Row],[09.2025]]</f>
        <v>109</v>
      </c>
      <c r="AC50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50" t="str">
        <f>LEFT(tabSuperdettagli[[#This Row],[Network]], 18 )</f>
        <v/>
      </c>
      <c r="AE50" t="s">
        <v>285</v>
      </c>
      <c r="AP50" t="s">
        <v>292</v>
      </c>
      <c r="AQ50" t="s">
        <v>300</v>
      </c>
      <c r="AV50" t="s">
        <v>295</v>
      </c>
      <c r="BJ50">
        <v>101</v>
      </c>
      <c r="BK50">
        <v>102</v>
      </c>
      <c r="BL50">
        <v>103</v>
      </c>
      <c r="BM50">
        <v>104</v>
      </c>
      <c r="BN50">
        <v>105</v>
      </c>
      <c r="BO50">
        <v>106</v>
      </c>
      <c r="BP50">
        <v>107</v>
      </c>
      <c r="BQ50">
        <v>108</v>
      </c>
      <c r="BR50">
        <v>109</v>
      </c>
      <c r="BS50">
        <v>110</v>
      </c>
      <c r="BV50">
        <v>1055</v>
      </c>
      <c r="BX50" s="122">
        <v>42147</v>
      </c>
      <c r="CB50" s="122">
        <v>42146</v>
      </c>
      <c r="CC50" s="122">
        <v>42186</v>
      </c>
    </row>
    <row r="51" spans="1:81" x14ac:dyDescent="0.25">
      <c r="A51" t="str">
        <f>IF(UPPER(LEFT(tabSuperdettagli[[#This Row],[WBE Status]],1))="S","sì","no")</f>
        <v>no</v>
      </c>
      <c r="B51">
        <v>2019</v>
      </c>
      <c r="C51" t="e">
        <f>VLOOKUP(tabSuperdettagli[[#This Row],[WBS_]],Pivot_AnnoPrimaMarcatura!A:B,2,FALSE)</f>
        <v>#N/A</v>
      </c>
      <c r="D51" t="str">
        <f>LEFT(tabSuperdettagli[[#This Row],[Network]], 10)</f>
        <v/>
      </c>
      <c r="E51" t="str">
        <f>LEFT(tabSuperdettagli[[#This Row],[Network]], 1)</f>
        <v/>
      </c>
      <c r="F51" t="str">
        <f>LOWER(TRIM( tabSuperdettagli[[#This Row],[Proj. Type ]] ))</f>
        <v/>
      </c>
      <c r="G51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51" t="str">
        <f>IF(  TRIM(tabSuperdettagli[[#This Row],[Raggr. X Struttura]])&gt; "", TRIM(tabSuperdettagli[[#This Row],[Raggr. X Struttura]]), TRIM(tabSuperdettagli[[#This Row],[Resp DT]] ) )</f>
        <v>Gruppo struttura 3</v>
      </c>
      <c r="J51">
        <f>tabSuperdettagli[[#This Row],[Total]]</f>
        <v>2055</v>
      </c>
      <c r="K51">
        <f>tabSuperdettagli[[#This Row],[01.2025]]</f>
        <v>201</v>
      </c>
      <c r="L51">
        <f>tabSuperdettagli[[#This Row],[02.2025]]</f>
        <v>202</v>
      </c>
      <c r="M51">
        <f>tabSuperdettagli[[#This Row],[03.2025]]</f>
        <v>203</v>
      </c>
      <c r="N51">
        <f>tabSuperdettagli[[#This Row],[04.2025]]</f>
        <v>204</v>
      </c>
      <c r="O51">
        <f>tabSuperdettagli[[#This Row],[05.2025]]</f>
        <v>205</v>
      </c>
      <c r="P51">
        <f>tabSuperdettagli[[#This Row],[06.2025]]</f>
        <v>206</v>
      </c>
      <c r="Q51">
        <f>tabSuperdettagli[[#This Row],[07.2025]]</f>
        <v>207</v>
      </c>
      <c r="R51">
        <f>tabSuperdettagli[[#This Row],[08.2025]]</f>
        <v>208</v>
      </c>
      <c r="S51">
        <f>tabSuperdettagli[[#This Row],[09.2025]]</f>
        <v>209</v>
      </c>
      <c r="T51">
        <f>tabSuperdettagli[[#This Row],[10.2025]]</f>
        <v>210</v>
      </c>
      <c r="U51">
        <f>tabSuperdettagli[[#This Row],[11.2025]]</f>
        <v>0</v>
      </c>
      <c r="V51">
        <f>tabSuperdettagli[[#This Row],[12.2025]]</f>
        <v>0</v>
      </c>
      <c r="W51" t="str">
        <f>tabSuperdettagli[[#This Row],[INT/EST]]</f>
        <v>Est.</v>
      </c>
      <c r="X51" t="str">
        <f>tabSuperdettagli[[#This Row],[Resp 2°liv]]&amp;""</f>
        <v/>
      </c>
      <c r="Y51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51" t="str">
        <f>tabSuperdettagli[[#This Row],[WBS Element]]&amp;""</f>
        <v/>
      </c>
      <c r="AA51">
        <f>tabSuperdettagli[[#This Row],[09.2025]]</f>
        <v>209</v>
      </c>
      <c r="AC51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51" t="str">
        <f>LEFT(tabSuperdettagli[[#This Row],[Network]], 18 )</f>
        <v/>
      </c>
      <c r="AE51" t="s">
        <v>285</v>
      </c>
      <c r="AP51" t="s">
        <v>292</v>
      </c>
      <c r="AQ51" t="s">
        <v>300</v>
      </c>
      <c r="AV51" t="s">
        <v>293</v>
      </c>
      <c r="BJ51">
        <v>201</v>
      </c>
      <c r="BK51">
        <v>202</v>
      </c>
      <c r="BL51">
        <v>203</v>
      </c>
      <c r="BM51">
        <v>204</v>
      </c>
      <c r="BN51">
        <v>205</v>
      </c>
      <c r="BO51">
        <v>206</v>
      </c>
      <c r="BP51">
        <v>207</v>
      </c>
      <c r="BQ51">
        <v>208</v>
      </c>
      <c r="BR51">
        <v>209</v>
      </c>
      <c r="BS51">
        <v>210</v>
      </c>
      <c r="BV51">
        <v>2055</v>
      </c>
      <c r="BX51" s="122">
        <v>42150</v>
      </c>
      <c r="CB51" s="122">
        <v>42149</v>
      </c>
      <c r="CC51" s="122">
        <v>42189</v>
      </c>
    </row>
    <row r="52" spans="1:81" x14ac:dyDescent="0.25">
      <c r="A52" t="str">
        <f>IF(UPPER(LEFT(tabSuperdettagli[[#This Row],[WBE Status]],1))="S","sì","no")</f>
        <v>no</v>
      </c>
      <c r="B52">
        <v>2019</v>
      </c>
      <c r="C52" t="e">
        <f>VLOOKUP(tabSuperdettagli[[#This Row],[WBS_]],Pivot_AnnoPrimaMarcatura!A:B,2,FALSE)</f>
        <v>#N/A</v>
      </c>
      <c r="D52" t="str">
        <f>LEFT(tabSuperdettagli[[#This Row],[Network]], 10)</f>
        <v/>
      </c>
      <c r="E52" t="str">
        <f>LEFT(tabSuperdettagli[[#This Row],[Network]], 1)</f>
        <v/>
      </c>
      <c r="F52" t="str">
        <f>LOWER(TRIM( tabSuperdettagli[[#This Row],[Proj. Type ]] ))</f>
        <v/>
      </c>
      <c r="G52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52" t="str">
        <f>IF(  TRIM(tabSuperdettagli[[#This Row],[Raggr. X Struttura]])&gt; "", TRIM(tabSuperdettagli[[#This Row],[Raggr. X Struttura]]), TRIM(tabSuperdettagli[[#This Row],[Resp DT]] ) )</f>
        <v>Gruppo struttura 3</v>
      </c>
      <c r="J52">
        <f>tabSuperdettagli[[#This Row],[Total]]</f>
        <v>3055</v>
      </c>
      <c r="K52">
        <f>tabSuperdettagli[[#This Row],[01.2025]]</f>
        <v>301</v>
      </c>
      <c r="L52">
        <f>tabSuperdettagli[[#This Row],[02.2025]]</f>
        <v>302</v>
      </c>
      <c r="M52">
        <f>tabSuperdettagli[[#This Row],[03.2025]]</f>
        <v>303</v>
      </c>
      <c r="N52">
        <f>tabSuperdettagli[[#This Row],[04.2025]]</f>
        <v>304</v>
      </c>
      <c r="O52">
        <f>tabSuperdettagli[[#This Row],[05.2025]]</f>
        <v>305</v>
      </c>
      <c r="P52">
        <f>tabSuperdettagli[[#This Row],[06.2025]]</f>
        <v>306</v>
      </c>
      <c r="Q52">
        <f>tabSuperdettagli[[#This Row],[07.2025]]</f>
        <v>307</v>
      </c>
      <c r="R52">
        <f>tabSuperdettagli[[#This Row],[08.2025]]</f>
        <v>308</v>
      </c>
      <c r="S52">
        <f>tabSuperdettagli[[#This Row],[09.2025]]</f>
        <v>309</v>
      </c>
      <c r="T52">
        <f>tabSuperdettagli[[#This Row],[10.2025]]</f>
        <v>310</v>
      </c>
      <c r="U52">
        <f>tabSuperdettagli[[#This Row],[11.2025]]</f>
        <v>0</v>
      </c>
      <c r="V52">
        <f>tabSuperdettagli[[#This Row],[12.2025]]</f>
        <v>0</v>
      </c>
      <c r="W52" t="str">
        <f>tabSuperdettagli[[#This Row],[INT/EST]]</f>
        <v>Est.</v>
      </c>
      <c r="X52" t="str">
        <f>tabSuperdettagli[[#This Row],[Resp 2°liv]]&amp;""</f>
        <v/>
      </c>
      <c r="Y52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52" t="str">
        <f>tabSuperdettagli[[#This Row],[WBS Element]]&amp;""</f>
        <v/>
      </c>
      <c r="AA52">
        <f>tabSuperdettagli[[#This Row],[09.2025]]</f>
        <v>309</v>
      </c>
      <c r="AC52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52" t="str">
        <f>LEFT(tabSuperdettagli[[#This Row],[Network]], 18 )</f>
        <v/>
      </c>
      <c r="AE52" t="s">
        <v>285</v>
      </c>
      <c r="AP52" t="s">
        <v>292</v>
      </c>
      <c r="AQ52" t="s">
        <v>300</v>
      </c>
      <c r="AV52" t="s">
        <v>294</v>
      </c>
      <c r="BJ52">
        <v>301</v>
      </c>
      <c r="BK52">
        <v>302</v>
      </c>
      <c r="BL52">
        <v>303</v>
      </c>
      <c r="BM52">
        <v>304</v>
      </c>
      <c r="BN52">
        <v>305</v>
      </c>
      <c r="BO52">
        <v>306</v>
      </c>
      <c r="BP52">
        <v>307</v>
      </c>
      <c r="BQ52">
        <v>308</v>
      </c>
      <c r="BR52">
        <v>309</v>
      </c>
      <c r="BS52">
        <v>310</v>
      </c>
      <c r="BV52">
        <v>3055</v>
      </c>
      <c r="BX52" s="122">
        <v>42153</v>
      </c>
      <c r="CB52" s="122">
        <v>42152</v>
      </c>
      <c r="CC52" s="122">
        <v>42192</v>
      </c>
    </row>
    <row r="53" spans="1:81" x14ac:dyDescent="0.25">
      <c r="A53" t="str">
        <f>IF(UPPER(LEFT(tabSuperdettagli[[#This Row],[WBE Status]],1))="S","sì","no")</f>
        <v>no</v>
      </c>
      <c r="B53">
        <v>2020</v>
      </c>
      <c r="C53" t="e">
        <f>VLOOKUP(tabSuperdettagli[[#This Row],[WBS_]],Pivot_AnnoPrimaMarcatura!A:B,2,FALSE)</f>
        <v>#N/A</v>
      </c>
      <c r="D53" t="str">
        <f>LEFT(tabSuperdettagli[[#This Row],[Network]], 10)</f>
        <v/>
      </c>
      <c r="E53" t="str">
        <f>LEFT(tabSuperdettagli[[#This Row],[Network]], 1)</f>
        <v/>
      </c>
      <c r="F53" t="str">
        <f>LOWER(TRIM( tabSuperdettagli[[#This Row],[Proj. Type ]] ))</f>
        <v/>
      </c>
      <c r="G53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53" t="str">
        <f>IF(  TRIM(tabSuperdettagli[[#This Row],[Raggr. X Struttura]])&gt; "", TRIM(tabSuperdettagli[[#This Row],[Raggr. X Struttura]]), TRIM(tabSuperdettagli[[#This Row],[Resp DT]] ) )</f>
        <v>Gruppo struttura 5</v>
      </c>
      <c r="J53">
        <f>tabSuperdettagli[[#This Row],[Total]]</f>
        <v>4055</v>
      </c>
      <c r="K53">
        <f>tabSuperdettagli[[#This Row],[01.2025]]</f>
        <v>401</v>
      </c>
      <c r="L53">
        <f>tabSuperdettagli[[#This Row],[02.2025]]</f>
        <v>402</v>
      </c>
      <c r="M53">
        <f>tabSuperdettagli[[#This Row],[03.2025]]</f>
        <v>403</v>
      </c>
      <c r="N53">
        <f>tabSuperdettagli[[#This Row],[04.2025]]</f>
        <v>404</v>
      </c>
      <c r="O53">
        <f>tabSuperdettagli[[#This Row],[05.2025]]</f>
        <v>405</v>
      </c>
      <c r="P53">
        <f>tabSuperdettagli[[#This Row],[06.2025]]</f>
        <v>406</v>
      </c>
      <c r="Q53">
        <f>tabSuperdettagli[[#This Row],[07.2025]]</f>
        <v>407</v>
      </c>
      <c r="R53">
        <f>tabSuperdettagli[[#This Row],[08.2025]]</f>
        <v>408</v>
      </c>
      <c r="S53">
        <f>tabSuperdettagli[[#This Row],[09.2025]]</f>
        <v>409</v>
      </c>
      <c r="T53">
        <f>tabSuperdettagli[[#This Row],[10.2025]]</f>
        <v>410</v>
      </c>
      <c r="U53">
        <f>tabSuperdettagli[[#This Row],[11.2025]]</f>
        <v>0</v>
      </c>
      <c r="V53">
        <f>tabSuperdettagli[[#This Row],[12.2025]]</f>
        <v>0</v>
      </c>
      <c r="W53" t="str">
        <f>tabSuperdettagli[[#This Row],[INT/EST]]</f>
        <v>Int.</v>
      </c>
      <c r="X53" t="str">
        <f>tabSuperdettagli[[#This Row],[Resp 2°liv]]&amp;""</f>
        <v/>
      </c>
      <c r="Y53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53" t="str">
        <f>tabSuperdettagli[[#This Row],[WBS Element]]&amp;""</f>
        <v/>
      </c>
      <c r="AA53">
        <f>tabSuperdettagli[[#This Row],[09.2025]]</f>
        <v>409</v>
      </c>
      <c r="AC53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53" t="str">
        <f>LEFT(tabSuperdettagli[[#This Row],[Network]], 18 )</f>
        <v/>
      </c>
      <c r="AE53" t="s">
        <v>286</v>
      </c>
      <c r="AP53" t="s">
        <v>180</v>
      </c>
      <c r="AQ53" t="s">
        <v>302</v>
      </c>
      <c r="AV53" t="s">
        <v>296</v>
      </c>
      <c r="BJ53">
        <v>401</v>
      </c>
      <c r="BK53">
        <v>402</v>
      </c>
      <c r="BL53">
        <v>403</v>
      </c>
      <c r="BM53">
        <v>404</v>
      </c>
      <c r="BN53">
        <v>405</v>
      </c>
      <c r="BO53">
        <v>406</v>
      </c>
      <c r="BP53">
        <v>407</v>
      </c>
      <c r="BQ53">
        <v>408</v>
      </c>
      <c r="BR53">
        <v>409</v>
      </c>
      <c r="BS53">
        <v>410</v>
      </c>
      <c r="BV53">
        <v>4055</v>
      </c>
      <c r="BX53" s="122">
        <v>42156</v>
      </c>
      <c r="CB53" s="122">
        <v>42155</v>
      </c>
      <c r="CC53" s="122">
        <v>42195</v>
      </c>
    </row>
    <row r="54" spans="1:81" x14ac:dyDescent="0.25">
      <c r="A54" t="str">
        <f>IF(UPPER(LEFT(tabSuperdettagli[[#This Row],[WBE Status]],1))="S","sì","no")</f>
        <v>no</v>
      </c>
      <c r="B54">
        <v>2020</v>
      </c>
      <c r="C54" t="e">
        <f>VLOOKUP(tabSuperdettagli[[#This Row],[WBS_]],Pivot_AnnoPrimaMarcatura!A:B,2,FALSE)</f>
        <v>#N/A</v>
      </c>
      <c r="D54" t="str">
        <f>LEFT(tabSuperdettagli[[#This Row],[Network]], 10)</f>
        <v/>
      </c>
      <c r="E54" t="str">
        <f>LEFT(tabSuperdettagli[[#This Row],[Network]], 1)</f>
        <v/>
      </c>
      <c r="F54" t="str">
        <f>LOWER(TRIM( tabSuperdettagli[[#This Row],[Proj. Type ]] ))</f>
        <v/>
      </c>
      <c r="G54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54" t="str">
        <f>IF(  TRIM(tabSuperdettagli[[#This Row],[Raggr. X Struttura]])&gt; "", TRIM(tabSuperdettagli[[#This Row],[Raggr. X Struttura]]), TRIM(tabSuperdettagli[[#This Row],[Resp DT]] ) )</f>
        <v>Responsabile D</v>
      </c>
      <c r="J54">
        <f>tabSuperdettagli[[#This Row],[Total]]</f>
        <v>5055</v>
      </c>
      <c r="K54">
        <f>tabSuperdettagli[[#This Row],[01.2025]]</f>
        <v>501</v>
      </c>
      <c r="L54">
        <f>tabSuperdettagli[[#This Row],[02.2025]]</f>
        <v>502</v>
      </c>
      <c r="M54">
        <f>tabSuperdettagli[[#This Row],[03.2025]]</f>
        <v>503</v>
      </c>
      <c r="N54">
        <f>tabSuperdettagli[[#This Row],[04.2025]]</f>
        <v>504</v>
      </c>
      <c r="O54">
        <f>tabSuperdettagli[[#This Row],[05.2025]]</f>
        <v>505</v>
      </c>
      <c r="P54">
        <f>tabSuperdettagli[[#This Row],[06.2025]]</f>
        <v>506</v>
      </c>
      <c r="Q54">
        <f>tabSuperdettagli[[#This Row],[07.2025]]</f>
        <v>507</v>
      </c>
      <c r="R54">
        <f>tabSuperdettagli[[#This Row],[08.2025]]</f>
        <v>508</v>
      </c>
      <c r="S54">
        <f>tabSuperdettagli[[#This Row],[09.2025]]</f>
        <v>509</v>
      </c>
      <c r="T54">
        <f>tabSuperdettagli[[#This Row],[10.2025]]</f>
        <v>510</v>
      </c>
      <c r="U54">
        <f>tabSuperdettagli[[#This Row],[11.2025]]</f>
        <v>0</v>
      </c>
      <c r="V54">
        <f>tabSuperdettagli[[#This Row],[12.2025]]</f>
        <v>0</v>
      </c>
      <c r="W54" t="str">
        <f>tabSuperdettagli[[#This Row],[INT/EST]]</f>
        <v>Est.</v>
      </c>
      <c r="X54" t="str">
        <f>tabSuperdettagli[[#This Row],[Resp 2°liv]]&amp;""</f>
        <v/>
      </c>
      <c r="Y54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54" t="str">
        <f>tabSuperdettagli[[#This Row],[WBS Element]]&amp;""</f>
        <v/>
      </c>
      <c r="AA54">
        <f>tabSuperdettagli[[#This Row],[09.2025]]</f>
        <v>509</v>
      </c>
      <c r="AC54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54" t="str">
        <f>LEFT(tabSuperdettagli[[#This Row],[Network]], 18 )</f>
        <v/>
      </c>
      <c r="AE54" t="s">
        <v>286</v>
      </c>
      <c r="AP54" t="s">
        <v>292</v>
      </c>
      <c r="AV54" t="s">
        <v>296</v>
      </c>
      <c r="BJ54">
        <v>501</v>
      </c>
      <c r="BK54">
        <v>502</v>
      </c>
      <c r="BL54">
        <v>503</v>
      </c>
      <c r="BM54">
        <v>504</v>
      </c>
      <c r="BN54">
        <v>505</v>
      </c>
      <c r="BO54">
        <v>506</v>
      </c>
      <c r="BP54">
        <v>507</v>
      </c>
      <c r="BQ54">
        <v>508</v>
      </c>
      <c r="BR54">
        <v>509</v>
      </c>
      <c r="BS54">
        <v>510</v>
      </c>
      <c r="BV54">
        <v>5055</v>
      </c>
      <c r="BX54" s="122">
        <v>42159</v>
      </c>
      <c r="CB54" s="122">
        <v>42158</v>
      </c>
      <c r="CC54" s="122">
        <v>42198</v>
      </c>
    </row>
    <row r="55" spans="1:81" x14ac:dyDescent="0.25">
      <c r="A55" t="str">
        <f>IF(UPPER(LEFT(tabSuperdettagli[[#This Row],[WBE Status]],1))="S","sì","no")</f>
        <v>no</v>
      </c>
      <c r="B55">
        <v>2020</v>
      </c>
      <c r="C55" t="e">
        <f>VLOOKUP(tabSuperdettagli[[#This Row],[WBS_]],Pivot_AnnoPrimaMarcatura!A:B,2,FALSE)</f>
        <v>#N/A</v>
      </c>
      <c r="D55" t="str">
        <f>LEFT(tabSuperdettagli[[#This Row],[Network]], 10)</f>
        <v/>
      </c>
      <c r="E55" t="str">
        <f>LEFT(tabSuperdettagli[[#This Row],[Network]], 1)</f>
        <v/>
      </c>
      <c r="F55" t="str">
        <f>LOWER(TRIM( tabSuperdettagli[[#This Row],[Proj. Type ]] ))</f>
        <v/>
      </c>
      <c r="G55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55" t="str">
        <f>IF(  TRIM(tabSuperdettagli[[#This Row],[Raggr. X Struttura]])&gt; "", TRIM(tabSuperdettagli[[#This Row],[Raggr. X Struttura]]), TRIM(tabSuperdettagli[[#This Row],[Resp DT]] ) )</f>
        <v>Responsabile A</v>
      </c>
      <c r="J55">
        <f>tabSuperdettagli[[#This Row],[Total]]</f>
        <v>55</v>
      </c>
      <c r="K55">
        <f>tabSuperdettagli[[#This Row],[01.2025]]</f>
        <v>1</v>
      </c>
      <c r="L55">
        <f>tabSuperdettagli[[#This Row],[02.2025]]</f>
        <v>2</v>
      </c>
      <c r="M55">
        <f>tabSuperdettagli[[#This Row],[03.2025]]</f>
        <v>3</v>
      </c>
      <c r="N55">
        <f>tabSuperdettagli[[#This Row],[04.2025]]</f>
        <v>4</v>
      </c>
      <c r="O55">
        <f>tabSuperdettagli[[#This Row],[05.2025]]</f>
        <v>5</v>
      </c>
      <c r="P55">
        <f>tabSuperdettagli[[#This Row],[06.2025]]</f>
        <v>6</v>
      </c>
      <c r="Q55">
        <f>tabSuperdettagli[[#This Row],[07.2025]]</f>
        <v>7</v>
      </c>
      <c r="R55">
        <f>tabSuperdettagli[[#This Row],[08.2025]]</f>
        <v>8</v>
      </c>
      <c r="S55">
        <f>tabSuperdettagli[[#This Row],[09.2025]]</f>
        <v>9</v>
      </c>
      <c r="T55">
        <f>tabSuperdettagli[[#This Row],[10.2025]]</f>
        <v>10</v>
      </c>
      <c r="U55">
        <f>tabSuperdettagli[[#This Row],[11.2025]]</f>
        <v>0</v>
      </c>
      <c r="V55">
        <f>tabSuperdettagli[[#This Row],[12.2025]]</f>
        <v>0</v>
      </c>
      <c r="W55" t="str">
        <f>tabSuperdettagli[[#This Row],[INT/EST]]</f>
        <v>Est.</v>
      </c>
      <c r="X55" t="str">
        <f>tabSuperdettagli[[#This Row],[Resp 2°liv]]&amp;""</f>
        <v/>
      </c>
      <c r="Y55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55" t="str">
        <f>tabSuperdettagli[[#This Row],[WBS Element]]&amp;""</f>
        <v/>
      </c>
      <c r="AA55">
        <f>tabSuperdettagli[[#This Row],[09.2025]]</f>
        <v>9</v>
      </c>
      <c r="AC55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55" t="str">
        <f>LEFT(tabSuperdettagli[[#This Row],[Network]], 18 )</f>
        <v/>
      </c>
      <c r="AE55" t="s">
        <v>286</v>
      </c>
      <c r="AP55" t="s">
        <v>292</v>
      </c>
      <c r="AV55" t="s">
        <v>293</v>
      </c>
      <c r="BJ55">
        <v>1</v>
      </c>
      <c r="BK55">
        <v>2</v>
      </c>
      <c r="BL55">
        <v>3</v>
      </c>
      <c r="BM55">
        <v>4</v>
      </c>
      <c r="BN55">
        <v>5</v>
      </c>
      <c r="BO55">
        <v>6</v>
      </c>
      <c r="BP55">
        <v>7</v>
      </c>
      <c r="BQ55">
        <v>8</v>
      </c>
      <c r="BR55">
        <v>9</v>
      </c>
      <c r="BS55">
        <v>10</v>
      </c>
      <c r="BV55">
        <v>55</v>
      </c>
      <c r="BX55" s="122">
        <v>42162</v>
      </c>
      <c r="CB55" s="122">
        <v>42161</v>
      </c>
      <c r="CC55" s="122">
        <v>42201</v>
      </c>
    </row>
    <row r="56" spans="1:81" x14ac:dyDescent="0.25">
      <c r="A56" t="str">
        <f>IF(UPPER(LEFT(tabSuperdettagli[[#This Row],[WBE Status]],1))="S","sì","no")</f>
        <v>no</v>
      </c>
      <c r="B56">
        <v>2020</v>
      </c>
      <c r="C56" t="e">
        <f>VLOOKUP(tabSuperdettagli[[#This Row],[WBS_]],Pivot_AnnoPrimaMarcatura!A:B,2,FALSE)</f>
        <v>#N/A</v>
      </c>
      <c r="D56" t="str">
        <f>LEFT(tabSuperdettagli[[#This Row],[Network]], 10)</f>
        <v/>
      </c>
      <c r="E56" t="str">
        <f>LEFT(tabSuperdettagli[[#This Row],[Network]], 1)</f>
        <v/>
      </c>
      <c r="F56" t="str">
        <f>LOWER(TRIM( tabSuperdettagli[[#This Row],[Proj. Type ]] ))</f>
        <v/>
      </c>
      <c r="G56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56" t="str">
        <f>IF(  TRIM(tabSuperdettagli[[#This Row],[Raggr. X Struttura]])&gt; "", TRIM(tabSuperdettagli[[#This Row],[Raggr. X Struttura]]), TRIM(tabSuperdettagli[[#This Row],[Resp DT]] ) )</f>
        <v>Responsabile A</v>
      </c>
      <c r="J56">
        <f>tabSuperdettagli[[#This Row],[Total]]</f>
        <v>1055</v>
      </c>
      <c r="K56">
        <f>tabSuperdettagli[[#This Row],[01.2025]]</f>
        <v>101</v>
      </c>
      <c r="L56">
        <f>tabSuperdettagli[[#This Row],[02.2025]]</f>
        <v>102</v>
      </c>
      <c r="M56">
        <f>tabSuperdettagli[[#This Row],[03.2025]]</f>
        <v>103</v>
      </c>
      <c r="N56">
        <f>tabSuperdettagli[[#This Row],[04.2025]]</f>
        <v>104</v>
      </c>
      <c r="O56">
        <f>tabSuperdettagli[[#This Row],[05.2025]]</f>
        <v>105</v>
      </c>
      <c r="P56">
        <f>tabSuperdettagli[[#This Row],[06.2025]]</f>
        <v>106</v>
      </c>
      <c r="Q56">
        <f>tabSuperdettagli[[#This Row],[07.2025]]</f>
        <v>107</v>
      </c>
      <c r="R56">
        <f>tabSuperdettagli[[#This Row],[08.2025]]</f>
        <v>108</v>
      </c>
      <c r="S56">
        <f>tabSuperdettagli[[#This Row],[09.2025]]</f>
        <v>109</v>
      </c>
      <c r="T56">
        <f>tabSuperdettagli[[#This Row],[10.2025]]</f>
        <v>110</v>
      </c>
      <c r="U56">
        <f>tabSuperdettagli[[#This Row],[11.2025]]</f>
        <v>0</v>
      </c>
      <c r="V56">
        <f>tabSuperdettagli[[#This Row],[12.2025]]</f>
        <v>0</v>
      </c>
      <c r="W56" t="str">
        <f>tabSuperdettagli[[#This Row],[INT/EST]]</f>
        <v>Est.</v>
      </c>
      <c r="X56" t="str">
        <f>tabSuperdettagli[[#This Row],[Resp 2°liv]]&amp;""</f>
        <v/>
      </c>
      <c r="Y56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56" t="str">
        <f>tabSuperdettagli[[#This Row],[WBS Element]]&amp;""</f>
        <v/>
      </c>
      <c r="AA56">
        <f>tabSuperdettagli[[#This Row],[09.2025]]</f>
        <v>109</v>
      </c>
      <c r="AC56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56" t="str">
        <f>LEFT(tabSuperdettagli[[#This Row],[Network]], 18 )</f>
        <v/>
      </c>
      <c r="AE56" t="s">
        <v>286</v>
      </c>
      <c r="AP56" t="s">
        <v>292</v>
      </c>
      <c r="AV56" t="s">
        <v>293</v>
      </c>
      <c r="BJ56">
        <v>101</v>
      </c>
      <c r="BK56">
        <v>102</v>
      </c>
      <c r="BL56">
        <v>103</v>
      </c>
      <c r="BM56">
        <v>104</v>
      </c>
      <c r="BN56">
        <v>105</v>
      </c>
      <c r="BO56">
        <v>106</v>
      </c>
      <c r="BP56">
        <v>107</v>
      </c>
      <c r="BQ56">
        <v>108</v>
      </c>
      <c r="BR56">
        <v>109</v>
      </c>
      <c r="BS56">
        <v>110</v>
      </c>
      <c r="BV56">
        <v>1055</v>
      </c>
      <c r="BX56" s="122">
        <v>42165</v>
      </c>
      <c r="CB56" s="122">
        <v>42164</v>
      </c>
      <c r="CC56" s="122">
        <v>42204</v>
      </c>
    </row>
    <row r="57" spans="1:81" x14ac:dyDescent="0.25">
      <c r="A57" t="str">
        <f>IF(UPPER(LEFT(tabSuperdettagli[[#This Row],[WBE Status]],1))="S","sì","no")</f>
        <v>no</v>
      </c>
      <c r="B57">
        <v>2020</v>
      </c>
      <c r="C57" t="e">
        <f>VLOOKUP(tabSuperdettagli[[#This Row],[WBS_]],Pivot_AnnoPrimaMarcatura!A:B,2,FALSE)</f>
        <v>#N/A</v>
      </c>
      <c r="D57" t="str">
        <f>LEFT(tabSuperdettagli[[#This Row],[Network]], 10)</f>
        <v/>
      </c>
      <c r="E57" t="str">
        <f>LEFT(tabSuperdettagli[[#This Row],[Network]], 1)</f>
        <v/>
      </c>
      <c r="F57" t="str">
        <f>LOWER(TRIM( tabSuperdettagli[[#This Row],[Proj. Type ]] ))</f>
        <v/>
      </c>
      <c r="G57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57" t="str">
        <f>IF(  TRIM(tabSuperdettagli[[#This Row],[Raggr. X Struttura]])&gt; "", TRIM(tabSuperdettagli[[#This Row],[Raggr. X Struttura]]), TRIM(tabSuperdettagli[[#This Row],[Resp DT]] ) )</f>
        <v>Responsabile A</v>
      </c>
      <c r="J57">
        <f>tabSuperdettagli[[#This Row],[Total]]</f>
        <v>2055</v>
      </c>
      <c r="K57">
        <f>tabSuperdettagli[[#This Row],[01.2025]]</f>
        <v>201</v>
      </c>
      <c r="L57">
        <f>tabSuperdettagli[[#This Row],[02.2025]]</f>
        <v>202</v>
      </c>
      <c r="M57">
        <f>tabSuperdettagli[[#This Row],[03.2025]]</f>
        <v>203</v>
      </c>
      <c r="N57">
        <f>tabSuperdettagli[[#This Row],[04.2025]]</f>
        <v>204</v>
      </c>
      <c r="O57">
        <f>tabSuperdettagli[[#This Row],[05.2025]]</f>
        <v>205</v>
      </c>
      <c r="P57">
        <f>tabSuperdettagli[[#This Row],[06.2025]]</f>
        <v>206</v>
      </c>
      <c r="Q57">
        <f>tabSuperdettagli[[#This Row],[07.2025]]</f>
        <v>207</v>
      </c>
      <c r="R57">
        <f>tabSuperdettagli[[#This Row],[08.2025]]</f>
        <v>208</v>
      </c>
      <c r="S57">
        <f>tabSuperdettagli[[#This Row],[09.2025]]</f>
        <v>209</v>
      </c>
      <c r="T57">
        <f>tabSuperdettagli[[#This Row],[10.2025]]</f>
        <v>210</v>
      </c>
      <c r="U57">
        <f>tabSuperdettagli[[#This Row],[11.2025]]</f>
        <v>0</v>
      </c>
      <c r="V57">
        <f>tabSuperdettagli[[#This Row],[12.2025]]</f>
        <v>0</v>
      </c>
      <c r="W57" t="str">
        <f>tabSuperdettagli[[#This Row],[INT/EST]]</f>
        <v>Est.</v>
      </c>
      <c r="X57" t="str">
        <f>tabSuperdettagli[[#This Row],[Resp 2°liv]]&amp;""</f>
        <v/>
      </c>
      <c r="Y57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57" t="str">
        <f>tabSuperdettagli[[#This Row],[WBS Element]]&amp;""</f>
        <v/>
      </c>
      <c r="AA57">
        <f>tabSuperdettagli[[#This Row],[09.2025]]</f>
        <v>209</v>
      </c>
      <c r="AC57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57" t="str">
        <f>LEFT(tabSuperdettagli[[#This Row],[Network]], 18 )</f>
        <v/>
      </c>
      <c r="AE57" t="s">
        <v>286</v>
      </c>
      <c r="AP57" t="s">
        <v>292</v>
      </c>
      <c r="AV57" t="s">
        <v>293</v>
      </c>
      <c r="BJ57">
        <v>201</v>
      </c>
      <c r="BK57">
        <v>202</v>
      </c>
      <c r="BL57">
        <v>203</v>
      </c>
      <c r="BM57">
        <v>204</v>
      </c>
      <c r="BN57">
        <v>205</v>
      </c>
      <c r="BO57">
        <v>206</v>
      </c>
      <c r="BP57">
        <v>207</v>
      </c>
      <c r="BQ57">
        <v>208</v>
      </c>
      <c r="BR57">
        <v>209</v>
      </c>
      <c r="BS57">
        <v>210</v>
      </c>
      <c r="BV57">
        <v>2055</v>
      </c>
      <c r="BX57" s="122">
        <v>42168</v>
      </c>
      <c r="CB57" s="122">
        <v>42167</v>
      </c>
      <c r="CC57" s="122">
        <v>42207</v>
      </c>
    </row>
    <row r="58" spans="1:81" x14ac:dyDescent="0.25">
      <c r="A58" t="str">
        <f>IF(UPPER(LEFT(tabSuperdettagli[[#This Row],[WBE Status]],1))="S","sì","no")</f>
        <v>no</v>
      </c>
      <c r="B58">
        <v>2020</v>
      </c>
      <c r="C58" t="e">
        <f>VLOOKUP(tabSuperdettagli[[#This Row],[WBS_]],Pivot_AnnoPrimaMarcatura!A:B,2,FALSE)</f>
        <v>#N/A</v>
      </c>
      <c r="D58" t="str">
        <f>LEFT(tabSuperdettagli[[#This Row],[Network]], 10)</f>
        <v/>
      </c>
      <c r="E58" t="str">
        <f>LEFT(tabSuperdettagli[[#This Row],[Network]], 1)</f>
        <v/>
      </c>
      <c r="F58" t="str">
        <f>LOWER(TRIM( tabSuperdettagli[[#This Row],[Proj. Type ]] ))</f>
        <v/>
      </c>
      <c r="G58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58" t="str">
        <f>IF(  TRIM(tabSuperdettagli[[#This Row],[Raggr. X Struttura]])&gt; "", TRIM(tabSuperdettagli[[#This Row],[Raggr. X Struttura]]), TRIM(tabSuperdettagli[[#This Row],[Resp DT]] ) )</f>
        <v>Gruppo struttura 4</v>
      </c>
      <c r="J58">
        <f>tabSuperdettagli[[#This Row],[Total]]</f>
        <v>3055</v>
      </c>
      <c r="K58">
        <f>tabSuperdettagli[[#This Row],[01.2025]]</f>
        <v>301</v>
      </c>
      <c r="L58">
        <f>tabSuperdettagli[[#This Row],[02.2025]]</f>
        <v>302</v>
      </c>
      <c r="M58">
        <f>tabSuperdettagli[[#This Row],[03.2025]]</f>
        <v>303</v>
      </c>
      <c r="N58">
        <f>tabSuperdettagli[[#This Row],[04.2025]]</f>
        <v>304</v>
      </c>
      <c r="O58">
        <f>tabSuperdettagli[[#This Row],[05.2025]]</f>
        <v>305</v>
      </c>
      <c r="P58">
        <f>tabSuperdettagli[[#This Row],[06.2025]]</f>
        <v>306</v>
      </c>
      <c r="Q58">
        <f>tabSuperdettagli[[#This Row],[07.2025]]</f>
        <v>307</v>
      </c>
      <c r="R58">
        <f>tabSuperdettagli[[#This Row],[08.2025]]</f>
        <v>308</v>
      </c>
      <c r="S58">
        <f>tabSuperdettagli[[#This Row],[09.2025]]</f>
        <v>309</v>
      </c>
      <c r="T58">
        <f>tabSuperdettagli[[#This Row],[10.2025]]</f>
        <v>310</v>
      </c>
      <c r="U58">
        <f>tabSuperdettagli[[#This Row],[11.2025]]</f>
        <v>0</v>
      </c>
      <c r="V58">
        <f>tabSuperdettagli[[#This Row],[12.2025]]</f>
        <v>0</v>
      </c>
      <c r="W58" t="str">
        <f>tabSuperdettagli[[#This Row],[INT/EST]]</f>
        <v>Int.</v>
      </c>
      <c r="X58" t="str">
        <f>tabSuperdettagli[[#This Row],[Resp 2°liv]]&amp;""</f>
        <v/>
      </c>
      <c r="Y58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58" t="str">
        <f>tabSuperdettagli[[#This Row],[WBS Element]]&amp;""</f>
        <v/>
      </c>
      <c r="AA58">
        <f>tabSuperdettagli[[#This Row],[09.2025]]</f>
        <v>309</v>
      </c>
      <c r="AC58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58" t="str">
        <f>LEFT(tabSuperdettagli[[#This Row],[Network]], 18 )</f>
        <v/>
      </c>
      <c r="AE58" t="s">
        <v>286</v>
      </c>
      <c r="AP58" t="s">
        <v>180</v>
      </c>
      <c r="AQ58" t="s">
        <v>301</v>
      </c>
      <c r="AV58" t="s">
        <v>297</v>
      </c>
      <c r="BJ58">
        <v>301</v>
      </c>
      <c r="BK58">
        <v>302</v>
      </c>
      <c r="BL58">
        <v>303</v>
      </c>
      <c r="BM58">
        <v>304</v>
      </c>
      <c r="BN58">
        <v>305</v>
      </c>
      <c r="BO58">
        <v>306</v>
      </c>
      <c r="BP58">
        <v>307</v>
      </c>
      <c r="BQ58">
        <v>308</v>
      </c>
      <c r="BR58">
        <v>309</v>
      </c>
      <c r="BS58">
        <v>310</v>
      </c>
      <c r="BV58">
        <v>3055</v>
      </c>
      <c r="BX58" s="122">
        <v>42171</v>
      </c>
      <c r="CB58" s="122">
        <v>42170</v>
      </c>
      <c r="CC58" s="122">
        <v>42210</v>
      </c>
    </row>
    <row r="59" spans="1:81" x14ac:dyDescent="0.25">
      <c r="A59" t="str">
        <f>IF(UPPER(LEFT(tabSuperdettagli[[#This Row],[WBE Status]],1))="S","sì","no")</f>
        <v>no</v>
      </c>
      <c r="B59">
        <v>2020</v>
      </c>
      <c r="C59" t="e">
        <f>VLOOKUP(tabSuperdettagli[[#This Row],[WBS_]],Pivot_AnnoPrimaMarcatura!A:B,2,FALSE)</f>
        <v>#N/A</v>
      </c>
      <c r="D59" t="str">
        <f>LEFT(tabSuperdettagli[[#This Row],[Network]], 10)</f>
        <v/>
      </c>
      <c r="E59" t="str">
        <f>LEFT(tabSuperdettagli[[#This Row],[Network]], 1)</f>
        <v/>
      </c>
      <c r="F59" t="str">
        <f>LOWER(TRIM( tabSuperdettagli[[#This Row],[Proj. Type ]] ))</f>
        <v/>
      </c>
      <c r="G59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59" t="str">
        <f>IF(  TRIM(tabSuperdettagli[[#This Row],[Raggr. X Struttura]])&gt; "", TRIM(tabSuperdettagli[[#This Row],[Raggr. X Struttura]]), TRIM(tabSuperdettagli[[#This Row],[Resp DT]] ) )</f>
        <v>Gruppo struttura 1</v>
      </c>
      <c r="J59">
        <f>tabSuperdettagli[[#This Row],[Total]]</f>
        <v>4055</v>
      </c>
      <c r="K59">
        <f>tabSuperdettagli[[#This Row],[01.2025]]</f>
        <v>401</v>
      </c>
      <c r="L59">
        <f>tabSuperdettagli[[#This Row],[02.2025]]</f>
        <v>402</v>
      </c>
      <c r="M59">
        <f>tabSuperdettagli[[#This Row],[03.2025]]</f>
        <v>403</v>
      </c>
      <c r="N59">
        <f>tabSuperdettagli[[#This Row],[04.2025]]</f>
        <v>404</v>
      </c>
      <c r="O59">
        <f>tabSuperdettagli[[#This Row],[05.2025]]</f>
        <v>405</v>
      </c>
      <c r="P59">
        <f>tabSuperdettagli[[#This Row],[06.2025]]</f>
        <v>406</v>
      </c>
      <c r="Q59">
        <f>tabSuperdettagli[[#This Row],[07.2025]]</f>
        <v>407</v>
      </c>
      <c r="R59">
        <f>tabSuperdettagli[[#This Row],[08.2025]]</f>
        <v>408</v>
      </c>
      <c r="S59">
        <f>tabSuperdettagli[[#This Row],[09.2025]]</f>
        <v>409</v>
      </c>
      <c r="T59">
        <f>tabSuperdettagli[[#This Row],[10.2025]]</f>
        <v>410</v>
      </c>
      <c r="U59">
        <f>tabSuperdettagli[[#This Row],[11.2025]]</f>
        <v>0</v>
      </c>
      <c r="V59">
        <f>tabSuperdettagli[[#This Row],[12.2025]]</f>
        <v>0</v>
      </c>
      <c r="W59" t="str">
        <f>tabSuperdettagli[[#This Row],[INT/EST]]</f>
        <v>Int.</v>
      </c>
      <c r="X59" t="str">
        <f>tabSuperdettagli[[#This Row],[Resp 2°liv]]&amp;""</f>
        <v/>
      </c>
      <c r="Y59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59" t="str">
        <f>tabSuperdettagli[[#This Row],[WBS Element]]&amp;""</f>
        <v/>
      </c>
      <c r="AA59">
        <f>tabSuperdettagli[[#This Row],[09.2025]]</f>
        <v>409</v>
      </c>
      <c r="AC59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59" t="str">
        <f>LEFT(tabSuperdettagli[[#This Row],[Network]], 18 )</f>
        <v/>
      </c>
      <c r="AE59" t="s">
        <v>286</v>
      </c>
      <c r="AP59" t="s">
        <v>180</v>
      </c>
      <c r="AQ59" t="s">
        <v>298</v>
      </c>
      <c r="AV59" t="s">
        <v>293</v>
      </c>
      <c r="BJ59">
        <v>401</v>
      </c>
      <c r="BK59">
        <v>402</v>
      </c>
      <c r="BL59">
        <v>403</v>
      </c>
      <c r="BM59">
        <v>404</v>
      </c>
      <c r="BN59">
        <v>405</v>
      </c>
      <c r="BO59">
        <v>406</v>
      </c>
      <c r="BP59">
        <v>407</v>
      </c>
      <c r="BQ59">
        <v>408</v>
      </c>
      <c r="BR59">
        <v>409</v>
      </c>
      <c r="BS59">
        <v>410</v>
      </c>
      <c r="BV59">
        <v>4055</v>
      </c>
      <c r="BX59" s="122">
        <v>42174</v>
      </c>
      <c r="CB59" s="122">
        <v>42173</v>
      </c>
      <c r="CC59" s="122">
        <v>42213</v>
      </c>
    </row>
    <row r="60" spans="1:81" x14ac:dyDescent="0.25">
      <c r="A60" t="str">
        <f>IF(UPPER(LEFT(tabSuperdettagli[[#This Row],[WBE Status]],1))="S","sì","no")</f>
        <v>no</v>
      </c>
      <c r="B60">
        <v>2020</v>
      </c>
      <c r="C60" t="e">
        <f>VLOOKUP(tabSuperdettagli[[#This Row],[WBS_]],Pivot_AnnoPrimaMarcatura!A:B,2,FALSE)</f>
        <v>#N/A</v>
      </c>
      <c r="D60" t="str">
        <f>LEFT(tabSuperdettagli[[#This Row],[Network]], 10)</f>
        <v/>
      </c>
      <c r="E60" t="str">
        <f>LEFT(tabSuperdettagli[[#This Row],[Network]], 1)</f>
        <v/>
      </c>
      <c r="F60" t="str">
        <f>LOWER(TRIM( tabSuperdettagli[[#This Row],[Proj. Type ]] ))</f>
        <v/>
      </c>
      <c r="G60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60" t="str">
        <f>IF(  TRIM(tabSuperdettagli[[#This Row],[Raggr. X Struttura]])&gt; "", TRIM(tabSuperdettagli[[#This Row],[Raggr. X Struttura]]), TRIM(tabSuperdettagli[[#This Row],[Resp DT]] ) )</f>
        <v>Gruppo struttura 1</v>
      </c>
      <c r="J60">
        <f>tabSuperdettagli[[#This Row],[Total]]</f>
        <v>5055</v>
      </c>
      <c r="K60">
        <f>tabSuperdettagli[[#This Row],[01.2025]]</f>
        <v>501</v>
      </c>
      <c r="L60">
        <f>tabSuperdettagli[[#This Row],[02.2025]]</f>
        <v>502</v>
      </c>
      <c r="M60">
        <f>tabSuperdettagli[[#This Row],[03.2025]]</f>
        <v>503</v>
      </c>
      <c r="N60">
        <f>tabSuperdettagli[[#This Row],[04.2025]]</f>
        <v>504</v>
      </c>
      <c r="O60">
        <f>tabSuperdettagli[[#This Row],[05.2025]]</f>
        <v>505</v>
      </c>
      <c r="P60">
        <f>tabSuperdettagli[[#This Row],[06.2025]]</f>
        <v>506</v>
      </c>
      <c r="Q60">
        <f>tabSuperdettagli[[#This Row],[07.2025]]</f>
        <v>507</v>
      </c>
      <c r="R60">
        <f>tabSuperdettagli[[#This Row],[08.2025]]</f>
        <v>508</v>
      </c>
      <c r="S60">
        <f>tabSuperdettagli[[#This Row],[09.2025]]</f>
        <v>509</v>
      </c>
      <c r="T60">
        <f>tabSuperdettagli[[#This Row],[10.2025]]</f>
        <v>510</v>
      </c>
      <c r="U60">
        <f>tabSuperdettagli[[#This Row],[11.2025]]</f>
        <v>0</v>
      </c>
      <c r="V60">
        <f>tabSuperdettagli[[#This Row],[12.2025]]</f>
        <v>0</v>
      </c>
      <c r="W60" t="str">
        <f>tabSuperdettagli[[#This Row],[INT/EST]]</f>
        <v>Int.</v>
      </c>
      <c r="X60" t="str">
        <f>tabSuperdettagli[[#This Row],[Resp 2°liv]]&amp;""</f>
        <v/>
      </c>
      <c r="Y60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60" t="str">
        <f>tabSuperdettagli[[#This Row],[WBS Element]]&amp;""</f>
        <v/>
      </c>
      <c r="AA60">
        <f>tabSuperdettagli[[#This Row],[09.2025]]</f>
        <v>509</v>
      </c>
      <c r="AC60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60" t="str">
        <f>LEFT(tabSuperdettagli[[#This Row],[Network]], 18 )</f>
        <v/>
      </c>
      <c r="AE60" t="s">
        <v>286</v>
      </c>
      <c r="AP60" t="s">
        <v>180</v>
      </c>
      <c r="AQ60" t="s">
        <v>298</v>
      </c>
      <c r="AV60" t="s">
        <v>296</v>
      </c>
      <c r="BJ60">
        <v>501</v>
      </c>
      <c r="BK60">
        <v>502</v>
      </c>
      <c r="BL60">
        <v>503</v>
      </c>
      <c r="BM60">
        <v>504</v>
      </c>
      <c r="BN60">
        <v>505</v>
      </c>
      <c r="BO60">
        <v>506</v>
      </c>
      <c r="BP60">
        <v>507</v>
      </c>
      <c r="BQ60">
        <v>508</v>
      </c>
      <c r="BR60">
        <v>509</v>
      </c>
      <c r="BS60">
        <v>510</v>
      </c>
      <c r="BV60">
        <v>5055</v>
      </c>
      <c r="BX60" s="122">
        <v>42177</v>
      </c>
      <c r="CB60" s="122">
        <v>42176</v>
      </c>
      <c r="CC60" s="122">
        <v>42216</v>
      </c>
    </row>
    <row r="61" spans="1:81" x14ac:dyDescent="0.25">
      <c r="A61" t="str">
        <f>IF(UPPER(LEFT(tabSuperdettagli[[#This Row],[WBE Status]],1))="S","sì","no")</f>
        <v>no</v>
      </c>
      <c r="B61">
        <v>2020</v>
      </c>
      <c r="C61" t="e">
        <f>VLOOKUP(tabSuperdettagli[[#This Row],[WBS_]],Pivot_AnnoPrimaMarcatura!A:B,2,FALSE)</f>
        <v>#N/A</v>
      </c>
      <c r="D61" t="str">
        <f>LEFT(tabSuperdettagli[[#This Row],[Network]], 10)</f>
        <v/>
      </c>
      <c r="E61" t="str">
        <f>LEFT(tabSuperdettagli[[#This Row],[Network]], 1)</f>
        <v/>
      </c>
      <c r="F61" t="str">
        <f>LOWER(TRIM( tabSuperdettagli[[#This Row],[Proj. Type ]] ))</f>
        <v/>
      </c>
      <c r="G61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61" t="str">
        <f>IF(  TRIM(tabSuperdettagli[[#This Row],[Raggr. X Struttura]])&gt; "", TRIM(tabSuperdettagli[[#This Row],[Raggr. X Struttura]]), TRIM(tabSuperdettagli[[#This Row],[Resp DT]] ) )</f>
        <v>Responsabile A</v>
      </c>
      <c r="J61">
        <f>tabSuperdettagli[[#This Row],[Total]]</f>
        <v>6055</v>
      </c>
      <c r="K61">
        <f>tabSuperdettagli[[#This Row],[01.2025]]</f>
        <v>601</v>
      </c>
      <c r="L61">
        <f>tabSuperdettagli[[#This Row],[02.2025]]</f>
        <v>602</v>
      </c>
      <c r="M61">
        <f>tabSuperdettagli[[#This Row],[03.2025]]</f>
        <v>603</v>
      </c>
      <c r="N61">
        <f>tabSuperdettagli[[#This Row],[04.2025]]</f>
        <v>604</v>
      </c>
      <c r="O61">
        <f>tabSuperdettagli[[#This Row],[05.2025]]</f>
        <v>605</v>
      </c>
      <c r="P61">
        <f>tabSuperdettagli[[#This Row],[06.2025]]</f>
        <v>606</v>
      </c>
      <c r="Q61">
        <f>tabSuperdettagli[[#This Row],[07.2025]]</f>
        <v>607</v>
      </c>
      <c r="R61">
        <f>tabSuperdettagli[[#This Row],[08.2025]]</f>
        <v>608</v>
      </c>
      <c r="S61">
        <f>tabSuperdettagli[[#This Row],[09.2025]]</f>
        <v>609</v>
      </c>
      <c r="T61">
        <f>tabSuperdettagli[[#This Row],[10.2025]]</f>
        <v>610</v>
      </c>
      <c r="U61">
        <f>tabSuperdettagli[[#This Row],[11.2025]]</f>
        <v>0</v>
      </c>
      <c r="V61">
        <f>tabSuperdettagli[[#This Row],[12.2025]]</f>
        <v>0</v>
      </c>
      <c r="W61" t="str">
        <f>tabSuperdettagli[[#This Row],[INT/EST]]</f>
        <v>Int.</v>
      </c>
      <c r="X61" t="str">
        <f>tabSuperdettagli[[#This Row],[Resp 2°liv]]&amp;""</f>
        <v/>
      </c>
      <c r="Y61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61" t="str">
        <f>tabSuperdettagli[[#This Row],[WBS Element]]&amp;""</f>
        <v/>
      </c>
      <c r="AA61">
        <f>tabSuperdettagli[[#This Row],[09.2025]]</f>
        <v>609</v>
      </c>
      <c r="AC61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61" t="str">
        <f>LEFT(tabSuperdettagli[[#This Row],[Network]], 18 )</f>
        <v/>
      </c>
      <c r="AE61" t="s">
        <v>286</v>
      </c>
      <c r="AP61" t="s">
        <v>180</v>
      </c>
      <c r="AV61" t="s">
        <v>293</v>
      </c>
      <c r="BJ61">
        <v>601</v>
      </c>
      <c r="BK61">
        <v>602</v>
      </c>
      <c r="BL61">
        <v>603</v>
      </c>
      <c r="BM61">
        <v>604</v>
      </c>
      <c r="BN61">
        <v>605</v>
      </c>
      <c r="BO61">
        <v>606</v>
      </c>
      <c r="BP61">
        <v>607</v>
      </c>
      <c r="BQ61">
        <v>608</v>
      </c>
      <c r="BR61">
        <v>609</v>
      </c>
      <c r="BS61">
        <v>610</v>
      </c>
      <c r="BV61">
        <v>6055</v>
      </c>
      <c r="BX61" s="122">
        <v>42180</v>
      </c>
      <c r="CB61" s="122">
        <v>42179</v>
      </c>
      <c r="CC61" s="122">
        <v>42219</v>
      </c>
    </row>
    <row r="62" spans="1:81" x14ac:dyDescent="0.25">
      <c r="A62" t="str">
        <f>IF(UPPER(LEFT(tabSuperdettagli[[#This Row],[WBE Status]],1))="S","sì","no")</f>
        <v>no</v>
      </c>
      <c r="B62">
        <v>2020</v>
      </c>
      <c r="C62" t="e">
        <f>VLOOKUP(tabSuperdettagli[[#This Row],[WBS_]],Pivot_AnnoPrimaMarcatura!A:B,2,FALSE)</f>
        <v>#N/A</v>
      </c>
      <c r="D62" t="str">
        <f>LEFT(tabSuperdettagli[[#This Row],[Network]], 10)</f>
        <v/>
      </c>
      <c r="E62" t="str">
        <f>LEFT(tabSuperdettagli[[#This Row],[Network]], 1)</f>
        <v/>
      </c>
      <c r="F62" t="str">
        <f>LOWER(TRIM( tabSuperdettagli[[#This Row],[Proj. Type ]] ))</f>
        <v/>
      </c>
      <c r="G62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62" t="str">
        <f>IF(  TRIM(tabSuperdettagli[[#This Row],[Raggr. X Struttura]])&gt; "", TRIM(tabSuperdettagli[[#This Row],[Raggr. X Struttura]]), TRIM(tabSuperdettagli[[#This Row],[Resp DT]] ) )</f>
        <v>Gruppo struttura 2</v>
      </c>
      <c r="J62">
        <f>tabSuperdettagli[[#This Row],[Total]]</f>
        <v>55</v>
      </c>
      <c r="K62">
        <f>tabSuperdettagli[[#This Row],[01.2025]]</f>
        <v>1</v>
      </c>
      <c r="L62">
        <f>tabSuperdettagli[[#This Row],[02.2025]]</f>
        <v>2</v>
      </c>
      <c r="M62">
        <f>tabSuperdettagli[[#This Row],[03.2025]]</f>
        <v>3</v>
      </c>
      <c r="N62">
        <f>tabSuperdettagli[[#This Row],[04.2025]]</f>
        <v>4</v>
      </c>
      <c r="O62">
        <f>tabSuperdettagli[[#This Row],[05.2025]]</f>
        <v>5</v>
      </c>
      <c r="P62">
        <f>tabSuperdettagli[[#This Row],[06.2025]]</f>
        <v>6</v>
      </c>
      <c r="Q62">
        <f>tabSuperdettagli[[#This Row],[07.2025]]</f>
        <v>7</v>
      </c>
      <c r="R62">
        <f>tabSuperdettagli[[#This Row],[08.2025]]</f>
        <v>8</v>
      </c>
      <c r="S62">
        <f>tabSuperdettagli[[#This Row],[09.2025]]</f>
        <v>9</v>
      </c>
      <c r="T62">
        <f>tabSuperdettagli[[#This Row],[10.2025]]</f>
        <v>10</v>
      </c>
      <c r="U62">
        <f>tabSuperdettagli[[#This Row],[11.2025]]</f>
        <v>0</v>
      </c>
      <c r="V62">
        <f>tabSuperdettagli[[#This Row],[12.2025]]</f>
        <v>0</v>
      </c>
      <c r="W62" t="str">
        <f>tabSuperdettagli[[#This Row],[INT/EST]]</f>
        <v>Int.</v>
      </c>
      <c r="X62" t="str">
        <f>tabSuperdettagli[[#This Row],[Resp 2°liv]]&amp;""</f>
        <v/>
      </c>
      <c r="Y62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62" t="str">
        <f>tabSuperdettagli[[#This Row],[WBS Element]]&amp;""</f>
        <v/>
      </c>
      <c r="AA62">
        <f>tabSuperdettagli[[#This Row],[09.2025]]</f>
        <v>9</v>
      </c>
      <c r="AC62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62" t="str">
        <f>LEFT(tabSuperdettagli[[#This Row],[Network]], 18 )</f>
        <v/>
      </c>
      <c r="AE62" t="s">
        <v>286</v>
      </c>
      <c r="AP62" t="s">
        <v>180</v>
      </c>
      <c r="AQ62" t="s">
        <v>299</v>
      </c>
      <c r="AV62" t="s">
        <v>293</v>
      </c>
      <c r="BJ62">
        <v>1</v>
      </c>
      <c r="BK62">
        <v>2</v>
      </c>
      <c r="BL62">
        <v>3</v>
      </c>
      <c r="BM62">
        <v>4</v>
      </c>
      <c r="BN62">
        <v>5</v>
      </c>
      <c r="BO62">
        <v>6</v>
      </c>
      <c r="BP62">
        <v>7</v>
      </c>
      <c r="BQ62">
        <v>8</v>
      </c>
      <c r="BR62">
        <v>9</v>
      </c>
      <c r="BS62">
        <v>10</v>
      </c>
      <c r="BV62">
        <v>55</v>
      </c>
      <c r="BX62" s="122">
        <v>42183</v>
      </c>
      <c r="CB62" s="122">
        <v>42182</v>
      </c>
      <c r="CC62" s="122">
        <v>42222</v>
      </c>
    </row>
    <row r="63" spans="1:81" x14ac:dyDescent="0.25">
      <c r="A63" t="str">
        <f>IF(UPPER(LEFT(tabSuperdettagli[[#This Row],[WBE Status]],1))="S","sì","no")</f>
        <v>no</v>
      </c>
      <c r="B63">
        <v>2021</v>
      </c>
      <c r="C63" t="e">
        <f>VLOOKUP(tabSuperdettagli[[#This Row],[WBS_]],Pivot_AnnoPrimaMarcatura!A:B,2,FALSE)</f>
        <v>#N/A</v>
      </c>
      <c r="D63" t="str">
        <f>LEFT(tabSuperdettagli[[#This Row],[Network]], 10)</f>
        <v/>
      </c>
      <c r="E63" t="str">
        <f>LEFT(tabSuperdettagli[[#This Row],[Network]], 1)</f>
        <v/>
      </c>
      <c r="F63" t="str">
        <f>LOWER(TRIM( tabSuperdettagli[[#This Row],[Proj. Type ]] ))</f>
        <v/>
      </c>
      <c r="G63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63" t="str">
        <f>IF(  TRIM(tabSuperdettagli[[#This Row],[Raggr. X Struttura]])&gt; "", TRIM(tabSuperdettagli[[#This Row],[Raggr. X Struttura]]), TRIM(tabSuperdettagli[[#This Row],[Resp DT]] ) )</f>
        <v>Gruppo struttura 1</v>
      </c>
      <c r="J63">
        <f>tabSuperdettagli[[#This Row],[Total]]</f>
        <v>1055</v>
      </c>
      <c r="K63">
        <f>tabSuperdettagli[[#This Row],[01.2025]]</f>
        <v>101</v>
      </c>
      <c r="L63">
        <f>tabSuperdettagli[[#This Row],[02.2025]]</f>
        <v>102</v>
      </c>
      <c r="M63">
        <f>tabSuperdettagli[[#This Row],[03.2025]]</f>
        <v>103</v>
      </c>
      <c r="N63">
        <f>tabSuperdettagli[[#This Row],[04.2025]]</f>
        <v>104</v>
      </c>
      <c r="O63">
        <f>tabSuperdettagli[[#This Row],[05.2025]]</f>
        <v>105</v>
      </c>
      <c r="P63">
        <f>tabSuperdettagli[[#This Row],[06.2025]]</f>
        <v>106</v>
      </c>
      <c r="Q63">
        <f>tabSuperdettagli[[#This Row],[07.2025]]</f>
        <v>107</v>
      </c>
      <c r="R63">
        <f>tabSuperdettagli[[#This Row],[08.2025]]</f>
        <v>108</v>
      </c>
      <c r="S63">
        <f>tabSuperdettagli[[#This Row],[09.2025]]</f>
        <v>109</v>
      </c>
      <c r="T63">
        <f>tabSuperdettagli[[#This Row],[10.2025]]</f>
        <v>110</v>
      </c>
      <c r="U63">
        <f>tabSuperdettagli[[#This Row],[11.2025]]</f>
        <v>0</v>
      </c>
      <c r="V63">
        <f>tabSuperdettagli[[#This Row],[12.2025]]</f>
        <v>0</v>
      </c>
      <c r="W63" t="str">
        <f>tabSuperdettagli[[#This Row],[INT/EST]]</f>
        <v>Int.</v>
      </c>
      <c r="X63" t="str">
        <f>tabSuperdettagli[[#This Row],[Resp 2°liv]]&amp;""</f>
        <v/>
      </c>
      <c r="Y63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63" t="str">
        <f>tabSuperdettagli[[#This Row],[WBS Element]]&amp;""</f>
        <v/>
      </c>
      <c r="AA63">
        <f>tabSuperdettagli[[#This Row],[09.2025]]</f>
        <v>109</v>
      </c>
      <c r="AC63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63" t="str">
        <f>LEFT(tabSuperdettagli[[#This Row],[Network]], 18 )</f>
        <v/>
      </c>
      <c r="AE63" t="s">
        <v>287</v>
      </c>
      <c r="AP63" t="s">
        <v>180</v>
      </c>
      <c r="AQ63" t="s">
        <v>298</v>
      </c>
      <c r="AV63" t="s">
        <v>293</v>
      </c>
      <c r="BJ63">
        <v>101</v>
      </c>
      <c r="BK63">
        <v>102</v>
      </c>
      <c r="BL63">
        <v>103</v>
      </c>
      <c r="BM63">
        <v>104</v>
      </c>
      <c r="BN63">
        <v>105</v>
      </c>
      <c r="BO63">
        <v>106</v>
      </c>
      <c r="BP63">
        <v>107</v>
      </c>
      <c r="BQ63">
        <v>108</v>
      </c>
      <c r="BR63">
        <v>109</v>
      </c>
      <c r="BS63">
        <v>110</v>
      </c>
      <c r="BV63">
        <v>1055</v>
      </c>
      <c r="BX63" s="122">
        <v>42186</v>
      </c>
      <c r="CB63" s="122">
        <v>42185</v>
      </c>
      <c r="CC63" s="122">
        <v>42225</v>
      </c>
    </row>
    <row r="64" spans="1:81" x14ac:dyDescent="0.25">
      <c r="A64" t="str">
        <f>IF(UPPER(LEFT(tabSuperdettagli[[#This Row],[WBE Status]],1))="S","sì","no")</f>
        <v>no</v>
      </c>
      <c r="B64">
        <v>2021</v>
      </c>
      <c r="C64" t="e">
        <f>VLOOKUP(tabSuperdettagli[[#This Row],[WBS_]],Pivot_AnnoPrimaMarcatura!A:B,2,FALSE)</f>
        <v>#N/A</v>
      </c>
      <c r="D64" t="str">
        <f>LEFT(tabSuperdettagli[[#This Row],[Network]], 10)</f>
        <v/>
      </c>
      <c r="E64" t="str">
        <f>LEFT(tabSuperdettagli[[#This Row],[Network]], 1)</f>
        <v/>
      </c>
      <c r="F64" t="str">
        <f>LOWER(TRIM( tabSuperdettagli[[#This Row],[Proj. Type ]] ))</f>
        <v/>
      </c>
      <c r="G64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64" t="str">
        <f>IF(  TRIM(tabSuperdettagli[[#This Row],[Raggr. X Struttura]])&gt; "", TRIM(tabSuperdettagli[[#This Row],[Raggr. X Struttura]]), TRIM(tabSuperdettagli[[#This Row],[Resp DT]] ) )</f>
        <v>Gruppo struttura 3</v>
      </c>
      <c r="J64">
        <f>tabSuperdettagli[[#This Row],[Total]]</f>
        <v>2055</v>
      </c>
      <c r="K64">
        <f>tabSuperdettagli[[#This Row],[01.2025]]</f>
        <v>201</v>
      </c>
      <c r="L64">
        <f>tabSuperdettagli[[#This Row],[02.2025]]</f>
        <v>202</v>
      </c>
      <c r="M64">
        <f>tabSuperdettagli[[#This Row],[03.2025]]</f>
        <v>203</v>
      </c>
      <c r="N64">
        <f>tabSuperdettagli[[#This Row],[04.2025]]</f>
        <v>204</v>
      </c>
      <c r="O64">
        <f>tabSuperdettagli[[#This Row],[05.2025]]</f>
        <v>205</v>
      </c>
      <c r="P64">
        <f>tabSuperdettagli[[#This Row],[06.2025]]</f>
        <v>206</v>
      </c>
      <c r="Q64">
        <f>tabSuperdettagli[[#This Row],[07.2025]]</f>
        <v>207</v>
      </c>
      <c r="R64">
        <f>tabSuperdettagli[[#This Row],[08.2025]]</f>
        <v>208</v>
      </c>
      <c r="S64">
        <f>tabSuperdettagli[[#This Row],[09.2025]]</f>
        <v>209</v>
      </c>
      <c r="T64">
        <f>tabSuperdettagli[[#This Row],[10.2025]]</f>
        <v>210</v>
      </c>
      <c r="U64">
        <f>tabSuperdettagli[[#This Row],[11.2025]]</f>
        <v>0</v>
      </c>
      <c r="V64">
        <f>tabSuperdettagli[[#This Row],[12.2025]]</f>
        <v>0</v>
      </c>
      <c r="W64" t="str">
        <f>tabSuperdettagli[[#This Row],[INT/EST]]</f>
        <v>Int.</v>
      </c>
      <c r="X64" t="str">
        <f>tabSuperdettagli[[#This Row],[Resp 2°liv]]&amp;""</f>
        <v/>
      </c>
      <c r="Y64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64" t="str">
        <f>tabSuperdettagli[[#This Row],[WBS Element]]&amp;""</f>
        <v/>
      </c>
      <c r="AA64">
        <f>tabSuperdettagli[[#This Row],[09.2025]]</f>
        <v>209</v>
      </c>
      <c r="AC64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64" t="str">
        <f>LEFT(tabSuperdettagli[[#This Row],[Network]], 18 )</f>
        <v/>
      </c>
      <c r="AE64" t="s">
        <v>287</v>
      </c>
      <c r="AP64" t="s">
        <v>180</v>
      </c>
      <c r="AQ64" t="s">
        <v>300</v>
      </c>
      <c r="AV64" t="s">
        <v>293</v>
      </c>
      <c r="BJ64">
        <v>201</v>
      </c>
      <c r="BK64">
        <v>202</v>
      </c>
      <c r="BL64">
        <v>203</v>
      </c>
      <c r="BM64">
        <v>204</v>
      </c>
      <c r="BN64">
        <v>205</v>
      </c>
      <c r="BO64">
        <v>206</v>
      </c>
      <c r="BP64">
        <v>207</v>
      </c>
      <c r="BQ64">
        <v>208</v>
      </c>
      <c r="BR64">
        <v>209</v>
      </c>
      <c r="BS64">
        <v>210</v>
      </c>
      <c r="BV64">
        <v>2055</v>
      </c>
      <c r="BX64" s="122">
        <v>42189</v>
      </c>
      <c r="CB64" s="122">
        <v>42188</v>
      </c>
      <c r="CC64" s="122">
        <v>42228</v>
      </c>
    </row>
    <row r="65" spans="1:81" x14ac:dyDescent="0.25">
      <c r="A65" t="str">
        <f>IF(UPPER(LEFT(tabSuperdettagli[[#This Row],[WBE Status]],1))="S","sì","no")</f>
        <v>no</v>
      </c>
      <c r="B65">
        <v>2021</v>
      </c>
      <c r="C65" t="e">
        <f>VLOOKUP(tabSuperdettagli[[#This Row],[WBS_]],Pivot_AnnoPrimaMarcatura!A:B,2,FALSE)</f>
        <v>#N/A</v>
      </c>
      <c r="D65" t="str">
        <f>LEFT(tabSuperdettagli[[#This Row],[Network]], 10)</f>
        <v/>
      </c>
      <c r="E65" t="str">
        <f>LEFT(tabSuperdettagli[[#This Row],[Network]], 1)</f>
        <v/>
      </c>
      <c r="F65" t="str">
        <f>LOWER(TRIM( tabSuperdettagli[[#This Row],[Proj. Type ]] ))</f>
        <v/>
      </c>
      <c r="G65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65" t="str">
        <f>IF(  TRIM(tabSuperdettagli[[#This Row],[Raggr. X Struttura]])&gt; "", TRIM(tabSuperdettagli[[#This Row],[Raggr. X Struttura]]), TRIM(tabSuperdettagli[[#This Row],[Resp DT]] ) )</f>
        <v>Gruppo struttura 1</v>
      </c>
      <c r="J65">
        <f>tabSuperdettagli[[#This Row],[Total]]</f>
        <v>3055</v>
      </c>
      <c r="K65">
        <f>tabSuperdettagli[[#This Row],[01.2025]]</f>
        <v>301</v>
      </c>
      <c r="L65">
        <f>tabSuperdettagli[[#This Row],[02.2025]]</f>
        <v>302</v>
      </c>
      <c r="M65">
        <f>tabSuperdettagli[[#This Row],[03.2025]]</f>
        <v>303</v>
      </c>
      <c r="N65">
        <f>tabSuperdettagli[[#This Row],[04.2025]]</f>
        <v>304</v>
      </c>
      <c r="O65">
        <f>tabSuperdettagli[[#This Row],[05.2025]]</f>
        <v>305</v>
      </c>
      <c r="P65">
        <f>tabSuperdettagli[[#This Row],[06.2025]]</f>
        <v>306</v>
      </c>
      <c r="Q65">
        <f>tabSuperdettagli[[#This Row],[07.2025]]</f>
        <v>307</v>
      </c>
      <c r="R65">
        <f>tabSuperdettagli[[#This Row],[08.2025]]</f>
        <v>308</v>
      </c>
      <c r="S65">
        <f>tabSuperdettagli[[#This Row],[09.2025]]</f>
        <v>309</v>
      </c>
      <c r="T65">
        <f>tabSuperdettagli[[#This Row],[10.2025]]</f>
        <v>310</v>
      </c>
      <c r="U65">
        <f>tabSuperdettagli[[#This Row],[11.2025]]</f>
        <v>0</v>
      </c>
      <c r="V65">
        <f>tabSuperdettagli[[#This Row],[12.2025]]</f>
        <v>0</v>
      </c>
      <c r="W65" t="str">
        <f>tabSuperdettagli[[#This Row],[INT/EST]]</f>
        <v>Int.</v>
      </c>
      <c r="X65" t="str">
        <f>tabSuperdettagli[[#This Row],[Resp 2°liv]]&amp;""</f>
        <v/>
      </c>
      <c r="Y65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65" t="str">
        <f>tabSuperdettagli[[#This Row],[WBS Element]]&amp;""</f>
        <v/>
      </c>
      <c r="AA65">
        <f>tabSuperdettagli[[#This Row],[09.2025]]</f>
        <v>309</v>
      </c>
      <c r="AC65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65" t="str">
        <f>LEFT(tabSuperdettagli[[#This Row],[Network]], 18 )</f>
        <v/>
      </c>
      <c r="AE65" t="s">
        <v>287</v>
      </c>
      <c r="AP65" t="s">
        <v>180</v>
      </c>
      <c r="AQ65" t="s">
        <v>298</v>
      </c>
      <c r="AV65" t="s">
        <v>293</v>
      </c>
      <c r="BJ65">
        <v>301</v>
      </c>
      <c r="BK65">
        <v>302</v>
      </c>
      <c r="BL65">
        <v>303</v>
      </c>
      <c r="BM65">
        <v>304</v>
      </c>
      <c r="BN65">
        <v>305</v>
      </c>
      <c r="BO65">
        <v>306</v>
      </c>
      <c r="BP65">
        <v>307</v>
      </c>
      <c r="BQ65">
        <v>308</v>
      </c>
      <c r="BR65">
        <v>309</v>
      </c>
      <c r="BS65">
        <v>310</v>
      </c>
      <c r="BV65">
        <v>3055</v>
      </c>
      <c r="BX65" s="122">
        <v>42192</v>
      </c>
      <c r="CB65" s="122">
        <v>42191</v>
      </c>
      <c r="CC65" s="122">
        <v>42231</v>
      </c>
    </row>
    <row r="66" spans="1:81" x14ac:dyDescent="0.25">
      <c r="A66" t="str">
        <f>IF(UPPER(LEFT(tabSuperdettagli[[#This Row],[WBE Status]],1))="S","sì","no")</f>
        <v>no</v>
      </c>
      <c r="B66">
        <v>2021</v>
      </c>
      <c r="C66" t="e">
        <f>VLOOKUP(tabSuperdettagli[[#This Row],[WBS_]],Pivot_AnnoPrimaMarcatura!A:B,2,FALSE)</f>
        <v>#N/A</v>
      </c>
      <c r="D66" t="str">
        <f>LEFT(tabSuperdettagli[[#This Row],[Network]], 10)</f>
        <v/>
      </c>
      <c r="E66" t="str">
        <f>LEFT(tabSuperdettagli[[#This Row],[Network]], 1)</f>
        <v/>
      </c>
      <c r="F66" t="str">
        <f>LOWER(TRIM( tabSuperdettagli[[#This Row],[Proj. Type ]] ))</f>
        <v/>
      </c>
      <c r="G66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66" t="str">
        <f>IF(  TRIM(tabSuperdettagli[[#This Row],[Raggr. X Struttura]])&gt; "", TRIM(tabSuperdettagli[[#This Row],[Raggr. X Struttura]]), TRIM(tabSuperdettagli[[#This Row],[Resp DT]] ) )</f>
        <v>Gruppo struttura 1</v>
      </c>
      <c r="J66">
        <f>tabSuperdettagli[[#This Row],[Total]]</f>
        <v>4055</v>
      </c>
      <c r="K66">
        <f>tabSuperdettagli[[#This Row],[01.2025]]</f>
        <v>401</v>
      </c>
      <c r="L66">
        <f>tabSuperdettagli[[#This Row],[02.2025]]</f>
        <v>402</v>
      </c>
      <c r="M66">
        <f>tabSuperdettagli[[#This Row],[03.2025]]</f>
        <v>403</v>
      </c>
      <c r="N66">
        <f>tabSuperdettagli[[#This Row],[04.2025]]</f>
        <v>404</v>
      </c>
      <c r="O66">
        <f>tabSuperdettagli[[#This Row],[05.2025]]</f>
        <v>405</v>
      </c>
      <c r="P66">
        <f>tabSuperdettagli[[#This Row],[06.2025]]</f>
        <v>406</v>
      </c>
      <c r="Q66">
        <f>tabSuperdettagli[[#This Row],[07.2025]]</f>
        <v>407</v>
      </c>
      <c r="R66">
        <f>tabSuperdettagli[[#This Row],[08.2025]]</f>
        <v>408</v>
      </c>
      <c r="S66">
        <f>tabSuperdettagli[[#This Row],[09.2025]]</f>
        <v>409</v>
      </c>
      <c r="T66">
        <f>tabSuperdettagli[[#This Row],[10.2025]]</f>
        <v>410</v>
      </c>
      <c r="U66">
        <f>tabSuperdettagli[[#This Row],[11.2025]]</f>
        <v>0</v>
      </c>
      <c r="V66">
        <f>tabSuperdettagli[[#This Row],[12.2025]]</f>
        <v>0</v>
      </c>
      <c r="W66" t="str">
        <f>tabSuperdettagli[[#This Row],[INT/EST]]</f>
        <v>Int.</v>
      </c>
      <c r="X66" t="str">
        <f>tabSuperdettagli[[#This Row],[Resp 2°liv]]&amp;""</f>
        <v/>
      </c>
      <c r="Y66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66" t="str">
        <f>tabSuperdettagli[[#This Row],[WBS Element]]&amp;""</f>
        <v/>
      </c>
      <c r="AA66">
        <f>tabSuperdettagli[[#This Row],[09.2025]]</f>
        <v>409</v>
      </c>
      <c r="AC66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66" t="str">
        <f>LEFT(tabSuperdettagli[[#This Row],[Network]], 18 )</f>
        <v/>
      </c>
      <c r="AE66" t="s">
        <v>287</v>
      </c>
      <c r="AP66" t="s">
        <v>180</v>
      </c>
      <c r="AQ66" t="s">
        <v>298</v>
      </c>
      <c r="AV66" t="s">
        <v>293</v>
      </c>
      <c r="BJ66">
        <v>401</v>
      </c>
      <c r="BK66">
        <v>402</v>
      </c>
      <c r="BL66">
        <v>403</v>
      </c>
      <c r="BM66">
        <v>404</v>
      </c>
      <c r="BN66">
        <v>405</v>
      </c>
      <c r="BO66">
        <v>406</v>
      </c>
      <c r="BP66">
        <v>407</v>
      </c>
      <c r="BQ66">
        <v>408</v>
      </c>
      <c r="BR66">
        <v>409</v>
      </c>
      <c r="BS66">
        <v>410</v>
      </c>
      <c r="BV66">
        <v>4055</v>
      </c>
      <c r="BX66" s="122">
        <v>42195</v>
      </c>
      <c r="CB66" s="122">
        <v>42194</v>
      </c>
      <c r="CC66" s="122">
        <v>42234</v>
      </c>
    </row>
    <row r="67" spans="1:81" x14ac:dyDescent="0.25">
      <c r="A67" t="str">
        <f>IF(UPPER(LEFT(tabSuperdettagli[[#This Row],[WBE Status]],1))="S","sì","no")</f>
        <v>no</v>
      </c>
      <c r="B67">
        <v>2021</v>
      </c>
      <c r="C67" t="e">
        <f>VLOOKUP(tabSuperdettagli[[#This Row],[WBS_]],Pivot_AnnoPrimaMarcatura!A:B,2,FALSE)</f>
        <v>#N/A</v>
      </c>
      <c r="D67" t="str">
        <f>LEFT(tabSuperdettagli[[#This Row],[Network]], 10)</f>
        <v/>
      </c>
      <c r="E67" t="str">
        <f>LEFT(tabSuperdettagli[[#This Row],[Network]], 1)</f>
        <v/>
      </c>
      <c r="F67" t="str">
        <f>LOWER(TRIM( tabSuperdettagli[[#This Row],[Proj. Type ]] ))</f>
        <v/>
      </c>
      <c r="G67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67" t="str">
        <f>IF(  TRIM(tabSuperdettagli[[#This Row],[Raggr. X Struttura]])&gt; "", TRIM(tabSuperdettagli[[#This Row],[Raggr. X Struttura]]), TRIM(tabSuperdettagli[[#This Row],[Resp DT]] ) )</f>
        <v>Gruppo struttura 6</v>
      </c>
      <c r="J67">
        <f>tabSuperdettagli[[#This Row],[Total]]</f>
        <v>5055</v>
      </c>
      <c r="K67">
        <f>tabSuperdettagli[[#This Row],[01.2025]]</f>
        <v>501</v>
      </c>
      <c r="L67">
        <f>tabSuperdettagli[[#This Row],[02.2025]]</f>
        <v>502</v>
      </c>
      <c r="M67">
        <f>tabSuperdettagli[[#This Row],[03.2025]]</f>
        <v>503</v>
      </c>
      <c r="N67">
        <f>tabSuperdettagli[[#This Row],[04.2025]]</f>
        <v>504</v>
      </c>
      <c r="O67">
        <f>tabSuperdettagli[[#This Row],[05.2025]]</f>
        <v>505</v>
      </c>
      <c r="P67">
        <f>tabSuperdettagli[[#This Row],[06.2025]]</f>
        <v>506</v>
      </c>
      <c r="Q67">
        <f>tabSuperdettagli[[#This Row],[07.2025]]</f>
        <v>507</v>
      </c>
      <c r="R67">
        <f>tabSuperdettagli[[#This Row],[08.2025]]</f>
        <v>508</v>
      </c>
      <c r="S67">
        <f>tabSuperdettagli[[#This Row],[09.2025]]</f>
        <v>509</v>
      </c>
      <c r="T67">
        <f>tabSuperdettagli[[#This Row],[10.2025]]</f>
        <v>510</v>
      </c>
      <c r="U67">
        <f>tabSuperdettagli[[#This Row],[11.2025]]</f>
        <v>0</v>
      </c>
      <c r="V67">
        <f>tabSuperdettagli[[#This Row],[12.2025]]</f>
        <v>0</v>
      </c>
      <c r="W67" t="str">
        <f>tabSuperdettagli[[#This Row],[INT/EST]]</f>
        <v>Est.</v>
      </c>
      <c r="X67" t="str">
        <f>tabSuperdettagli[[#This Row],[Resp 2°liv]]&amp;""</f>
        <v/>
      </c>
      <c r="Y67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67" t="str">
        <f>tabSuperdettagli[[#This Row],[WBS Element]]&amp;""</f>
        <v/>
      </c>
      <c r="AA67">
        <f>tabSuperdettagli[[#This Row],[09.2025]]</f>
        <v>509</v>
      </c>
      <c r="AC67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67" t="str">
        <f>LEFT(tabSuperdettagli[[#This Row],[Network]], 18 )</f>
        <v/>
      </c>
      <c r="AE67" t="s">
        <v>287</v>
      </c>
      <c r="AP67" t="s">
        <v>292</v>
      </c>
      <c r="AQ67" t="s">
        <v>303</v>
      </c>
      <c r="AV67" t="s">
        <v>293</v>
      </c>
      <c r="BJ67">
        <v>501</v>
      </c>
      <c r="BK67">
        <v>502</v>
      </c>
      <c r="BL67">
        <v>503</v>
      </c>
      <c r="BM67">
        <v>504</v>
      </c>
      <c r="BN67">
        <v>505</v>
      </c>
      <c r="BO67">
        <v>506</v>
      </c>
      <c r="BP67">
        <v>507</v>
      </c>
      <c r="BQ67">
        <v>508</v>
      </c>
      <c r="BR67">
        <v>509</v>
      </c>
      <c r="BS67">
        <v>510</v>
      </c>
      <c r="BV67">
        <v>5055</v>
      </c>
      <c r="BX67" s="122">
        <v>42198</v>
      </c>
      <c r="CB67" s="122">
        <v>42197</v>
      </c>
      <c r="CC67" s="122">
        <v>42237</v>
      </c>
    </row>
    <row r="68" spans="1:81" x14ac:dyDescent="0.25">
      <c r="A68" t="str">
        <f>IF(UPPER(LEFT(tabSuperdettagli[[#This Row],[WBE Status]],1))="S","sì","no")</f>
        <v>no</v>
      </c>
      <c r="B68">
        <v>2021</v>
      </c>
      <c r="C68" t="e">
        <f>VLOOKUP(tabSuperdettagli[[#This Row],[WBS_]],Pivot_AnnoPrimaMarcatura!A:B,2,FALSE)</f>
        <v>#N/A</v>
      </c>
      <c r="D68" t="str">
        <f>LEFT(tabSuperdettagli[[#This Row],[Network]], 10)</f>
        <v/>
      </c>
      <c r="E68" t="str">
        <f>LEFT(tabSuperdettagli[[#This Row],[Network]], 1)</f>
        <v/>
      </c>
      <c r="F68" t="str">
        <f>LOWER(TRIM( tabSuperdettagli[[#This Row],[Proj. Type ]] ))</f>
        <v/>
      </c>
      <c r="G68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68" t="str">
        <f>IF(  TRIM(tabSuperdettagli[[#This Row],[Raggr. X Struttura]])&gt; "", TRIM(tabSuperdettagli[[#This Row],[Raggr. X Struttura]]), TRIM(tabSuperdettagli[[#This Row],[Resp DT]] ) )</f>
        <v>Gruppo struttura 1</v>
      </c>
      <c r="J68">
        <f>tabSuperdettagli[[#This Row],[Total]]</f>
        <v>6055</v>
      </c>
      <c r="K68">
        <f>tabSuperdettagli[[#This Row],[01.2025]]</f>
        <v>601</v>
      </c>
      <c r="L68">
        <f>tabSuperdettagli[[#This Row],[02.2025]]</f>
        <v>602</v>
      </c>
      <c r="M68">
        <f>tabSuperdettagli[[#This Row],[03.2025]]</f>
        <v>603</v>
      </c>
      <c r="N68">
        <f>tabSuperdettagli[[#This Row],[04.2025]]</f>
        <v>604</v>
      </c>
      <c r="O68">
        <f>tabSuperdettagli[[#This Row],[05.2025]]</f>
        <v>605</v>
      </c>
      <c r="P68">
        <f>tabSuperdettagli[[#This Row],[06.2025]]</f>
        <v>606</v>
      </c>
      <c r="Q68">
        <f>tabSuperdettagli[[#This Row],[07.2025]]</f>
        <v>607</v>
      </c>
      <c r="R68">
        <f>tabSuperdettagli[[#This Row],[08.2025]]</f>
        <v>608</v>
      </c>
      <c r="S68">
        <f>tabSuperdettagli[[#This Row],[09.2025]]</f>
        <v>609</v>
      </c>
      <c r="T68">
        <f>tabSuperdettagli[[#This Row],[10.2025]]</f>
        <v>610</v>
      </c>
      <c r="U68">
        <f>tabSuperdettagli[[#This Row],[11.2025]]</f>
        <v>0</v>
      </c>
      <c r="V68">
        <f>tabSuperdettagli[[#This Row],[12.2025]]</f>
        <v>0</v>
      </c>
      <c r="W68" t="str">
        <f>tabSuperdettagli[[#This Row],[INT/EST]]</f>
        <v>Est.</v>
      </c>
      <c r="X68" t="str">
        <f>tabSuperdettagli[[#This Row],[Resp 2°liv]]&amp;""</f>
        <v/>
      </c>
      <c r="Y68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68" t="str">
        <f>tabSuperdettagli[[#This Row],[WBS Element]]&amp;""</f>
        <v/>
      </c>
      <c r="AA68">
        <f>tabSuperdettagli[[#This Row],[09.2025]]</f>
        <v>609</v>
      </c>
      <c r="AC68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68" t="str">
        <f>LEFT(tabSuperdettagli[[#This Row],[Network]], 18 )</f>
        <v/>
      </c>
      <c r="AE68" t="s">
        <v>287</v>
      </c>
      <c r="AP68" t="s">
        <v>292</v>
      </c>
      <c r="AQ68" t="s">
        <v>298</v>
      </c>
      <c r="AV68" t="s">
        <v>293</v>
      </c>
      <c r="BJ68">
        <v>601</v>
      </c>
      <c r="BK68">
        <v>602</v>
      </c>
      <c r="BL68">
        <v>603</v>
      </c>
      <c r="BM68">
        <v>604</v>
      </c>
      <c r="BN68">
        <v>605</v>
      </c>
      <c r="BO68">
        <v>606</v>
      </c>
      <c r="BP68">
        <v>607</v>
      </c>
      <c r="BQ68">
        <v>608</v>
      </c>
      <c r="BR68">
        <v>609</v>
      </c>
      <c r="BS68">
        <v>610</v>
      </c>
      <c r="BV68">
        <v>6055</v>
      </c>
      <c r="BX68" s="122">
        <v>42201</v>
      </c>
      <c r="CB68" s="122">
        <v>42200</v>
      </c>
      <c r="CC68" s="122">
        <v>42240</v>
      </c>
    </row>
    <row r="69" spans="1:81" x14ac:dyDescent="0.25">
      <c r="A69" t="str">
        <f>IF(UPPER(LEFT(tabSuperdettagli[[#This Row],[WBE Status]],1))="S","sì","no")</f>
        <v>no</v>
      </c>
      <c r="B69">
        <v>2021</v>
      </c>
      <c r="C69" t="e">
        <f>VLOOKUP(tabSuperdettagli[[#This Row],[WBS_]],Pivot_AnnoPrimaMarcatura!A:B,2,FALSE)</f>
        <v>#N/A</v>
      </c>
      <c r="D69" t="str">
        <f>LEFT(tabSuperdettagli[[#This Row],[Network]], 10)</f>
        <v/>
      </c>
      <c r="E69" t="str">
        <f>LEFT(tabSuperdettagli[[#This Row],[Network]], 1)</f>
        <v/>
      </c>
      <c r="F69" t="str">
        <f>LOWER(TRIM( tabSuperdettagli[[#This Row],[Proj. Type ]] ))</f>
        <v/>
      </c>
      <c r="G69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69" t="str">
        <f>IF(  TRIM(tabSuperdettagli[[#This Row],[Raggr. X Struttura]])&gt; "", TRIM(tabSuperdettagli[[#This Row],[Raggr. X Struttura]]), TRIM(tabSuperdettagli[[#This Row],[Resp DT]] ) )</f>
        <v>Gruppo struttura 3</v>
      </c>
      <c r="J69">
        <f>tabSuperdettagli[[#This Row],[Total]]</f>
        <v>55</v>
      </c>
      <c r="K69">
        <f>tabSuperdettagli[[#This Row],[01.2025]]</f>
        <v>1</v>
      </c>
      <c r="L69">
        <f>tabSuperdettagli[[#This Row],[02.2025]]</f>
        <v>2</v>
      </c>
      <c r="M69">
        <f>tabSuperdettagli[[#This Row],[03.2025]]</f>
        <v>3</v>
      </c>
      <c r="N69">
        <f>tabSuperdettagli[[#This Row],[04.2025]]</f>
        <v>4</v>
      </c>
      <c r="O69">
        <f>tabSuperdettagli[[#This Row],[05.2025]]</f>
        <v>5</v>
      </c>
      <c r="P69">
        <f>tabSuperdettagli[[#This Row],[06.2025]]</f>
        <v>6</v>
      </c>
      <c r="Q69">
        <f>tabSuperdettagli[[#This Row],[07.2025]]</f>
        <v>7</v>
      </c>
      <c r="R69">
        <f>tabSuperdettagli[[#This Row],[08.2025]]</f>
        <v>8</v>
      </c>
      <c r="S69">
        <f>tabSuperdettagli[[#This Row],[09.2025]]</f>
        <v>9</v>
      </c>
      <c r="T69">
        <f>tabSuperdettagli[[#This Row],[10.2025]]</f>
        <v>10</v>
      </c>
      <c r="U69">
        <f>tabSuperdettagli[[#This Row],[11.2025]]</f>
        <v>0</v>
      </c>
      <c r="V69">
        <f>tabSuperdettagli[[#This Row],[12.2025]]</f>
        <v>0</v>
      </c>
      <c r="W69" t="str">
        <f>tabSuperdettagli[[#This Row],[INT/EST]]</f>
        <v>Est.</v>
      </c>
      <c r="X69" t="str">
        <f>tabSuperdettagli[[#This Row],[Resp 2°liv]]&amp;""</f>
        <v/>
      </c>
      <c r="Y69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69" t="str">
        <f>tabSuperdettagli[[#This Row],[WBS Element]]&amp;""</f>
        <v/>
      </c>
      <c r="AA69">
        <f>tabSuperdettagli[[#This Row],[09.2025]]</f>
        <v>9</v>
      </c>
      <c r="AC69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69" t="str">
        <f>LEFT(tabSuperdettagli[[#This Row],[Network]], 18 )</f>
        <v/>
      </c>
      <c r="AE69" t="s">
        <v>287</v>
      </c>
      <c r="AP69" t="s">
        <v>292</v>
      </c>
      <c r="AQ69" t="s">
        <v>300</v>
      </c>
      <c r="AV69" t="s">
        <v>297</v>
      </c>
      <c r="BJ69">
        <v>1</v>
      </c>
      <c r="BK69">
        <v>2</v>
      </c>
      <c r="BL69">
        <v>3</v>
      </c>
      <c r="BM69">
        <v>4</v>
      </c>
      <c r="BN69">
        <v>5</v>
      </c>
      <c r="BO69">
        <v>6</v>
      </c>
      <c r="BP69">
        <v>7</v>
      </c>
      <c r="BQ69">
        <v>8</v>
      </c>
      <c r="BR69">
        <v>9</v>
      </c>
      <c r="BS69">
        <v>10</v>
      </c>
      <c r="BV69">
        <v>55</v>
      </c>
      <c r="BX69" s="122">
        <v>42204</v>
      </c>
      <c r="CB69" s="122">
        <v>42203</v>
      </c>
      <c r="CC69" s="122">
        <v>42243</v>
      </c>
    </row>
    <row r="70" spans="1:81" x14ac:dyDescent="0.25">
      <c r="A70" t="str">
        <f>IF(UPPER(LEFT(tabSuperdettagli[[#This Row],[WBE Status]],1))="S","sì","no")</f>
        <v>no</v>
      </c>
      <c r="B70">
        <v>2021</v>
      </c>
      <c r="C70" t="e">
        <f>VLOOKUP(tabSuperdettagli[[#This Row],[WBS_]],Pivot_AnnoPrimaMarcatura!A:B,2,FALSE)</f>
        <v>#N/A</v>
      </c>
      <c r="D70" t="str">
        <f>LEFT(tabSuperdettagli[[#This Row],[Network]], 10)</f>
        <v/>
      </c>
      <c r="E70" t="str">
        <f>LEFT(tabSuperdettagli[[#This Row],[Network]], 1)</f>
        <v/>
      </c>
      <c r="F70" t="str">
        <f>LOWER(TRIM( tabSuperdettagli[[#This Row],[Proj. Type ]] ))</f>
        <v/>
      </c>
      <c r="G70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70" t="str">
        <f>IF(  TRIM(tabSuperdettagli[[#This Row],[Raggr. X Struttura]])&gt; "", TRIM(tabSuperdettagli[[#This Row],[Raggr. X Struttura]]), TRIM(tabSuperdettagli[[#This Row],[Resp DT]] ) )</f>
        <v>Gruppo struttura 3</v>
      </c>
      <c r="J70">
        <f>tabSuperdettagli[[#This Row],[Total]]</f>
        <v>1055</v>
      </c>
      <c r="K70">
        <f>tabSuperdettagli[[#This Row],[01.2025]]</f>
        <v>101</v>
      </c>
      <c r="L70">
        <f>tabSuperdettagli[[#This Row],[02.2025]]</f>
        <v>102</v>
      </c>
      <c r="M70">
        <f>tabSuperdettagli[[#This Row],[03.2025]]</f>
        <v>103</v>
      </c>
      <c r="N70">
        <f>tabSuperdettagli[[#This Row],[04.2025]]</f>
        <v>104</v>
      </c>
      <c r="O70">
        <f>tabSuperdettagli[[#This Row],[05.2025]]</f>
        <v>105</v>
      </c>
      <c r="P70">
        <f>tabSuperdettagli[[#This Row],[06.2025]]</f>
        <v>106</v>
      </c>
      <c r="Q70">
        <f>tabSuperdettagli[[#This Row],[07.2025]]</f>
        <v>107</v>
      </c>
      <c r="R70">
        <f>tabSuperdettagli[[#This Row],[08.2025]]</f>
        <v>108</v>
      </c>
      <c r="S70">
        <f>tabSuperdettagli[[#This Row],[09.2025]]</f>
        <v>109</v>
      </c>
      <c r="T70">
        <f>tabSuperdettagli[[#This Row],[10.2025]]</f>
        <v>110</v>
      </c>
      <c r="U70">
        <f>tabSuperdettagli[[#This Row],[11.2025]]</f>
        <v>0</v>
      </c>
      <c r="V70">
        <f>tabSuperdettagli[[#This Row],[12.2025]]</f>
        <v>0</v>
      </c>
      <c r="W70" t="str">
        <f>tabSuperdettagli[[#This Row],[INT/EST]]</f>
        <v>Est.</v>
      </c>
      <c r="X70" t="str">
        <f>tabSuperdettagli[[#This Row],[Resp 2°liv]]&amp;""</f>
        <v/>
      </c>
      <c r="Y70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70" t="str">
        <f>tabSuperdettagli[[#This Row],[WBS Element]]&amp;""</f>
        <v/>
      </c>
      <c r="AA70">
        <f>tabSuperdettagli[[#This Row],[09.2025]]</f>
        <v>109</v>
      </c>
      <c r="AC70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70" t="str">
        <f>LEFT(tabSuperdettagli[[#This Row],[Network]], 18 )</f>
        <v/>
      </c>
      <c r="AE70" t="s">
        <v>287</v>
      </c>
      <c r="AP70" t="s">
        <v>292</v>
      </c>
      <c r="AQ70" t="s">
        <v>300</v>
      </c>
      <c r="AV70" t="s">
        <v>296</v>
      </c>
      <c r="BJ70">
        <v>101</v>
      </c>
      <c r="BK70">
        <v>102</v>
      </c>
      <c r="BL70">
        <v>103</v>
      </c>
      <c r="BM70">
        <v>104</v>
      </c>
      <c r="BN70">
        <v>105</v>
      </c>
      <c r="BO70">
        <v>106</v>
      </c>
      <c r="BP70">
        <v>107</v>
      </c>
      <c r="BQ70">
        <v>108</v>
      </c>
      <c r="BR70">
        <v>109</v>
      </c>
      <c r="BS70">
        <v>110</v>
      </c>
      <c r="BV70">
        <v>1055</v>
      </c>
      <c r="BX70" s="122">
        <v>42207</v>
      </c>
      <c r="CB70" s="122">
        <v>42206</v>
      </c>
      <c r="CC70" s="122">
        <v>42246</v>
      </c>
    </row>
    <row r="71" spans="1:81" x14ac:dyDescent="0.25">
      <c r="A71" t="str">
        <f>IF(UPPER(LEFT(tabSuperdettagli[[#This Row],[WBE Status]],1))="S","sì","no")</f>
        <v>no</v>
      </c>
      <c r="B71">
        <v>2021</v>
      </c>
      <c r="C71" t="e">
        <f>VLOOKUP(tabSuperdettagli[[#This Row],[WBS_]],Pivot_AnnoPrimaMarcatura!A:B,2,FALSE)</f>
        <v>#N/A</v>
      </c>
      <c r="D71" t="str">
        <f>LEFT(tabSuperdettagli[[#This Row],[Network]], 10)</f>
        <v/>
      </c>
      <c r="E71" t="str">
        <f>LEFT(tabSuperdettagli[[#This Row],[Network]], 1)</f>
        <v/>
      </c>
      <c r="F71" t="str">
        <f>LOWER(TRIM( tabSuperdettagli[[#This Row],[Proj. Type ]] ))</f>
        <v/>
      </c>
      <c r="G71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71" t="str">
        <f>IF(  TRIM(tabSuperdettagli[[#This Row],[Raggr. X Struttura]])&gt; "", TRIM(tabSuperdettagli[[#This Row],[Raggr. X Struttura]]), TRIM(tabSuperdettagli[[#This Row],[Resp DT]] ) )</f>
        <v>Gruppo struttura 1</v>
      </c>
      <c r="J71">
        <f>tabSuperdettagli[[#This Row],[Total]]</f>
        <v>2055</v>
      </c>
      <c r="K71">
        <f>tabSuperdettagli[[#This Row],[01.2025]]</f>
        <v>201</v>
      </c>
      <c r="L71">
        <f>tabSuperdettagli[[#This Row],[02.2025]]</f>
        <v>202</v>
      </c>
      <c r="M71">
        <f>tabSuperdettagli[[#This Row],[03.2025]]</f>
        <v>203</v>
      </c>
      <c r="N71">
        <f>tabSuperdettagli[[#This Row],[04.2025]]</f>
        <v>204</v>
      </c>
      <c r="O71">
        <f>tabSuperdettagli[[#This Row],[05.2025]]</f>
        <v>205</v>
      </c>
      <c r="P71">
        <f>tabSuperdettagli[[#This Row],[06.2025]]</f>
        <v>206</v>
      </c>
      <c r="Q71">
        <f>tabSuperdettagli[[#This Row],[07.2025]]</f>
        <v>207</v>
      </c>
      <c r="R71">
        <f>tabSuperdettagli[[#This Row],[08.2025]]</f>
        <v>208</v>
      </c>
      <c r="S71">
        <f>tabSuperdettagli[[#This Row],[09.2025]]</f>
        <v>209</v>
      </c>
      <c r="T71">
        <f>tabSuperdettagli[[#This Row],[10.2025]]</f>
        <v>210</v>
      </c>
      <c r="U71">
        <f>tabSuperdettagli[[#This Row],[11.2025]]</f>
        <v>0</v>
      </c>
      <c r="V71">
        <f>tabSuperdettagli[[#This Row],[12.2025]]</f>
        <v>0</v>
      </c>
      <c r="W71" t="str">
        <f>tabSuperdettagli[[#This Row],[INT/EST]]</f>
        <v>Est.</v>
      </c>
      <c r="X71" t="str">
        <f>tabSuperdettagli[[#This Row],[Resp 2°liv]]&amp;""</f>
        <v/>
      </c>
      <c r="Y71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71" t="str">
        <f>tabSuperdettagli[[#This Row],[WBS Element]]&amp;""</f>
        <v/>
      </c>
      <c r="AA71">
        <f>tabSuperdettagli[[#This Row],[09.2025]]</f>
        <v>209</v>
      </c>
      <c r="AC71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71" t="str">
        <f>LEFT(tabSuperdettagli[[#This Row],[Network]], 18 )</f>
        <v/>
      </c>
      <c r="AE71" t="s">
        <v>287</v>
      </c>
      <c r="AP71" t="s">
        <v>292</v>
      </c>
      <c r="AQ71" t="s">
        <v>298</v>
      </c>
      <c r="AV71" t="s">
        <v>293</v>
      </c>
      <c r="BJ71">
        <v>201</v>
      </c>
      <c r="BK71">
        <v>202</v>
      </c>
      <c r="BL71">
        <v>203</v>
      </c>
      <c r="BM71">
        <v>204</v>
      </c>
      <c r="BN71">
        <v>205</v>
      </c>
      <c r="BO71">
        <v>206</v>
      </c>
      <c r="BP71">
        <v>207</v>
      </c>
      <c r="BQ71">
        <v>208</v>
      </c>
      <c r="BR71">
        <v>209</v>
      </c>
      <c r="BS71">
        <v>210</v>
      </c>
      <c r="BV71">
        <v>2055</v>
      </c>
      <c r="BX71" s="122">
        <v>42210</v>
      </c>
      <c r="CB71" s="122">
        <v>42209</v>
      </c>
      <c r="CC71" s="122">
        <v>42249</v>
      </c>
    </row>
    <row r="72" spans="1:81" x14ac:dyDescent="0.25">
      <c r="A72" t="str">
        <f>IF(UPPER(LEFT(tabSuperdettagli[[#This Row],[WBE Status]],1))="S","sì","no")</f>
        <v>no</v>
      </c>
      <c r="B72">
        <v>2021</v>
      </c>
      <c r="C72" t="e">
        <f>VLOOKUP(tabSuperdettagli[[#This Row],[WBS_]],Pivot_AnnoPrimaMarcatura!A:B,2,FALSE)</f>
        <v>#N/A</v>
      </c>
      <c r="D72" t="str">
        <f>LEFT(tabSuperdettagli[[#This Row],[Network]], 10)</f>
        <v/>
      </c>
      <c r="E72" t="str">
        <f>LEFT(tabSuperdettagli[[#This Row],[Network]], 1)</f>
        <v/>
      </c>
      <c r="F72" t="str">
        <f>LOWER(TRIM( tabSuperdettagli[[#This Row],[Proj. Type ]] ))</f>
        <v/>
      </c>
      <c r="G72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72" t="str">
        <f>IF(  TRIM(tabSuperdettagli[[#This Row],[Raggr. X Struttura]])&gt; "", TRIM(tabSuperdettagli[[#This Row],[Raggr. X Struttura]]), TRIM(tabSuperdettagli[[#This Row],[Resp DT]] ) )</f>
        <v>Gruppo struttura 5</v>
      </c>
      <c r="J72">
        <f>tabSuperdettagli[[#This Row],[Total]]</f>
        <v>3055</v>
      </c>
      <c r="K72">
        <f>tabSuperdettagli[[#This Row],[01.2025]]</f>
        <v>301</v>
      </c>
      <c r="L72">
        <f>tabSuperdettagli[[#This Row],[02.2025]]</f>
        <v>302</v>
      </c>
      <c r="M72">
        <f>tabSuperdettagli[[#This Row],[03.2025]]</f>
        <v>303</v>
      </c>
      <c r="N72">
        <f>tabSuperdettagli[[#This Row],[04.2025]]</f>
        <v>304</v>
      </c>
      <c r="O72">
        <f>tabSuperdettagli[[#This Row],[05.2025]]</f>
        <v>305</v>
      </c>
      <c r="P72">
        <f>tabSuperdettagli[[#This Row],[06.2025]]</f>
        <v>306</v>
      </c>
      <c r="Q72">
        <f>tabSuperdettagli[[#This Row],[07.2025]]</f>
        <v>307</v>
      </c>
      <c r="R72">
        <f>tabSuperdettagli[[#This Row],[08.2025]]</f>
        <v>308</v>
      </c>
      <c r="S72">
        <f>tabSuperdettagli[[#This Row],[09.2025]]</f>
        <v>309</v>
      </c>
      <c r="T72">
        <f>tabSuperdettagli[[#This Row],[10.2025]]</f>
        <v>310</v>
      </c>
      <c r="U72">
        <f>tabSuperdettagli[[#This Row],[11.2025]]</f>
        <v>0</v>
      </c>
      <c r="V72">
        <f>tabSuperdettagli[[#This Row],[12.2025]]</f>
        <v>0</v>
      </c>
      <c r="W72" t="str">
        <f>tabSuperdettagli[[#This Row],[INT/EST]]</f>
        <v>Est.</v>
      </c>
      <c r="X72" t="str">
        <f>tabSuperdettagli[[#This Row],[Resp 2°liv]]&amp;""</f>
        <v/>
      </c>
      <c r="Y72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72" t="str">
        <f>tabSuperdettagli[[#This Row],[WBS Element]]&amp;""</f>
        <v/>
      </c>
      <c r="AA72">
        <f>tabSuperdettagli[[#This Row],[09.2025]]</f>
        <v>309</v>
      </c>
      <c r="AC72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72" t="str">
        <f>LEFT(tabSuperdettagli[[#This Row],[Network]], 18 )</f>
        <v/>
      </c>
      <c r="AE72" t="s">
        <v>287</v>
      </c>
      <c r="AP72" t="s">
        <v>292</v>
      </c>
      <c r="AQ72" t="s">
        <v>302</v>
      </c>
      <c r="AV72" t="s">
        <v>293</v>
      </c>
      <c r="BJ72">
        <v>301</v>
      </c>
      <c r="BK72">
        <v>302</v>
      </c>
      <c r="BL72">
        <v>303</v>
      </c>
      <c r="BM72">
        <v>304</v>
      </c>
      <c r="BN72">
        <v>305</v>
      </c>
      <c r="BO72">
        <v>306</v>
      </c>
      <c r="BP72">
        <v>307</v>
      </c>
      <c r="BQ72">
        <v>308</v>
      </c>
      <c r="BR72">
        <v>309</v>
      </c>
      <c r="BS72">
        <v>310</v>
      </c>
      <c r="BV72">
        <v>3055</v>
      </c>
      <c r="BX72" s="122">
        <v>42213</v>
      </c>
      <c r="CB72" s="122">
        <v>42212</v>
      </c>
      <c r="CC72" s="122">
        <v>42252</v>
      </c>
    </row>
    <row r="73" spans="1:81" x14ac:dyDescent="0.25">
      <c r="A73" t="str">
        <f>IF(UPPER(LEFT(tabSuperdettagli[[#This Row],[WBE Status]],1))="S","sì","no")</f>
        <v>no</v>
      </c>
      <c r="B73">
        <v>2022</v>
      </c>
      <c r="C73" t="e">
        <f>VLOOKUP(tabSuperdettagli[[#This Row],[WBS_]],Pivot_AnnoPrimaMarcatura!A:B,2,FALSE)</f>
        <v>#N/A</v>
      </c>
      <c r="D73" t="str">
        <f>LEFT(tabSuperdettagli[[#This Row],[Network]], 10)</f>
        <v/>
      </c>
      <c r="E73" t="str">
        <f>LEFT(tabSuperdettagli[[#This Row],[Network]], 1)</f>
        <v/>
      </c>
      <c r="F73" t="str">
        <f>LOWER(TRIM( tabSuperdettagli[[#This Row],[Proj. Type ]] ))</f>
        <v/>
      </c>
      <c r="G73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73" t="str">
        <f>IF(  TRIM(tabSuperdettagli[[#This Row],[Raggr. X Struttura]])&gt; "", TRIM(tabSuperdettagli[[#This Row],[Raggr. X Struttura]]), TRIM(tabSuperdettagli[[#This Row],[Resp DT]] ) )</f>
        <v>Gruppo struttura 1</v>
      </c>
      <c r="J73">
        <f>tabSuperdettagli[[#This Row],[Total]]</f>
        <v>4055</v>
      </c>
      <c r="K73">
        <f>tabSuperdettagli[[#This Row],[01.2025]]</f>
        <v>401</v>
      </c>
      <c r="L73">
        <f>tabSuperdettagli[[#This Row],[02.2025]]</f>
        <v>402</v>
      </c>
      <c r="M73">
        <f>tabSuperdettagli[[#This Row],[03.2025]]</f>
        <v>403</v>
      </c>
      <c r="N73">
        <f>tabSuperdettagli[[#This Row],[04.2025]]</f>
        <v>404</v>
      </c>
      <c r="O73">
        <f>tabSuperdettagli[[#This Row],[05.2025]]</f>
        <v>405</v>
      </c>
      <c r="P73">
        <f>tabSuperdettagli[[#This Row],[06.2025]]</f>
        <v>406</v>
      </c>
      <c r="Q73">
        <f>tabSuperdettagli[[#This Row],[07.2025]]</f>
        <v>407</v>
      </c>
      <c r="R73">
        <f>tabSuperdettagli[[#This Row],[08.2025]]</f>
        <v>408</v>
      </c>
      <c r="S73">
        <f>tabSuperdettagli[[#This Row],[09.2025]]</f>
        <v>409</v>
      </c>
      <c r="T73">
        <f>tabSuperdettagli[[#This Row],[10.2025]]</f>
        <v>410</v>
      </c>
      <c r="U73">
        <f>tabSuperdettagli[[#This Row],[11.2025]]</f>
        <v>0</v>
      </c>
      <c r="V73">
        <f>tabSuperdettagli[[#This Row],[12.2025]]</f>
        <v>0</v>
      </c>
      <c r="W73" t="str">
        <f>tabSuperdettagli[[#This Row],[INT/EST]]</f>
        <v>Int.</v>
      </c>
      <c r="X73" t="str">
        <f>tabSuperdettagli[[#This Row],[Resp 2°liv]]&amp;""</f>
        <v/>
      </c>
      <c r="Y73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73" t="str">
        <f>tabSuperdettagli[[#This Row],[WBS Element]]&amp;""</f>
        <v/>
      </c>
      <c r="AA73">
        <f>tabSuperdettagli[[#This Row],[09.2025]]</f>
        <v>409</v>
      </c>
      <c r="AC73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73" t="str">
        <f>LEFT(tabSuperdettagli[[#This Row],[Network]], 18 )</f>
        <v/>
      </c>
      <c r="AE73" t="s">
        <v>288</v>
      </c>
      <c r="AP73" t="s">
        <v>180</v>
      </c>
      <c r="AQ73" t="s">
        <v>298</v>
      </c>
      <c r="AV73" t="s">
        <v>294</v>
      </c>
      <c r="BJ73">
        <v>401</v>
      </c>
      <c r="BK73">
        <v>402</v>
      </c>
      <c r="BL73">
        <v>403</v>
      </c>
      <c r="BM73">
        <v>404</v>
      </c>
      <c r="BN73">
        <v>405</v>
      </c>
      <c r="BO73">
        <v>406</v>
      </c>
      <c r="BP73">
        <v>407</v>
      </c>
      <c r="BQ73">
        <v>408</v>
      </c>
      <c r="BR73">
        <v>409</v>
      </c>
      <c r="BS73">
        <v>410</v>
      </c>
      <c r="BV73">
        <v>4055</v>
      </c>
      <c r="BX73" s="122">
        <v>42216</v>
      </c>
      <c r="CB73" s="122">
        <v>42215</v>
      </c>
      <c r="CC73" s="122">
        <v>42255</v>
      </c>
    </row>
    <row r="74" spans="1:81" x14ac:dyDescent="0.25">
      <c r="A74" t="str">
        <f>IF(UPPER(LEFT(tabSuperdettagli[[#This Row],[WBE Status]],1))="S","sì","no")</f>
        <v>no</v>
      </c>
      <c r="B74">
        <v>2022</v>
      </c>
      <c r="C74" t="e">
        <f>VLOOKUP(tabSuperdettagli[[#This Row],[WBS_]],Pivot_AnnoPrimaMarcatura!A:B,2,FALSE)</f>
        <v>#N/A</v>
      </c>
      <c r="D74" t="str">
        <f>LEFT(tabSuperdettagli[[#This Row],[Network]], 10)</f>
        <v/>
      </c>
      <c r="E74" t="str">
        <f>LEFT(tabSuperdettagli[[#This Row],[Network]], 1)</f>
        <v/>
      </c>
      <c r="F74" t="str">
        <f>LOWER(TRIM( tabSuperdettagli[[#This Row],[Proj. Type ]] ))</f>
        <v/>
      </c>
      <c r="G74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74" t="str">
        <f>IF(  TRIM(tabSuperdettagli[[#This Row],[Raggr. X Struttura]])&gt; "", TRIM(tabSuperdettagli[[#This Row],[Raggr. X Struttura]]), TRIM(tabSuperdettagli[[#This Row],[Resp DT]] ) )</f>
        <v>Gruppo struttura 1</v>
      </c>
      <c r="J74">
        <f>tabSuperdettagli[[#This Row],[Total]]</f>
        <v>5055</v>
      </c>
      <c r="K74">
        <f>tabSuperdettagli[[#This Row],[01.2025]]</f>
        <v>501</v>
      </c>
      <c r="L74">
        <f>tabSuperdettagli[[#This Row],[02.2025]]</f>
        <v>502</v>
      </c>
      <c r="M74">
        <f>tabSuperdettagli[[#This Row],[03.2025]]</f>
        <v>503</v>
      </c>
      <c r="N74">
        <f>tabSuperdettagli[[#This Row],[04.2025]]</f>
        <v>504</v>
      </c>
      <c r="O74">
        <f>tabSuperdettagli[[#This Row],[05.2025]]</f>
        <v>505</v>
      </c>
      <c r="P74">
        <f>tabSuperdettagli[[#This Row],[06.2025]]</f>
        <v>506</v>
      </c>
      <c r="Q74">
        <f>tabSuperdettagli[[#This Row],[07.2025]]</f>
        <v>507</v>
      </c>
      <c r="R74">
        <f>tabSuperdettagli[[#This Row],[08.2025]]</f>
        <v>508</v>
      </c>
      <c r="S74">
        <f>tabSuperdettagli[[#This Row],[09.2025]]</f>
        <v>509</v>
      </c>
      <c r="T74">
        <f>tabSuperdettagli[[#This Row],[10.2025]]</f>
        <v>510</v>
      </c>
      <c r="U74">
        <f>tabSuperdettagli[[#This Row],[11.2025]]</f>
        <v>0</v>
      </c>
      <c r="V74">
        <f>tabSuperdettagli[[#This Row],[12.2025]]</f>
        <v>0</v>
      </c>
      <c r="W74" t="str">
        <f>tabSuperdettagli[[#This Row],[INT/EST]]</f>
        <v>Int.</v>
      </c>
      <c r="X74" t="str">
        <f>tabSuperdettagli[[#This Row],[Resp 2°liv]]&amp;""</f>
        <v/>
      </c>
      <c r="Y74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74" t="str">
        <f>tabSuperdettagli[[#This Row],[WBS Element]]&amp;""</f>
        <v/>
      </c>
      <c r="AA74">
        <f>tabSuperdettagli[[#This Row],[09.2025]]</f>
        <v>509</v>
      </c>
      <c r="AC74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74" t="str">
        <f>LEFT(tabSuperdettagli[[#This Row],[Network]], 18 )</f>
        <v/>
      </c>
      <c r="AE74" t="s">
        <v>288</v>
      </c>
      <c r="AP74" t="s">
        <v>180</v>
      </c>
      <c r="AQ74" t="s">
        <v>298</v>
      </c>
      <c r="AV74" t="s">
        <v>293</v>
      </c>
      <c r="BJ74">
        <v>501</v>
      </c>
      <c r="BK74">
        <v>502</v>
      </c>
      <c r="BL74">
        <v>503</v>
      </c>
      <c r="BM74">
        <v>504</v>
      </c>
      <c r="BN74">
        <v>505</v>
      </c>
      <c r="BO74">
        <v>506</v>
      </c>
      <c r="BP74">
        <v>507</v>
      </c>
      <c r="BQ74">
        <v>508</v>
      </c>
      <c r="BR74">
        <v>509</v>
      </c>
      <c r="BS74">
        <v>510</v>
      </c>
      <c r="BV74">
        <v>5055</v>
      </c>
      <c r="BX74" s="122">
        <v>42219</v>
      </c>
      <c r="CB74" s="122">
        <v>42218</v>
      </c>
      <c r="CC74" s="122">
        <v>42258</v>
      </c>
    </row>
    <row r="75" spans="1:81" x14ac:dyDescent="0.25">
      <c r="A75" t="str">
        <f>IF(UPPER(LEFT(tabSuperdettagli[[#This Row],[WBE Status]],1))="S","sì","no")</f>
        <v>no</v>
      </c>
      <c r="B75">
        <v>2022</v>
      </c>
      <c r="C75" t="e">
        <f>VLOOKUP(tabSuperdettagli[[#This Row],[WBS_]],Pivot_AnnoPrimaMarcatura!A:B,2,FALSE)</f>
        <v>#N/A</v>
      </c>
      <c r="D75" t="str">
        <f>LEFT(tabSuperdettagli[[#This Row],[Network]], 10)</f>
        <v/>
      </c>
      <c r="E75" t="str">
        <f>LEFT(tabSuperdettagli[[#This Row],[Network]], 1)</f>
        <v/>
      </c>
      <c r="F75" t="str">
        <f>LOWER(TRIM( tabSuperdettagli[[#This Row],[Proj. Type ]] ))</f>
        <v/>
      </c>
      <c r="G75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75" t="str">
        <f>IF(  TRIM(tabSuperdettagli[[#This Row],[Raggr. X Struttura]])&gt; "", TRIM(tabSuperdettagli[[#This Row],[Raggr. X Struttura]]), TRIM(tabSuperdettagli[[#This Row],[Resp DT]] ) )</f>
        <v>Gruppo struttura 1</v>
      </c>
      <c r="J75">
        <f>tabSuperdettagli[[#This Row],[Total]]</f>
        <v>6055</v>
      </c>
      <c r="K75">
        <f>tabSuperdettagli[[#This Row],[01.2025]]</f>
        <v>601</v>
      </c>
      <c r="L75">
        <f>tabSuperdettagli[[#This Row],[02.2025]]</f>
        <v>602</v>
      </c>
      <c r="M75">
        <f>tabSuperdettagli[[#This Row],[03.2025]]</f>
        <v>603</v>
      </c>
      <c r="N75">
        <f>tabSuperdettagli[[#This Row],[04.2025]]</f>
        <v>604</v>
      </c>
      <c r="O75">
        <f>tabSuperdettagli[[#This Row],[05.2025]]</f>
        <v>605</v>
      </c>
      <c r="P75">
        <f>tabSuperdettagli[[#This Row],[06.2025]]</f>
        <v>606</v>
      </c>
      <c r="Q75">
        <f>tabSuperdettagli[[#This Row],[07.2025]]</f>
        <v>607</v>
      </c>
      <c r="R75">
        <f>tabSuperdettagli[[#This Row],[08.2025]]</f>
        <v>608</v>
      </c>
      <c r="S75">
        <f>tabSuperdettagli[[#This Row],[09.2025]]</f>
        <v>609</v>
      </c>
      <c r="T75">
        <f>tabSuperdettagli[[#This Row],[10.2025]]</f>
        <v>610</v>
      </c>
      <c r="U75">
        <f>tabSuperdettagli[[#This Row],[11.2025]]</f>
        <v>0</v>
      </c>
      <c r="V75">
        <f>tabSuperdettagli[[#This Row],[12.2025]]</f>
        <v>0</v>
      </c>
      <c r="W75" t="str">
        <f>tabSuperdettagli[[#This Row],[INT/EST]]</f>
        <v>Int.</v>
      </c>
      <c r="X75" t="str">
        <f>tabSuperdettagli[[#This Row],[Resp 2°liv]]&amp;""</f>
        <v/>
      </c>
      <c r="Y75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75" t="str">
        <f>tabSuperdettagli[[#This Row],[WBS Element]]&amp;""</f>
        <v/>
      </c>
      <c r="AA75">
        <f>tabSuperdettagli[[#This Row],[09.2025]]</f>
        <v>609</v>
      </c>
      <c r="AC75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75" t="str">
        <f>LEFT(tabSuperdettagli[[#This Row],[Network]], 18 )</f>
        <v/>
      </c>
      <c r="AE75" t="s">
        <v>288</v>
      </c>
      <c r="AP75" t="s">
        <v>180</v>
      </c>
      <c r="AQ75" t="s">
        <v>298</v>
      </c>
      <c r="AV75" t="s">
        <v>297</v>
      </c>
      <c r="BJ75">
        <v>601</v>
      </c>
      <c r="BK75">
        <v>602</v>
      </c>
      <c r="BL75">
        <v>603</v>
      </c>
      <c r="BM75">
        <v>604</v>
      </c>
      <c r="BN75">
        <v>605</v>
      </c>
      <c r="BO75">
        <v>606</v>
      </c>
      <c r="BP75">
        <v>607</v>
      </c>
      <c r="BQ75">
        <v>608</v>
      </c>
      <c r="BR75">
        <v>609</v>
      </c>
      <c r="BS75">
        <v>610</v>
      </c>
      <c r="BV75">
        <v>6055</v>
      </c>
      <c r="BX75" s="122">
        <v>42222</v>
      </c>
      <c r="CB75" s="122">
        <v>42221</v>
      </c>
      <c r="CC75" s="122">
        <v>42261</v>
      </c>
    </row>
    <row r="76" spans="1:81" x14ac:dyDescent="0.25">
      <c r="A76" t="str">
        <f>IF(UPPER(LEFT(tabSuperdettagli[[#This Row],[WBE Status]],1))="S","sì","no")</f>
        <v>no</v>
      </c>
      <c r="B76">
        <v>2022</v>
      </c>
      <c r="C76" t="e">
        <f>VLOOKUP(tabSuperdettagli[[#This Row],[WBS_]],Pivot_AnnoPrimaMarcatura!A:B,2,FALSE)</f>
        <v>#N/A</v>
      </c>
      <c r="D76" t="str">
        <f>LEFT(tabSuperdettagli[[#This Row],[Network]], 10)</f>
        <v/>
      </c>
      <c r="E76" t="str">
        <f>LEFT(tabSuperdettagli[[#This Row],[Network]], 1)</f>
        <v/>
      </c>
      <c r="F76" t="str">
        <f>LOWER(TRIM( tabSuperdettagli[[#This Row],[Proj. Type ]] ))</f>
        <v/>
      </c>
      <c r="G76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76" t="str">
        <f>IF(  TRIM(tabSuperdettagli[[#This Row],[Raggr. X Struttura]])&gt; "", TRIM(tabSuperdettagli[[#This Row],[Raggr. X Struttura]]), TRIM(tabSuperdettagli[[#This Row],[Resp DT]] ) )</f>
        <v>Gruppo struttura 6</v>
      </c>
      <c r="J76">
        <f>tabSuperdettagli[[#This Row],[Total]]</f>
        <v>55</v>
      </c>
      <c r="K76">
        <f>tabSuperdettagli[[#This Row],[01.2025]]</f>
        <v>1</v>
      </c>
      <c r="L76">
        <f>tabSuperdettagli[[#This Row],[02.2025]]</f>
        <v>2</v>
      </c>
      <c r="M76">
        <f>tabSuperdettagli[[#This Row],[03.2025]]</f>
        <v>3</v>
      </c>
      <c r="N76">
        <f>tabSuperdettagli[[#This Row],[04.2025]]</f>
        <v>4</v>
      </c>
      <c r="O76">
        <f>tabSuperdettagli[[#This Row],[05.2025]]</f>
        <v>5</v>
      </c>
      <c r="P76">
        <f>tabSuperdettagli[[#This Row],[06.2025]]</f>
        <v>6</v>
      </c>
      <c r="Q76">
        <f>tabSuperdettagli[[#This Row],[07.2025]]</f>
        <v>7</v>
      </c>
      <c r="R76">
        <f>tabSuperdettagli[[#This Row],[08.2025]]</f>
        <v>8</v>
      </c>
      <c r="S76">
        <f>tabSuperdettagli[[#This Row],[09.2025]]</f>
        <v>9</v>
      </c>
      <c r="T76">
        <f>tabSuperdettagli[[#This Row],[10.2025]]</f>
        <v>10</v>
      </c>
      <c r="U76">
        <f>tabSuperdettagli[[#This Row],[11.2025]]</f>
        <v>0</v>
      </c>
      <c r="V76">
        <f>tabSuperdettagli[[#This Row],[12.2025]]</f>
        <v>0</v>
      </c>
      <c r="W76" t="str">
        <f>tabSuperdettagli[[#This Row],[INT/EST]]</f>
        <v>Int.</v>
      </c>
      <c r="X76" t="str">
        <f>tabSuperdettagli[[#This Row],[Resp 2°liv]]&amp;""</f>
        <v/>
      </c>
      <c r="Y76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76" t="str">
        <f>tabSuperdettagli[[#This Row],[WBS Element]]&amp;""</f>
        <v/>
      </c>
      <c r="AA76">
        <f>tabSuperdettagli[[#This Row],[09.2025]]</f>
        <v>9</v>
      </c>
      <c r="AC76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76" t="str">
        <f>LEFT(tabSuperdettagli[[#This Row],[Network]], 18 )</f>
        <v/>
      </c>
      <c r="AE76" t="s">
        <v>288</v>
      </c>
      <c r="AP76" t="s">
        <v>180</v>
      </c>
      <c r="AQ76" t="s">
        <v>303</v>
      </c>
      <c r="AV76" t="s">
        <v>293</v>
      </c>
      <c r="BJ76">
        <v>1</v>
      </c>
      <c r="BK76">
        <v>2</v>
      </c>
      <c r="BL76">
        <v>3</v>
      </c>
      <c r="BM76">
        <v>4</v>
      </c>
      <c r="BN76">
        <v>5</v>
      </c>
      <c r="BO76">
        <v>6</v>
      </c>
      <c r="BP76">
        <v>7</v>
      </c>
      <c r="BQ76">
        <v>8</v>
      </c>
      <c r="BR76">
        <v>9</v>
      </c>
      <c r="BS76">
        <v>10</v>
      </c>
      <c r="BV76">
        <v>55</v>
      </c>
      <c r="BX76" s="122">
        <v>42225</v>
      </c>
      <c r="CB76" s="122">
        <v>42224</v>
      </c>
      <c r="CC76" s="122">
        <v>42264</v>
      </c>
    </row>
    <row r="77" spans="1:81" x14ac:dyDescent="0.25">
      <c r="A77" t="str">
        <f>IF(UPPER(LEFT(tabSuperdettagli[[#This Row],[WBE Status]],1))="S","sì","no")</f>
        <v>no</v>
      </c>
      <c r="B77">
        <v>2022</v>
      </c>
      <c r="C77" t="e">
        <f>VLOOKUP(tabSuperdettagli[[#This Row],[WBS_]],Pivot_AnnoPrimaMarcatura!A:B,2,FALSE)</f>
        <v>#N/A</v>
      </c>
      <c r="D77" t="str">
        <f>LEFT(tabSuperdettagli[[#This Row],[Network]], 10)</f>
        <v/>
      </c>
      <c r="E77" t="str">
        <f>LEFT(tabSuperdettagli[[#This Row],[Network]], 1)</f>
        <v/>
      </c>
      <c r="F77" t="str">
        <f>LOWER(TRIM( tabSuperdettagli[[#This Row],[Proj. Type ]] ))</f>
        <v/>
      </c>
      <c r="G77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77" t="str">
        <f>IF(  TRIM(tabSuperdettagli[[#This Row],[Raggr. X Struttura]])&gt; "", TRIM(tabSuperdettagli[[#This Row],[Raggr. X Struttura]]), TRIM(tabSuperdettagli[[#This Row],[Resp DT]] ) )</f>
        <v>Gruppo struttura 2</v>
      </c>
      <c r="J77">
        <f>tabSuperdettagli[[#This Row],[Total]]</f>
        <v>1055</v>
      </c>
      <c r="K77">
        <f>tabSuperdettagli[[#This Row],[01.2025]]</f>
        <v>101</v>
      </c>
      <c r="L77">
        <f>tabSuperdettagli[[#This Row],[02.2025]]</f>
        <v>102</v>
      </c>
      <c r="M77">
        <f>tabSuperdettagli[[#This Row],[03.2025]]</f>
        <v>103</v>
      </c>
      <c r="N77">
        <f>tabSuperdettagli[[#This Row],[04.2025]]</f>
        <v>104</v>
      </c>
      <c r="O77">
        <f>tabSuperdettagli[[#This Row],[05.2025]]</f>
        <v>105</v>
      </c>
      <c r="P77">
        <f>tabSuperdettagli[[#This Row],[06.2025]]</f>
        <v>106</v>
      </c>
      <c r="Q77">
        <f>tabSuperdettagli[[#This Row],[07.2025]]</f>
        <v>107</v>
      </c>
      <c r="R77">
        <f>tabSuperdettagli[[#This Row],[08.2025]]</f>
        <v>108</v>
      </c>
      <c r="S77">
        <f>tabSuperdettagli[[#This Row],[09.2025]]</f>
        <v>109</v>
      </c>
      <c r="T77">
        <f>tabSuperdettagli[[#This Row],[10.2025]]</f>
        <v>110</v>
      </c>
      <c r="U77">
        <f>tabSuperdettagli[[#This Row],[11.2025]]</f>
        <v>0</v>
      </c>
      <c r="V77">
        <f>tabSuperdettagli[[#This Row],[12.2025]]</f>
        <v>0</v>
      </c>
      <c r="W77" t="str">
        <f>tabSuperdettagli[[#This Row],[INT/EST]]</f>
        <v>Est.</v>
      </c>
      <c r="X77" t="str">
        <f>tabSuperdettagli[[#This Row],[Resp 2°liv]]&amp;""</f>
        <v/>
      </c>
      <c r="Y77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77" t="str">
        <f>tabSuperdettagli[[#This Row],[WBS Element]]&amp;""</f>
        <v/>
      </c>
      <c r="AA77">
        <f>tabSuperdettagli[[#This Row],[09.2025]]</f>
        <v>109</v>
      </c>
      <c r="AC77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77" t="str">
        <f>LEFT(tabSuperdettagli[[#This Row],[Network]], 18 )</f>
        <v/>
      </c>
      <c r="AE77" t="s">
        <v>288</v>
      </c>
      <c r="AP77" t="s">
        <v>292</v>
      </c>
      <c r="AQ77" t="s">
        <v>299</v>
      </c>
      <c r="AV77" t="s">
        <v>293</v>
      </c>
      <c r="BJ77">
        <v>101</v>
      </c>
      <c r="BK77">
        <v>102</v>
      </c>
      <c r="BL77">
        <v>103</v>
      </c>
      <c r="BM77">
        <v>104</v>
      </c>
      <c r="BN77">
        <v>105</v>
      </c>
      <c r="BO77">
        <v>106</v>
      </c>
      <c r="BP77">
        <v>107</v>
      </c>
      <c r="BQ77">
        <v>108</v>
      </c>
      <c r="BR77">
        <v>109</v>
      </c>
      <c r="BS77">
        <v>110</v>
      </c>
      <c r="BV77">
        <v>1055</v>
      </c>
      <c r="BX77" s="122">
        <v>42228</v>
      </c>
      <c r="CB77" s="122">
        <v>42227</v>
      </c>
      <c r="CC77" s="122">
        <v>42267</v>
      </c>
    </row>
    <row r="78" spans="1:81" x14ac:dyDescent="0.25">
      <c r="A78" t="str">
        <f>IF(UPPER(LEFT(tabSuperdettagli[[#This Row],[WBE Status]],1))="S","sì","no")</f>
        <v>no</v>
      </c>
      <c r="B78">
        <v>2022</v>
      </c>
      <c r="C78" t="e">
        <f>VLOOKUP(tabSuperdettagli[[#This Row],[WBS_]],Pivot_AnnoPrimaMarcatura!A:B,2,FALSE)</f>
        <v>#N/A</v>
      </c>
      <c r="D78" t="str">
        <f>LEFT(tabSuperdettagli[[#This Row],[Network]], 10)</f>
        <v/>
      </c>
      <c r="E78" t="str">
        <f>LEFT(tabSuperdettagli[[#This Row],[Network]], 1)</f>
        <v/>
      </c>
      <c r="F78" t="str">
        <f>LOWER(TRIM( tabSuperdettagli[[#This Row],[Proj. Type ]] ))</f>
        <v/>
      </c>
      <c r="G78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78" t="str">
        <f>IF(  TRIM(tabSuperdettagli[[#This Row],[Raggr. X Struttura]])&gt; "", TRIM(tabSuperdettagli[[#This Row],[Raggr. X Struttura]]), TRIM(tabSuperdettagli[[#This Row],[Resp DT]] ) )</f>
        <v>Gruppo struttura 2</v>
      </c>
      <c r="J78">
        <f>tabSuperdettagli[[#This Row],[Total]]</f>
        <v>2055</v>
      </c>
      <c r="K78">
        <f>tabSuperdettagli[[#This Row],[01.2025]]</f>
        <v>201</v>
      </c>
      <c r="L78">
        <f>tabSuperdettagli[[#This Row],[02.2025]]</f>
        <v>202</v>
      </c>
      <c r="M78">
        <f>tabSuperdettagli[[#This Row],[03.2025]]</f>
        <v>203</v>
      </c>
      <c r="N78">
        <f>tabSuperdettagli[[#This Row],[04.2025]]</f>
        <v>204</v>
      </c>
      <c r="O78">
        <f>tabSuperdettagli[[#This Row],[05.2025]]</f>
        <v>205</v>
      </c>
      <c r="P78">
        <f>tabSuperdettagli[[#This Row],[06.2025]]</f>
        <v>206</v>
      </c>
      <c r="Q78">
        <f>tabSuperdettagli[[#This Row],[07.2025]]</f>
        <v>207</v>
      </c>
      <c r="R78">
        <f>tabSuperdettagli[[#This Row],[08.2025]]</f>
        <v>208</v>
      </c>
      <c r="S78">
        <f>tabSuperdettagli[[#This Row],[09.2025]]</f>
        <v>209</v>
      </c>
      <c r="T78">
        <f>tabSuperdettagli[[#This Row],[10.2025]]</f>
        <v>210</v>
      </c>
      <c r="U78">
        <f>tabSuperdettagli[[#This Row],[11.2025]]</f>
        <v>0</v>
      </c>
      <c r="V78">
        <f>tabSuperdettagli[[#This Row],[12.2025]]</f>
        <v>0</v>
      </c>
      <c r="W78" t="str">
        <f>tabSuperdettagli[[#This Row],[INT/EST]]</f>
        <v>Est.</v>
      </c>
      <c r="X78" t="str">
        <f>tabSuperdettagli[[#This Row],[Resp 2°liv]]&amp;""</f>
        <v/>
      </c>
      <c r="Y78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78" t="str">
        <f>tabSuperdettagli[[#This Row],[WBS Element]]&amp;""</f>
        <v/>
      </c>
      <c r="AA78">
        <f>tabSuperdettagli[[#This Row],[09.2025]]</f>
        <v>209</v>
      </c>
      <c r="AC78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78" t="str">
        <f>LEFT(tabSuperdettagli[[#This Row],[Network]], 18 )</f>
        <v/>
      </c>
      <c r="AE78" t="s">
        <v>288</v>
      </c>
      <c r="AP78" t="s">
        <v>292</v>
      </c>
      <c r="AQ78" t="s">
        <v>299</v>
      </c>
      <c r="AV78" t="s">
        <v>293</v>
      </c>
      <c r="BJ78">
        <v>201</v>
      </c>
      <c r="BK78">
        <v>202</v>
      </c>
      <c r="BL78">
        <v>203</v>
      </c>
      <c r="BM78">
        <v>204</v>
      </c>
      <c r="BN78">
        <v>205</v>
      </c>
      <c r="BO78">
        <v>206</v>
      </c>
      <c r="BP78">
        <v>207</v>
      </c>
      <c r="BQ78">
        <v>208</v>
      </c>
      <c r="BR78">
        <v>209</v>
      </c>
      <c r="BS78">
        <v>210</v>
      </c>
      <c r="BV78">
        <v>2055</v>
      </c>
      <c r="BX78" s="122">
        <v>42231</v>
      </c>
      <c r="CB78" s="122">
        <v>42230</v>
      </c>
      <c r="CC78" s="122">
        <v>42270</v>
      </c>
    </row>
    <row r="79" spans="1:81" x14ac:dyDescent="0.25">
      <c r="A79" t="str">
        <f>IF(UPPER(LEFT(tabSuperdettagli[[#This Row],[WBE Status]],1))="S","sì","no")</f>
        <v>no</v>
      </c>
      <c r="B79">
        <v>2022</v>
      </c>
      <c r="C79" t="e">
        <f>VLOOKUP(tabSuperdettagli[[#This Row],[WBS_]],Pivot_AnnoPrimaMarcatura!A:B,2,FALSE)</f>
        <v>#N/A</v>
      </c>
      <c r="D79" t="str">
        <f>LEFT(tabSuperdettagli[[#This Row],[Network]], 10)</f>
        <v/>
      </c>
      <c r="E79" t="str">
        <f>LEFT(tabSuperdettagli[[#This Row],[Network]], 1)</f>
        <v/>
      </c>
      <c r="F79" t="str">
        <f>LOWER(TRIM( tabSuperdettagli[[#This Row],[Proj. Type ]] ))</f>
        <v/>
      </c>
      <c r="G79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79" t="str">
        <f>IF(  TRIM(tabSuperdettagli[[#This Row],[Raggr. X Struttura]])&gt; "", TRIM(tabSuperdettagli[[#This Row],[Raggr. X Struttura]]), TRIM(tabSuperdettagli[[#This Row],[Resp DT]] ) )</f>
        <v>Gruppo struttura 1</v>
      </c>
      <c r="J79">
        <f>tabSuperdettagli[[#This Row],[Total]]</f>
        <v>3055</v>
      </c>
      <c r="K79">
        <f>tabSuperdettagli[[#This Row],[01.2025]]</f>
        <v>301</v>
      </c>
      <c r="L79">
        <f>tabSuperdettagli[[#This Row],[02.2025]]</f>
        <v>302</v>
      </c>
      <c r="M79">
        <f>tabSuperdettagli[[#This Row],[03.2025]]</f>
        <v>303</v>
      </c>
      <c r="N79">
        <f>tabSuperdettagli[[#This Row],[04.2025]]</f>
        <v>304</v>
      </c>
      <c r="O79">
        <f>tabSuperdettagli[[#This Row],[05.2025]]</f>
        <v>305</v>
      </c>
      <c r="P79">
        <f>tabSuperdettagli[[#This Row],[06.2025]]</f>
        <v>306</v>
      </c>
      <c r="Q79">
        <f>tabSuperdettagli[[#This Row],[07.2025]]</f>
        <v>307</v>
      </c>
      <c r="R79">
        <f>tabSuperdettagli[[#This Row],[08.2025]]</f>
        <v>308</v>
      </c>
      <c r="S79">
        <f>tabSuperdettagli[[#This Row],[09.2025]]</f>
        <v>309</v>
      </c>
      <c r="T79">
        <f>tabSuperdettagli[[#This Row],[10.2025]]</f>
        <v>310</v>
      </c>
      <c r="U79">
        <f>tabSuperdettagli[[#This Row],[11.2025]]</f>
        <v>0</v>
      </c>
      <c r="V79">
        <f>tabSuperdettagli[[#This Row],[12.2025]]</f>
        <v>0</v>
      </c>
      <c r="W79" t="str">
        <f>tabSuperdettagli[[#This Row],[INT/EST]]</f>
        <v>Est.</v>
      </c>
      <c r="X79" t="str">
        <f>tabSuperdettagli[[#This Row],[Resp 2°liv]]&amp;""</f>
        <v/>
      </c>
      <c r="Y79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79" t="str">
        <f>tabSuperdettagli[[#This Row],[WBS Element]]&amp;""</f>
        <v/>
      </c>
      <c r="AA79">
        <f>tabSuperdettagli[[#This Row],[09.2025]]</f>
        <v>309</v>
      </c>
      <c r="AC79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79" t="str">
        <f>LEFT(tabSuperdettagli[[#This Row],[Network]], 18 )</f>
        <v/>
      </c>
      <c r="AE79" t="s">
        <v>288</v>
      </c>
      <c r="AP79" t="s">
        <v>292</v>
      </c>
      <c r="AQ79" t="s">
        <v>298</v>
      </c>
      <c r="AV79" t="s">
        <v>293</v>
      </c>
      <c r="BJ79">
        <v>301</v>
      </c>
      <c r="BK79">
        <v>302</v>
      </c>
      <c r="BL79">
        <v>303</v>
      </c>
      <c r="BM79">
        <v>304</v>
      </c>
      <c r="BN79">
        <v>305</v>
      </c>
      <c r="BO79">
        <v>306</v>
      </c>
      <c r="BP79">
        <v>307</v>
      </c>
      <c r="BQ79">
        <v>308</v>
      </c>
      <c r="BR79">
        <v>309</v>
      </c>
      <c r="BS79">
        <v>310</v>
      </c>
      <c r="BV79">
        <v>3055</v>
      </c>
      <c r="BX79" s="122">
        <v>42234</v>
      </c>
      <c r="CB79" s="122">
        <v>42233</v>
      </c>
      <c r="CC79" s="122">
        <v>42273</v>
      </c>
    </row>
    <row r="80" spans="1:81" x14ac:dyDescent="0.25">
      <c r="A80" t="str">
        <f>IF(UPPER(LEFT(tabSuperdettagli[[#This Row],[WBE Status]],1))="S","sì","no")</f>
        <v>no</v>
      </c>
      <c r="B80">
        <v>2022</v>
      </c>
      <c r="C80" t="e">
        <f>VLOOKUP(tabSuperdettagli[[#This Row],[WBS_]],Pivot_AnnoPrimaMarcatura!A:B,2,FALSE)</f>
        <v>#N/A</v>
      </c>
      <c r="D80" t="str">
        <f>LEFT(tabSuperdettagli[[#This Row],[Network]], 10)</f>
        <v/>
      </c>
      <c r="E80" t="str">
        <f>LEFT(tabSuperdettagli[[#This Row],[Network]], 1)</f>
        <v/>
      </c>
      <c r="F80" t="str">
        <f>LOWER(TRIM( tabSuperdettagli[[#This Row],[Proj. Type ]] ))</f>
        <v/>
      </c>
      <c r="G80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80" t="str">
        <f>IF(  TRIM(tabSuperdettagli[[#This Row],[Raggr. X Struttura]])&gt; "", TRIM(tabSuperdettagli[[#This Row],[Raggr. X Struttura]]), TRIM(tabSuperdettagli[[#This Row],[Resp DT]] ) )</f>
        <v>Gruppo struttura 1</v>
      </c>
      <c r="J80">
        <f>tabSuperdettagli[[#This Row],[Total]]</f>
        <v>4055</v>
      </c>
      <c r="K80">
        <f>tabSuperdettagli[[#This Row],[01.2025]]</f>
        <v>401</v>
      </c>
      <c r="L80">
        <f>tabSuperdettagli[[#This Row],[02.2025]]</f>
        <v>402</v>
      </c>
      <c r="M80">
        <f>tabSuperdettagli[[#This Row],[03.2025]]</f>
        <v>403</v>
      </c>
      <c r="N80">
        <f>tabSuperdettagli[[#This Row],[04.2025]]</f>
        <v>404</v>
      </c>
      <c r="O80">
        <f>tabSuperdettagli[[#This Row],[05.2025]]</f>
        <v>405</v>
      </c>
      <c r="P80">
        <f>tabSuperdettagli[[#This Row],[06.2025]]</f>
        <v>406</v>
      </c>
      <c r="Q80">
        <f>tabSuperdettagli[[#This Row],[07.2025]]</f>
        <v>407</v>
      </c>
      <c r="R80">
        <f>tabSuperdettagli[[#This Row],[08.2025]]</f>
        <v>408</v>
      </c>
      <c r="S80">
        <f>tabSuperdettagli[[#This Row],[09.2025]]</f>
        <v>409</v>
      </c>
      <c r="T80">
        <f>tabSuperdettagli[[#This Row],[10.2025]]</f>
        <v>410</v>
      </c>
      <c r="U80">
        <f>tabSuperdettagli[[#This Row],[11.2025]]</f>
        <v>0</v>
      </c>
      <c r="V80">
        <f>tabSuperdettagli[[#This Row],[12.2025]]</f>
        <v>0</v>
      </c>
      <c r="W80" t="str">
        <f>tabSuperdettagli[[#This Row],[INT/EST]]</f>
        <v>Int.</v>
      </c>
      <c r="X80" t="str">
        <f>tabSuperdettagli[[#This Row],[Resp 2°liv]]&amp;""</f>
        <v/>
      </c>
      <c r="Y80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80" t="str">
        <f>tabSuperdettagli[[#This Row],[WBS Element]]&amp;""</f>
        <v/>
      </c>
      <c r="AA80">
        <f>tabSuperdettagli[[#This Row],[09.2025]]</f>
        <v>409</v>
      </c>
      <c r="AC80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80" t="str">
        <f>LEFT(tabSuperdettagli[[#This Row],[Network]], 18 )</f>
        <v/>
      </c>
      <c r="AE80" t="s">
        <v>288</v>
      </c>
      <c r="AP80" t="s">
        <v>180</v>
      </c>
      <c r="AQ80" t="s">
        <v>298</v>
      </c>
      <c r="AV80" t="s">
        <v>293</v>
      </c>
      <c r="BJ80">
        <v>401</v>
      </c>
      <c r="BK80">
        <v>402</v>
      </c>
      <c r="BL80">
        <v>403</v>
      </c>
      <c r="BM80">
        <v>404</v>
      </c>
      <c r="BN80">
        <v>405</v>
      </c>
      <c r="BO80">
        <v>406</v>
      </c>
      <c r="BP80">
        <v>407</v>
      </c>
      <c r="BQ80">
        <v>408</v>
      </c>
      <c r="BR80">
        <v>409</v>
      </c>
      <c r="BS80">
        <v>410</v>
      </c>
      <c r="BV80">
        <v>4055</v>
      </c>
      <c r="BX80" s="122">
        <v>42237</v>
      </c>
      <c r="CB80" s="122">
        <v>42236</v>
      </c>
      <c r="CC80" s="122">
        <v>42276</v>
      </c>
    </row>
    <row r="81" spans="1:81" x14ac:dyDescent="0.25">
      <c r="A81" t="str">
        <f>IF(UPPER(LEFT(tabSuperdettagli[[#This Row],[WBE Status]],1))="S","sì","no")</f>
        <v>no</v>
      </c>
      <c r="B81">
        <v>2022</v>
      </c>
      <c r="C81" t="e">
        <f>VLOOKUP(tabSuperdettagli[[#This Row],[WBS_]],Pivot_AnnoPrimaMarcatura!A:B,2,FALSE)</f>
        <v>#N/A</v>
      </c>
      <c r="D81" t="str">
        <f>LEFT(tabSuperdettagli[[#This Row],[Network]], 10)</f>
        <v/>
      </c>
      <c r="E81" t="str">
        <f>LEFT(tabSuperdettagli[[#This Row],[Network]], 1)</f>
        <v/>
      </c>
      <c r="F81" t="str">
        <f>LOWER(TRIM( tabSuperdettagli[[#This Row],[Proj. Type ]] ))</f>
        <v/>
      </c>
      <c r="G81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81" t="str">
        <f>IF(  TRIM(tabSuperdettagli[[#This Row],[Raggr. X Struttura]])&gt; "", TRIM(tabSuperdettagli[[#This Row],[Raggr. X Struttura]]), TRIM(tabSuperdettagli[[#This Row],[Resp DT]] ) )</f>
        <v>Gruppo struttura 1</v>
      </c>
      <c r="J81">
        <f>tabSuperdettagli[[#This Row],[Total]]</f>
        <v>5055</v>
      </c>
      <c r="K81">
        <f>tabSuperdettagli[[#This Row],[01.2025]]</f>
        <v>501</v>
      </c>
      <c r="L81">
        <f>tabSuperdettagli[[#This Row],[02.2025]]</f>
        <v>502</v>
      </c>
      <c r="M81">
        <f>tabSuperdettagli[[#This Row],[03.2025]]</f>
        <v>503</v>
      </c>
      <c r="N81">
        <f>tabSuperdettagli[[#This Row],[04.2025]]</f>
        <v>504</v>
      </c>
      <c r="O81">
        <f>tabSuperdettagli[[#This Row],[05.2025]]</f>
        <v>505</v>
      </c>
      <c r="P81">
        <f>tabSuperdettagli[[#This Row],[06.2025]]</f>
        <v>506</v>
      </c>
      <c r="Q81">
        <f>tabSuperdettagli[[#This Row],[07.2025]]</f>
        <v>507</v>
      </c>
      <c r="R81">
        <f>tabSuperdettagli[[#This Row],[08.2025]]</f>
        <v>508</v>
      </c>
      <c r="S81">
        <f>tabSuperdettagli[[#This Row],[09.2025]]</f>
        <v>509</v>
      </c>
      <c r="T81">
        <f>tabSuperdettagli[[#This Row],[10.2025]]</f>
        <v>510</v>
      </c>
      <c r="U81">
        <f>tabSuperdettagli[[#This Row],[11.2025]]</f>
        <v>0</v>
      </c>
      <c r="V81">
        <f>tabSuperdettagli[[#This Row],[12.2025]]</f>
        <v>0</v>
      </c>
      <c r="W81" t="str">
        <f>tabSuperdettagli[[#This Row],[INT/EST]]</f>
        <v>Est.</v>
      </c>
      <c r="X81" t="str">
        <f>tabSuperdettagli[[#This Row],[Resp 2°liv]]&amp;""</f>
        <v/>
      </c>
      <c r="Y81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81" t="str">
        <f>tabSuperdettagli[[#This Row],[WBS Element]]&amp;""</f>
        <v/>
      </c>
      <c r="AA81">
        <f>tabSuperdettagli[[#This Row],[09.2025]]</f>
        <v>509</v>
      </c>
      <c r="AC81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81" t="str">
        <f>LEFT(tabSuperdettagli[[#This Row],[Network]], 18 )</f>
        <v/>
      </c>
      <c r="AE81" t="s">
        <v>288</v>
      </c>
      <c r="AP81" t="s">
        <v>292</v>
      </c>
      <c r="AQ81" t="s">
        <v>298</v>
      </c>
      <c r="AV81" t="s">
        <v>293</v>
      </c>
      <c r="BJ81">
        <v>501</v>
      </c>
      <c r="BK81">
        <v>502</v>
      </c>
      <c r="BL81">
        <v>503</v>
      </c>
      <c r="BM81">
        <v>504</v>
      </c>
      <c r="BN81">
        <v>505</v>
      </c>
      <c r="BO81">
        <v>506</v>
      </c>
      <c r="BP81">
        <v>507</v>
      </c>
      <c r="BQ81">
        <v>508</v>
      </c>
      <c r="BR81">
        <v>509</v>
      </c>
      <c r="BS81">
        <v>510</v>
      </c>
      <c r="BV81">
        <v>5055</v>
      </c>
      <c r="BX81" s="122">
        <v>42240</v>
      </c>
      <c r="CB81" s="122">
        <v>42239</v>
      </c>
      <c r="CC81" s="122">
        <v>42279</v>
      </c>
    </row>
    <row r="82" spans="1:81" x14ac:dyDescent="0.25">
      <c r="A82" t="str">
        <f>IF(UPPER(LEFT(tabSuperdettagli[[#This Row],[WBE Status]],1))="S","sì","no")</f>
        <v>no</v>
      </c>
      <c r="B82">
        <v>2022</v>
      </c>
      <c r="C82" t="e">
        <f>VLOOKUP(tabSuperdettagli[[#This Row],[WBS_]],Pivot_AnnoPrimaMarcatura!A:B,2,FALSE)</f>
        <v>#N/A</v>
      </c>
      <c r="D82" t="str">
        <f>LEFT(tabSuperdettagli[[#This Row],[Network]], 10)</f>
        <v/>
      </c>
      <c r="E82" t="str">
        <f>LEFT(tabSuperdettagli[[#This Row],[Network]], 1)</f>
        <v/>
      </c>
      <c r="F82" t="str">
        <f>LOWER(TRIM( tabSuperdettagli[[#This Row],[Proj. Type ]] ))</f>
        <v/>
      </c>
      <c r="G82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82" t="str">
        <f>IF(  TRIM(tabSuperdettagli[[#This Row],[Raggr. X Struttura]])&gt; "", TRIM(tabSuperdettagli[[#This Row],[Raggr. X Struttura]]), TRIM(tabSuperdettagli[[#This Row],[Resp DT]] ) )</f>
        <v>Gruppo struttura 5</v>
      </c>
      <c r="J82">
        <f>tabSuperdettagli[[#This Row],[Total]]</f>
        <v>6055</v>
      </c>
      <c r="K82">
        <f>tabSuperdettagli[[#This Row],[01.2025]]</f>
        <v>601</v>
      </c>
      <c r="L82">
        <f>tabSuperdettagli[[#This Row],[02.2025]]</f>
        <v>602</v>
      </c>
      <c r="M82">
        <f>tabSuperdettagli[[#This Row],[03.2025]]</f>
        <v>603</v>
      </c>
      <c r="N82">
        <f>tabSuperdettagli[[#This Row],[04.2025]]</f>
        <v>604</v>
      </c>
      <c r="O82">
        <f>tabSuperdettagli[[#This Row],[05.2025]]</f>
        <v>605</v>
      </c>
      <c r="P82">
        <f>tabSuperdettagli[[#This Row],[06.2025]]</f>
        <v>606</v>
      </c>
      <c r="Q82">
        <f>tabSuperdettagli[[#This Row],[07.2025]]</f>
        <v>607</v>
      </c>
      <c r="R82">
        <f>tabSuperdettagli[[#This Row],[08.2025]]</f>
        <v>608</v>
      </c>
      <c r="S82">
        <f>tabSuperdettagli[[#This Row],[09.2025]]</f>
        <v>609</v>
      </c>
      <c r="T82">
        <f>tabSuperdettagli[[#This Row],[10.2025]]</f>
        <v>610</v>
      </c>
      <c r="U82">
        <f>tabSuperdettagli[[#This Row],[11.2025]]</f>
        <v>0</v>
      </c>
      <c r="V82">
        <f>tabSuperdettagli[[#This Row],[12.2025]]</f>
        <v>0</v>
      </c>
      <c r="W82" t="str">
        <f>tabSuperdettagli[[#This Row],[INT/EST]]</f>
        <v>Est.</v>
      </c>
      <c r="X82" t="str">
        <f>tabSuperdettagli[[#This Row],[Resp 2°liv]]&amp;""</f>
        <v/>
      </c>
      <c r="Y82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82" t="str">
        <f>tabSuperdettagli[[#This Row],[WBS Element]]&amp;""</f>
        <v/>
      </c>
      <c r="AA82">
        <f>tabSuperdettagli[[#This Row],[09.2025]]</f>
        <v>609</v>
      </c>
      <c r="AC82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82" t="str">
        <f>LEFT(tabSuperdettagli[[#This Row],[Network]], 18 )</f>
        <v/>
      </c>
      <c r="AE82" t="s">
        <v>288</v>
      </c>
      <c r="AP82" t="s">
        <v>292</v>
      </c>
      <c r="AQ82" t="s">
        <v>302</v>
      </c>
      <c r="AV82" t="s">
        <v>294</v>
      </c>
      <c r="BJ82">
        <v>601</v>
      </c>
      <c r="BK82">
        <v>602</v>
      </c>
      <c r="BL82">
        <v>603</v>
      </c>
      <c r="BM82">
        <v>604</v>
      </c>
      <c r="BN82">
        <v>605</v>
      </c>
      <c r="BO82">
        <v>606</v>
      </c>
      <c r="BP82">
        <v>607</v>
      </c>
      <c r="BQ82">
        <v>608</v>
      </c>
      <c r="BR82">
        <v>609</v>
      </c>
      <c r="BS82">
        <v>610</v>
      </c>
      <c r="BV82">
        <v>6055</v>
      </c>
      <c r="BX82" s="122">
        <v>42243</v>
      </c>
      <c r="CB82" s="122">
        <v>42242</v>
      </c>
      <c r="CC82" s="122">
        <v>42282</v>
      </c>
    </row>
    <row r="83" spans="1:81" x14ac:dyDescent="0.25">
      <c r="A83" t="str">
        <f>IF(UPPER(LEFT(tabSuperdettagli[[#This Row],[WBE Status]],1))="S","sì","no")</f>
        <v>no</v>
      </c>
      <c r="B83">
        <v>2023</v>
      </c>
      <c r="C83" t="e">
        <f>VLOOKUP(tabSuperdettagli[[#This Row],[WBS_]],Pivot_AnnoPrimaMarcatura!A:B,2,FALSE)</f>
        <v>#N/A</v>
      </c>
      <c r="D83" t="str">
        <f>LEFT(tabSuperdettagli[[#This Row],[Network]], 10)</f>
        <v/>
      </c>
      <c r="E83" t="str">
        <f>LEFT(tabSuperdettagli[[#This Row],[Network]], 1)</f>
        <v/>
      </c>
      <c r="F83" t="str">
        <f>LOWER(TRIM( tabSuperdettagli[[#This Row],[Proj. Type ]] ))</f>
        <v/>
      </c>
      <c r="G83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83" t="str">
        <f>IF(  TRIM(tabSuperdettagli[[#This Row],[Raggr. X Struttura]])&gt; "", TRIM(tabSuperdettagli[[#This Row],[Raggr. X Struttura]]), TRIM(tabSuperdettagli[[#This Row],[Resp DT]] ) )</f>
        <v>Gruppo struttura 1</v>
      </c>
      <c r="J83">
        <f>tabSuperdettagli[[#This Row],[Total]]</f>
        <v>55</v>
      </c>
      <c r="K83">
        <f>tabSuperdettagli[[#This Row],[01.2025]]</f>
        <v>1</v>
      </c>
      <c r="L83">
        <f>tabSuperdettagli[[#This Row],[02.2025]]</f>
        <v>2</v>
      </c>
      <c r="M83">
        <f>tabSuperdettagli[[#This Row],[03.2025]]</f>
        <v>3</v>
      </c>
      <c r="N83">
        <f>tabSuperdettagli[[#This Row],[04.2025]]</f>
        <v>4</v>
      </c>
      <c r="O83">
        <f>tabSuperdettagli[[#This Row],[05.2025]]</f>
        <v>5</v>
      </c>
      <c r="P83">
        <f>tabSuperdettagli[[#This Row],[06.2025]]</f>
        <v>6</v>
      </c>
      <c r="Q83">
        <f>tabSuperdettagli[[#This Row],[07.2025]]</f>
        <v>7</v>
      </c>
      <c r="R83">
        <f>tabSuperdettagli[[#This Row],[08.2025]]</f>
        <v>8</v>
      </c>
      <c r="S83">
        <f>tabSuperdettagli[[#This Row],[09.2025]]</f>
        <v>9</v>
      </c>
      <c r="T83">
        <f>tabSuperdettagli[[#This Row],[10.2025]]</f>
        <v>10</v>
      </c>
      <c r="U83">
        <f>tabSuperdettagli[[#This Row],[11.2025]]</f>
        <v>0</v>
      </c>
      <c r="V83">
        <f>tabSuperdettagli[[#This Row],[12.2025]]</f>
        <v>0</v>
      </c>
      <c r="W83" t="str">
        <f>tabSuperdettagli[[#This Row],[INT/EST]]</f>
        <v>Est.</v>
      </c>
      <c r="X83" t="str">
        <f>tabSuperdettagli[[#This Row],[Resp 2°liv]]&amp;""</f>
        <v/>
      </c>
      <c r="Y83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83" t="str">
        <f>tabSuperdettagli[[#This Row],[WBS Element]]&amp;""</f>
        <v/>
      </c>
      <c r="AA83">
        <f>tabSuperdettagli[[#This Row],[09.2025]]</f>
        <v>9</v>
      </c>
      <c r="AC83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83" t="str">
        <f>LEFT(tabSuperdettagli[[#This Row],[Network]], 18 )</f>
        <v/>
      </c>
      <c r="AE83" t="s">
        <v>289</v>
      </c>
      <c r="AP83" t="s">
        <v>292</v>
      </c>
      <c r="AQ83" t="s">
        <v>298</v>
      </c>
      <c r="AV83" t="s">
        <v>293</v>
      </c>
      <c r="BJ83">
        <v>1</v>
      </c>
      <c r="BK83">
        <v>2</v>
      </c>
      <c r="BL83">
        <v>3</v>
      </c>
      <c r="BM83">
        <v>4</v>
      </c>
      <c r="BN83">
        <v>5</v>
      </c>
      <c r="BO83">
        <v>6</v>
      </c>
      <c r="BP83">
        <v>7</v>
      </c>
      <c r="BQ83">
        <v>8</v>
      </c>
      <c r="BR83">
        <v>9</v>
      </c>
      <c r="BS83">
        <v>10</v>
      </c>
      <c r="BV83">
        <v>55</v>
      </c>
      <c r="BX83" s="122">
        <v>42246</v>
      </c>
      <c r="CB83" s="122">
        <v>42245</v>
      </c>
      <c r="CC83" s="122">
        <v>42285</v>
      </c>
    </row>
    <row r="84" spans="1:81" x14ac:dyDescent="0.25">
      <c r="A84" t="str">
        <f>IF(UPPER(LEFT(tabSuperdettagli[[#This Row],[WBE Status]],1))="S","sì","no")</f>
        <v>no</v>
      </c>
      <c r="B84">
        <v>2023</v>
      </c>
      <c r="C84" t="e">
        <f>VLOOKUP(tabSuperdettagli[[#This Row],[WBS_]],Pivot_AnnoPrimaMarcatura!A:B,2,FALSE)</f>
        <v>#N/A</v>
      </c>
      <c r="D84" t="str">
        <f>LEFT(tabSuperdettagli[[#This Row],[Network]], 10)</f>
        <v/>
      </c>
      <c r="E84" t="str">
        <f>LEFT(tabSuperdettagli[[#This Row],[Network]], 1)</f>
        <v/>
      </c>
      <c r="F84" t="str">
        <f>LOWER(TRIM( tabSuperdettagli[[#This Row],[Proj. Type ]] ))</f>
        <v/>
      </c>
      <c r="G84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84" t="str">
        <f>IF(  TRIM(tabSuperdettagli[[#This Row],[Raggr. X Struttura]])&gt; "", TRIM(tabSuperdettagli[[#This Row],[Raggr. X Struttura]]), TRIM(tabSuperdettagli[[#This Row],[Resp DT]] ) )</f>
        <v>Responsabile C</v>
      </c>
      <c r="J84">
        <f>tabSuperdettagli[[#This Row],[Total]]</f>
        <v>1055</v>
      </c>
      <c r="K84">
        <f>tabSuperdettagli[[#This Row],[01.2025]]</f>
        <v>101</v>
      </c>
      <c r="L84">
        <f>tabSuperdettagli[[#This Row],[02.2025]]</f>
        <v>102</v>
      </c>
      <c r="M84">
        <f>tabSuperdettagli[[#This Row],[03.2025]]</f>
        <v>103</v>
      </c>
      <c r="N84">
        <f>tabSuperdettagli[[#This Row],[04.2025]]</f>
        <v>104</v>
      </c>
      <c r="O84">
        <f>tabSuperdettagli[[#This Row],[05.2025]]</f>
        <v>105</v>
      </c>
      <c r="P84">
        <f>tabSuperdettagli[[#This Row],[06.2025]]</f>
        <v>106</v>
      </c>
      <c r="Q84">
        <f>tabSuperdettagli[[#This Row],[07.2025]]</f>
        <v>107</v>
      </c>
      <c r="R84">
        <f>tabSuperdettagli[[#This Row],[08.2025]]</f>
        <v>108</v>
      </c>
      <c r="S84">
        <f>tabSuperdettagli[[#This Row],[09.2025]]</f>
        <v>109</v>
      </c>
      <c r="T84">
        <f>tabSuperdettagli[[#This Row],[10.2025]]</f>
        <v>110</v>
      </c>
      <c r="U84">
        <f>tabSuperdettagli[[#This Row],[11.2025]]</f>
        <v>0</v>
      </c>
      <c r="V84">
        <f>tabSuperdettagli[[#This Row],[12.2025]]</f>
        <v>0</v>
      </c>
      <c r="W84" t="str">
        <f>tabSuperdettagli[[#This Row],[INT/EST]]</f>
        <v>Est.</v>
      </c>
      <c r="X84" t="str">
        <f>tabSuperdettagli[[#This Row],[Resp 2°liv]]&amp;""</f>
        <v/>
      </c>
      <c r="Y84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84" t="str">
        <f>tabSuperdettagli[[#This Row],[WBS Element]]&amp;""</f>
        <v/>
      </c>
      <c r="AA84">
        <f>tabSuperdettagli[[#This Row],[09.2025]]</f>
        <v>109</v>
      </c>
      <c r="AC84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84" t="str">
        <f>LEFT(tabSuperdettagli[[#This Row],[Network]], 18 )</f>
        <v/>
      </c>
      <c r="AE84" t="s">
        <v>289</v>
      </c>
      <c r="AP84" t="s">
        <v>292</v>
      </c>
      <c r="AV84" t="s">
        <v>295</v>
      </c>
      <c r="BJ84">
        <v>101</v>
      </c>
      <c r="BK84">
        <v>102</v>
      </c>
      <c r="BL84">
        <v>103</v>
      </c>
      <c r="BM84">
        <v>104</v>
      </c>
      <c r="BN84">
        <v>105</v>
      </c>
      <c r="BO84">
        <v>106</v>
      </c>
      <c r="BP84">
        <v>107</v>
      </c>
      <c r="BQ84">
        <v>108</v>
      </c>
      <c r="BR84">
        <v>109</v>
      </c>
      <c r="BS84">
        <v>110</v>
      </c>
      <c r="BV84">
        <v>1055</v>
      </c>
      <c r="BX84" s="122">
        <v>42249</v>
      </c>
      <c r="CB84" s="122">
        <v>42248</v>
      </c>
      <c r="CC84" s="122">
        <v>42288</v>
      </c>
    </row>
    <row r="85" spans="1:81" x14ac:dyDescent="0.25">
      <c r="A85" t="str">
        <f>IF(UPPER(LEFT(tabSuperdettagli[[#This Row],[WBE Status]],1))="S","sì","no")</f>
        <v>no</v>
      </c>
      <c r="B85">
        <v>2023</v>
      </c>
      <c r="C85" t="e">
        <f>VLOOKUP(tabSuperdettagli[[#This Row],[WBS_]],Pivot_AnnoPrimaMarcatura!A:B,2,FALSE)</f>
        <v>#N/A</v>
      </c>
      <c r="D85" t="str">
        <f>LEFT(tabSuperdettagli[[#This Row],[Network]], 10)</f>
        <v/>
      </c>
      <c r="E85" t="str">
        <f>LEFT(tabSuperdettagli[[#This Row],[Network]], 1)</f>
        <v/>
      </c>
      <c r="F85" t="str">
        <f>LOWER(TRIM( tabSuperdettagli[[#This Row],[Proj. Type ]] ))</f>
        <v/>
      </c>
      <c r="G85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85" t="str">
        <f>IF(  TRIM(tabSuperdettagli[[#This Row],[Raggr. X Struttura]])&gt; "", TRIM(tabSuperdettagli[[#This Row],[Raggr. X Struttura]]), TRIM(tabSuperdettagli[[#This Row],[Resp DT]] ) )</f>
        <v>Gruppo struttura 2</v>
      </c>
      <c r="J85">
        <f>tabSuperdettagli[[#This Row],[Total]]</f>
        <v>2055</v>
      </c>
      <c r="K85">
        <f>tabSuperdettagli[[#This Row],[01.2025]]</f>
        <v>201</v>
      </c>
      <c r="L85">
        <f>tabSuperdettagli[[#This Row],[02.2025]]</f>
        <v>202</v>
      </c>
      <c r="M85">
        <f>tabSuperdettagli[[#This Row],[03.2025]]</f>
        <v>203</v>
      </c>
      <c r="N85">
        <f>tabSuperdettagli[[#This Row],[04.2025]]</f>
        <v>204</v>
      </c>
      <c r="O85">
        <f>tabSuperdettagli[[#This Row],[05.2025]]</f>
        <v>205</v>
      </c>
      <c r="P85">
        <f>tabSuperdettagli[[#This Row],[06.2025]]</f>
        <v>206</v>
      </c>
      <c r="Q85">
        <f>tabSuperdettagli[[#This Row],[07.2025]]</f>
        <v>207</v>
      </c>
      <c r="R85">
        <f>tabSuperdettagli[[#This Row],[08.2025]]</f>
        <v>208</v>
      </c>
      <c r="S85">
        <f>tabSuperdettagli[[#This Row],[09.2025]]</f>
        <v>209</v>
      </c>
      <c r="T85">
        <f>tabSuperdettagli[[#This Row],[10.2025]]</f>
        <v>210</v>
      </c>
      <c r="U85">
        <f>tabSuperdettagli[[#This Row],[11.2025]]</f>
        <v>0</v>
      </c>
      <c r="V85">
        <f>tabSuperdettagli[[#This Row],[12.2025]]</f>
        <v>0</v>
      </c>
      <c r="W85" t="str">
        <f>tabSuperdettagli[[#This Row],[INT/EST]]</f>
        <v>Int.</v>
      </c>
      <c r="X85" t="str">
        <f>tabSuperdettagli[[#This Row],[Resp 2°liv]]&amp;""</f>
        <v/>
      </c>
      <c r="Y85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85" t="str">
        <f>tabSuperdettagli[[#This Row],[WBS Element]]&amp;""</f>
        <v/>
      </c>
      <c r="AA85">
        <f>tabSuperdettagli[[#This Row],[09.2025]]</f>
        <v>209</v>
      </c>
      <c r="AC85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85" t="str">
        <f>LEFT(tabSuperdettagli[[#This Row],[Network]], 18 )</f>
        <v/>
      </c>
      <c r="AE85" t="s">
        <v>289</v>
      </c>
      <c r="AP85" t="s">
        <v>180</v>
      </c>
      <c r="AQ85" t="s">
        <v>299</v>
      </c>
      <c r="AV85" t="s">
        <v>293</v>
      </c>
      <c r="BJ85">
        <v>201</v>
      </c>
      <c r="BK85">
        <v>202</v>
      </c>
      <c r="BL85">
        <v>203</v>
      </c>
      <c r="BM85">
        <v>204</v>
      </c>
      <c r="BN85">
        <v>205</v>
      </c>
      <c r="BO85">
        <v>206</v>
      </c>
      <c r="BP85">
        <v>207</v>
      </c>
      <c r="BQ85">
        <v>208</v>
      </c>
      <c r="BR85">
        <v>209</v>
      </c>
      <c r="BS85">
        <v>210</v>
      </c>
      <c r="BV85">
        <v>2055</v>
      </c>
      <c r="BX85" s="122">
        <v>42252</v>
      </c>
      <c r="CB85" s="122">
        <v>42251</v>
      </c>
      <c r="CC85" s="122">
        <v>42291</v>
      </c>
    </row>
    <row r="86" spans="1:81" x14ac:dyDescent="0.25">
      <c r="A86" t="str">
        <f>IF(UPPER(LEFT(tabSuperdettagli[[#This Row],[WBE Status]],1))="S","sì","no")</f>
        <v>no</v>
      </c>
      <c r="B86">
        <v>2023</v>
      </c>
      <c r="C86" t="e">
        <f>VLOOKUP(tabSuperdettagli[[#This Row],[WBS_]],Pivot_AnnoPrimaMarcatura!A:B,2,FALSE)</f>
        <v>#N/A</v>
      </c>
      <c r="D86" t="str">
        <f>LEFT(tabSuperdettagli[[#This Row],[Network]], 10)</f>
        <v/>
      </c>
      <c r="E86" t="str">
        <f>LEFT(tabSuperdettagli[[#This Row],[Network]], 1)</f>
        <v/>
      </c>
      <c r="F86" t="str">
        <f>LOWER(TRIM( tabSuperdettagli[[#This Row],[Proj. Type ]] ))</f>
        <v/>
      </c>
      <c r="G86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86" t="str">
        <f>IF(  TRIM(tabSuperdettagli[[#This Row],[Raggr. X Struttura]])&gt; "", TRIM(tabSuperdettagli[[#This Row],[Raggr. X Struttura]]), TRIM(tabSuperdettagli[[#This Row],[Resp DT]] ) )</f>
        <v>Gruppo struttura 3</v>
      </c>
      <c r="J86">
        <f>tabSuperdettagli[[#This Row],[Total]]</f>
        <v>3055</v>
      </c>
      <c r="K86">
        <f>tabSuperdettagli[[#This Row],[01.2025]]</f>
        <v>301</v>
      </c>
      <c r="L86">
        <f>tabSuperdettagli[[#This Row],[02.2025]]</f>
        <v>302</v>
      </c>
      <c r="M86">
        <f>tabSuperdettagli[[#This Row],[03.2025]]</f>
        <v>303</v>
      </c>
      <c r="N86">
        <f>tabSuperdettagli[[#This Row],[04.2025]]</f>
        <v>304</v>
      </c>
      <c r="O86">
        <f>tabSuperdettagli[[#This Row],[05.2025]]</f>
        <v>305</v>
      </c>
      <c r="P86">
        <f>tabSuperdettagli[[#This Row],[06.2025]]</f>
        <v>306</v>
      </c>
      <c r="Q86">
        <f>tabSuperdettagli[[#This Row],[07.2025]]</f>
        <v>307</v>
      </c>
      <c r="R86">
        <f>tabSuperdettagli[[#This Row],[08.2025]]</f>
        <v>308</v>
      </c>
      <c r="S86">
        <f>tabSuperdettagli[[#This Row],[09.2025]]</f>
        <v>309</v>
      </c>
      <c r="T86">
        <f>tabSuperdettagli[[#This Row],[10.2025]]</f>
        <v>310</v>
      </c>
      <c r="U86">
        <f>tabSuperdettagli[[#This Row],[11.2025]]</f>
        <v>0</v>
      </c>
      <c r="V86">
        <f>tabSuperdettagli[[#This Row],[12.2025]]</f>
        <v>0</v>
      </c>
      <c r="W86" t="str">
        <f>tabSuperdettagli[[#This Row],[INT/EST]]</f>
        <v>Est.</v>
      </c>
      <c r="X86" t="str">
        <f>tabSuperdettagli[[#This Row],[Resp 2°liv]]&amp;""</f>
        <v/>
      </c>
      <c r="Y86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86" t="str">
        <f>tabSuperdettagli[[#This Row],[WBS Element]]&amp;""</f>
        <v/>
      </c>
      <c r="AA86">
        <f>tabSuperdettagli[[#This Row],[09.2025]]</f>
        <v>309</v>
      </c>
      <c r="AC86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86" t="str">
        <f>LEFT(tabSuperdettagli[[#This Row],[Network]], 18 )</f>
        <v/>
      </c>
      <c r="AE86" t="s">
        <v>289</v>
      </c>
      <c r="AP86" t="s">
        <v>292</v>
      </c>
      <c r="AQ86" t="s">
        <v>300</v>
      </c>
      <c r="AV86" t="s">
        <v>293</v>
      </c>
      <c r="BJ86">
        <v>301</v>
      </c>
      <c r="BK86">
        <v>302</v>
      </c>
      <c r="BL86">
        <v>303</v>
      </c>
      <c r="BM86">
        <v>304</v>
      </c>
      <c r="BN86">
        <v>305</v>
      </c>
      <c r="BO86">
        <v>306</v>
      </c>
      <c r="BP86">
        <v>307</v>
      </c>
      <c r="BQ86">
        <v>308</v>
      </c>
      <c r="BR86">
        <v>309</v>
      </c>
      <c r="BS86">
        <v>310</v>
      </c>
      <c r="BV86">
        <v>3055</v>
      </c>
      <c r="BX86" s="122">
        <v>42255</v>
      </c>
      <c r="CB86" s="122">
        <v>42254</v>
      </c>
      <c r="CC86" s="122">
        <v>42294</v>
      </c>
    </row>
    <row r="87" spans="1:81" x14ac:dyDescent="0.25">
      <c r="A87" t="str">
        <f>IF(UPPER(LEFT(tabSuperdettagli[[#This Row],[WBE Status]],1))="S","sì","no")</f>
        <v>no</v>
      </c>
      <c r="B87">
        <v>2023</v>
      </c>
      <c r="C87" t="e">
        <f>VLOOKUP(tabSuperdettagli[[#This Row],[WBS_]],Pivot_AnnoPrimaMarcatura!A:B,2,FALSE)</f>
        <v>#N/A</v>
      </c>
      <c r="D87" t="str">
        <f>LEFT(tabSuperdettagli[[#This Row],[Network]], 10)</f>
        <v/>
      </c>
      <c r="E87" t="str">
        <f>LEFT(tabSuperdettagli[[#This Row],[Network]], 1)</f>
        <v/>
      </c>
      <c r="F87" t="str">
        <f>LOWER(TRIM( tabSuperdettagli[[#This Row],[Proj. Type ]] ))</f>
        <v/>
      </c>
      <c r="G87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87" t="str">
        <f>IF(  TRIM(tabSuperdettagli[[#This Row],[Raggr. X Struttura]])&gt; "", TRIM(tabSuperdettagli[[#This Row],[Raggr. X Struttura]]), TRIM(tabSuperdettagli[[#This Row],[Resp DT]] ) )</f>
        <v>Gruppo struttura 1</v>
      </c>
      <c r="J87">
        <f>tabSuperdettagli[[#This Row],[Total]]</f>
        <v>4055</v>
      </c>
      <c r="K87">
        <f>tabSuperdettagli[[#This Row],[01.2025]]</f>
        <v>401</v>
      </c>
      <c r="L87">
        <f>tabSuperdettagli[[#This Row],[02.2025]]</f>
        <v>402</v>
      </c>
      <c r="M87">
        <f>tabSuperdettagli[[#This Row],[03.2025]]</f>
        <v>403</v>
      </c>
      <c r="N87">
        <f>tabSuperdettagli[[#This Row],[04.2025]]</f>
        <v>404</v>
      </c>
      <c r="O87">
        <f>tabSuperdettagli[[#This Row],[05.2025]]</f>
        <v>405</v>
      </c>
      <c r="P87">
        <f>tabSuperdettagli[[#This Row],[06.2025]]</f>
        <v>406</v>
      </c>
      <c r="Q87">
        <f>tabSuperdettagli[[#This Row],[07.2025]]</f>
        <v>407</v>
      </c>
      <c r="R87">
        <f>tabSuperdettagli[[#This Row],[08.2025]]</f>
        <v>408</v>
      </c>
      <c r="S87">
        <f>tabSuperdettagli[[#This Row],[09.2025]]</f>
        <v>409</v>
      </c>
      <c r="T87">
        <f>tabSuperdettagli[[#This Row],[10.2025]]</f>
        <v>410</v>
      </c>
      <c r="U87">
        <f>tabSuperdettagli[[#This Row],[11.2025]]</f>
        <v>0</v>
      </c>
      <c r="V87">
        <f>tabSuperdettagli[[#This Row],[12.2025]]</f>
        <v>0</v>
      </c>
      <c r="W87" t="str">
        <f>tabSuperdettagli[[#This Row],[INT/EST]]</f>
        <v>Est.</v>
      </c>
      <c r="X87" t="str">
        <f>tabSuperdettagli[[#This Row],[Resp 2°liv]]&amp;""</f>
        <v/>
      </c>
      <c r="Y87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87" t="str">
        <f>tabSuperdettagli[[#This Row],[WBS Element]]&amp;""</f>
        <v/>
      </c>
      <c r="AA87">
        <f>tabSuperdettagli[[#This Row],[09.2025]]</f>
        <v>409</v>
      </c>
      <c r="AC87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87" t="str">
        <f>LEFT(tabSuperdettagli[[#This Row],[Network]], 18 )</f>
        <v/>
      </c>
      <c r="AE87" t="s">
        <v>289</v>
      </c>
      <c r="AP87" t="s">
        <v>292</v>
      </c>
      <c r="AQ87" t="s">
        <v>298</v>
      </c>
      <c r="AV87" t="s">
        <v>293</v>
      </c>
      <c r="BJ87">
        <v>401</v>
      </c>
      <c r="BK87">
        <v>402</v>
      </c>
      <c r="BL87">
        <v>403</v>
      </c>
      <c r="BM87">
        <v>404</v>
      </c>
      <c r="BN87">
        <v>405</v>
      </c>
      <c r="BO87">
        <v>406</v>
      </c>
      <c r="BP87">
        <v>407</v>
      </c>
      <c r="BQ87">
        <v>408</v>
      </c>
      <c r="BR87">
        <v>409</v>
      </c>
      <c r="BS87">
        <v>410</v>
      </c>
      <c r="BV87">
        <v>4055</v>
      </c>
      <c r="BX87" s="122">
        <v>42258</v>
      </c>
      <c r="CB87" s="122">
        <v>42257</v>
      </c>
      <c r="CC87" s="122">
        <v>42297</v>
      </c>
    </row>
    <row r="88" spans="1:81" x14ac:dyDescent="0.25">
      <c r="A88" t="str">
        <f>IF(UPPER(LEFT(tabSuperdettagli[[#This Row],[WBE Status]],1))="S","sì","no")</f>
        <v>no</v>
      </c>
      <c r="B88">
        <v>2023</v>
      </c>
      <c r="C88" t="e">
        <f>VLOOKUP(tabSuperdettagli[[#This Row],[WBS_]],Pivot_AnnoPrimaMarcatura!A:B,2,FALSE)</f>
        <v>#N/A</v>
      </c>
      <c r="D88" t="str">
        <f>LEFT(tabSuperdettagli[[#This Row],[Network]], 10)</f>
        <v/>
      </c>
      <c r="E88" t="str">
        <f>LEFT(tabSuperdettagli[[#This Row],[Network]], 1)</f>
        <v/>
      </c>
      <c r="F88" t="str">
        <f>LOWER(TRIM( tabSuperdettagli[[#This Row],[Proj. Type ]] ))</f>
        <v/>
      </c>
      <c r="G88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88" t="str">
        <f>IF(  TRIM(tabSuperdettagli[[#This Row],[Raggr. X Struttura]])&gt; "", TRIM(tabSuperdettagli[[#This Row],[Raggr. X Struttura]]), TRIM(tabSuperdettagli[[#This Row],[Resp DT]] ) )</f>
        <v>Gruppo struttura 1</v>
      </c>
      <c r="J88">
        <f>tabSuperdettagli[[#This Row],[Total]]</f>
        <v>5055</v>
      </c>
      <c r="K88">
        <f>tabSuperdettagli[[#This Row],[01.2025]]</f>
        <v>501</v>
      </c>
      <c r="L88">
        <f>tabSuperdettagli[[#This Row],[02.2025]]</f>
        <v>502</v>
      </c>
      <c r="M88">
        <f>tabSuperdettagli[[#This Row],[03.2025]]</f>
        <v>503</v>
      </c>
      <c r="N88">
        <f>tabSuperdettagli[[#This Row],[04.2025]]</f>
        <v>504</v>
      </c>
      <c r="O88">
        <f>tabSuperdettagli[[#This Row],[05.2025]]</f>
        <v>505</v>
      </c>
      <c r="P88">
        <f>tabSuperdettagli[[#This Row],[06.2025]]</f>
        <v>506</v>
      </c>
      <c r="Q88">
        <f>tabSuperdettagli[[#This Row],[07.2025]]</f>
        <v>507</v>
      </c>
      <c r="R88">
        <f>tabSuperdettagli[[#This Row],[08.2025]]</f>
        <v>508</v>
      </c>
      <c r="S88">
        <f>tabSuperdettagli[[#This Row],[09.2025]]</f>
        <v>509</v>
      </c>
      <c r="T88">
        <f>tabSuperdettagli[[#This Row],[10.2025]]</f>
        <v>510</v>
      </c>
      <c r="U88">
        <f>tabSuperdettagli[[#This Row],[11.2025]]</f>
        <v>0</v>
      </c>
      <c r="V88">
        <f>tabSuperdettagli[[#This Row],[12.2025]]</f>
        <v>0</v>
      </c>
      <c r="W88" t="str">
        <f>tabSuperdettagli[[#This Row],[INT/EST]]</f>
        <v>Int.</v>
      </c>
      <c r="X88" t="str">
        <f>tabSuperdettagli[[#This Row],[Resp 2°liv]]&amp;""</f>
        <v/>
      </c>
      <c r="Y88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88" t="str">
        <f>tabSuperdettagli[[#This Row],[WBS Element]]&amp;""</f>
        <v/>
      </c>
      <c r="AA88">
        <f>tabSuperdettagli[[#This Row],[09.2025]]</f>
        <v>509</v>
      </c>
      <c r="AC88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88" t="str">
        <f>LEFT(tabSuperdettagli[[#This Row],[Network]], 18 )</f>
        <v/>
      </c>
      <c r="AE88" t="s">
        <v>289</v>
      </c>
      <c r="AP88" t="s">
        <v>180</v>
      </c>
      <c r="AQ88" t="s">
        <v>298</v>
      </c>
      <c r="AV88" t="s">
        <v>293</v>
      </c>
      <c r="BJ88">
        <v>501</v>
      </c>
      <c r="BK88">
        <v>502</v>
      </c>
      <c r="BL88">
        <v>503</v>
      </c>
      <c r="BM88">
        <v>504</v>
      </c>
      <c r="BN88">
        <v>505</v>
      </c>
      <c r="BO88">
        <v>506</v>
      </c>
      <c r="BP88">
        <v>507</v>
      </c>
      <c r="BQ88">
        <v>508</v>
      </c>
      <c r="BR88">
        <v>509</v>
      </c>
      <c r="BS88">
        <v>510</v>
      </c>
      <c r="BV88">
        <v>5055</v>
      </c>
      <c r="BX88" s="122">
        <v>42261</v>
      </c>
      <c r="CB88" s="122">
        <v>42260</v>
      </c>
      <c r="CC88" s="122">
        <v>42300</v>
      </c>
    </row>
    <row r="89" spans="1:81" x14ac:dyDescent="0.25">
      <c r="A89" t="str">
        <f>IF(UPPER(LEFT(tabSuperdettagli[[#This Row],[WBE Status]],1))="S","sì","no")</f>
        <v>no</v>
      </c>
      <c r="B89">
        <v>2023</v>
      </c>
      <c r="C89" t="e">
        <f>VLOOKUP(tabSuperdettagli[[#This Row],[WBS_]],Pivot_AnnoPrimaMarcatura!A:B,2,FALSE)</f>
        <v>#N/A</v>
      </c>
      <c r="D89" t="str">
        <f>LEFT(tabSuperdettagli[[#This Row],[Network]], 10)</f>
        <v/>
      </c>
      <c r="E89" t="str">
        <f>LEFT(tabSuperdettagli[[#This Row],[Network]], 1)</f>
        <v/>
      </c>
      <c r="F89" t="str">
        <f>LOWER(TRIM( tabSuperdettagli[[#This Row],[Proj. Type ]] ))</f>
        <v/>
      </c>
      <c r="G89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89" t="str">
        <f>IF(  TRIM(tabSuperdettagli[[#This Row],[Raggr. X Struttura]])&gt; "", TRIM(tabSuperdettagli[[#This Row],[Raggr. X Struttura]]), TRIM(tabSuperdettagli[[#This Row],[Resp DT]] ) )</f>
        <v>Gruppo struttura 1</v>
      </c>
      <c r="J89">
        <f>tabSuperdettagli[[#This Row],[Total]]</f>
        <v>6055</v>
      </c>
      <c r="K89">
        <f>tabSuperdettagli[[#This Row],[01.2025]]</f>
        <v>601</v>
      </c>
      <c r="L89">
        <f>tabSuperdettagli[[#This Row],[02.2025]]</f>
        <v>602</v>
      </c>
      <c r="M89">
        <f>tabSuperdettagli[[#This Row],[03.2025]]</f>
        <v>603</v>
      </c>
      <c r="N89">
        <f>tabSuperdettagli[[#This Row],[04.2025]]</f>
        <v>604</v>
      </c>
      <c r="O89">
        <f>tabSuperdettagli[[#This Row],[05.2025]]</f>
        <v>605</v>
      </c>
      <c r="P89">
        <f>tabSuperdettagli[[#This Row],[06.2025]]</f>
        <v>606</v>
      </c>
      <c r="Q89">
        <f>tabSuperdettagli[[#This Row],[07.2025]]</f>
        <v>607</v>
      </c>
      <c r="R89">
        <f>tabSuperdettagli[[#This Row],[08.2025]]</f>
        <v>608</v>
      </c>
      <c r="S89">
        <f>tabSuperdettagli[[#This Row],[09.2025]]</f>
        <v>609</v>
      </c>
      <c r="T89">
        <f>tabSuperdettagli[[#This Row],[10.2025]]</f>
        <v>610</v>
      </c>
      <c r="U89">
        <f>tabSuperdettagli[[#This Row],[11.2025]]</f>
        <v>0</v>
      </c>
      <c r="V89">
        <f>tabSuperdettagli[[#This Row],[12.2025]]</f>
        <v>0</v>
      </c>
      <c r="W89" t="str">
        <f>tabSuperdettagli[[#This Row],[INT/EST]]</f>
        <v>Int.</v>
      </c>
      <c r="X89" t="str">
        <f>tabSuperdettagli[[#This Row],[Resp 2°liv]]&amp;""</f>
        <v/>
      </c>
      <c r="Y89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89" t="str">
        <f>tabSuperdettagli[[#This Row],[WBS Element]]&amp;""</f>
        <v/>
      </c>
      <c r="AA89">
        <f>tabSuperdettagli[[#This Row],[09.2025]]</f>
        <v>609</v>
      </c>
      <c r="AC89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89" t="str">
        <f>LEFT(tabSuperdettagli[[#This Row],[Network]], 18 )</f>
        <v/>
      </c>
      <c r="AE89" t="s">
        <v>289</v>
      </c>
      <c r="AP89" t="s">
        <v>180</v>
      </c>
      <c r="AQ89" t="s">
        <v>298</v>
      </c>
      <c r="AV89" t="s">
        <v>293</v>
      </c>
      <c r="BJ89">
        <v>601</v>
      </c>
      <c r="BK89">
        <v>602</v>
      </c>
      <c r="BL89">
        <v>603</v>
      </c>
      <c r="BM89">
        <v>604</v>
      </c>
      <c r="BN89">
        <v>605</v>
      </c>
      <c r="BO89">
        <v>606</v>
      </c>
      <c r="BP89">
        <v>607</v>
      </c>
      <c r="BQ89">
        <v>608</v>
      </c>
      <c r="BR89">
        <v>609</v>
      </c>
      <c r="BS89">
        <v>610</v>
      </c>
      <c r="BV89">
        <v>6055</v>
      </c>
      <c r="BX89" s="122">
        <v>42264</v>
      </c>
      <c r="CB89" s="122">
        <v>42263</v>
      </c>
      <c r="CC89" s="122">
        <v>42303</v>
      </c>
    </row>
    <row r="90" spans="1:81" x14ac:dyDescent="0.25">
      <c r="A90" t="str">
        <f>IF(UPPER(LEFT(tabSuperdettagli[[#This Row],[WBE Status]],1))="S","sì","no")</f>
        <v>no</v>
      </c>
      <c r="B90">
        <v>2023</v>
      </c>
      <c r="C90" t="e">
        <f>VLOOKUP(tabSuperdettagli[[#This Row],[WBS_]],Pivot_AnnoPrimaMarcatura!A:B,2,FALSE)</f>
        <v>#N/A</v>
      </c>
      <c r="D90" t="str">
        <f>LEFT(tabSuperdettagli[[#This Row],[Network]], 10)</f>
        <v/>
      </c>
      <c r="E90" t="str">
        <f>LEFT(tabSuperdettagli[[#This Row],[Network]], 1)</f>
        <v/>
      </c>
      <c r="F90" t="str">
        <f>LOWER(TRIM( tabSuperdettagli[[#This Row],[Proj. Type ]] ))</f>
        <v/>
      </c>
      <c r="G90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90" t="str">
        <f>IF(  TRIM(tabSuperdettagli[[#This Row],[Raggr. X Struttura]])&gt; "", TRIM(tabSuperdettagli[[#This Row],[Raggr. X Struttura]]), TRIM(tabSuperdettagli[[#This Row],[Resp DT]] ) )</f>
        <v>Gruppo struttura 1</v>
      </c>
      <c r="J90">
        <f>tabSuperdettagli[[#This Row],[Total]]</f>
        <v>55</v>
      </c>
      <c r="K90">
        <f>tabSuperdettagli[[#This Row],[01.2025]]</f>
        <v>1</v>
      </c>
      <c r="L90">
        <f>tabSuperdettagli[[#This Row],[02.2025]]</f>
        <v>2</v>
      </c>
      <c r="M90">
        <f>tabSuperdettagli[[#This Row],[03.2025]]</f>
        <v>3</v>
      </c>
      <c r="N90">
        <f>tabSuperdettagli[[#This Row],[04.2025]]</f>
        <v>4</v>
      </c>
      <c r="O90">
        <f>tabSuperdettagli[[#This Row],[05.2025]]</f>
        <v>5</v>
      </c>
      <c r="P90">
        <f>tabSuperdettagli[[#This Row],[06.2025]]</f>
        <v>6</v>
      </c>
      <c r="Q90">
        <f>tabSuperdettagli[[#This Row],[07.2025]]</f>
        <v>7</v>
      </c>
      <c r="R90">
        <f>tabSuperdettagli[[#This Row],[08.2025]]</f>
        <v>8</v>
      </c>
      <c r="S90">
        <f>tabSuperdettagli[[#This Row],[09.2025]]</f>
        <v>9</v>
      </c>
      <c r="T90">
        <f>tabSuperdettagli[[#This Row],[10.2025]]</f>
        <v>10</v>
      </c>
      <c r="U90">
        <f>tabSuperdettagli[[#This Row],[11.2025]]</f>
        <v>0</v>
      </c>
      <c r="V90">
        <f>tabSuperdettagli[[#This Row],[12.2025]]</f>
        <v>0</v>
      </c>
      <c r="W90" t="str">
        <f>tabSuperdettagli[[#This Row],[INT/EST]]</f>
        <v>Int.</v>
      </c>
      <c r="X90" t="str">
        <f>tabSuperdettagli[[#This Row],[Resp 2°liv]]&amp;""</f>
        <v/>
      </c>
      <c r="Y90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90" t="str">
        <f>tabSuperdettagli[[#This Row],[WBS Element]]&amp;""</f>
        <v/>
      </c>
      <c r="AA90">
        <f>tabSuperdettagli[[#This Row],[09.2025]]</f>
        <v>9</v>
      </c>
      <c r="AC90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90" t="str">
        <f>LEFT(tabSuperdettagli[[#This Row],[Network]], 18 )</f>
        <v/>
      </c>
      <c r="AE90" t="s">
        <v>289</v>
      </c>
      <c r="AP90" t="s">
        <v>180</v>
      </c>
      <c r="AQ90" t="s">
        <v>298</v>
      </c>
      <c r="AV90" t="s">
        <v>293</v>
      </c>
      <c r="BJ90">
        <v>1</v>
      </c>
      <c r="BK90">
        <v>2</v>
      </c>
      <c r="BL90">
        <v>3</v>
      </c>
      <c r="BM90">
        <v>4</v>
      </c>
      <c r="BN90">
        <v>5</v>
      </c>
      <c r="BO90">
        <v>6</v>
      </c>
      <c r="BP90">
        <v>7</v>
      </c>
      <c r="BQ90">
        <v>8</v>
      </c>
      <c r="BR90">
        <v>9</v>
      </c>
      <c r="BS90">
        <v>10</v>
      </c>
      <c r="BV90">
        <v>55</v>
      </c>
      <c r="BX90" s="122">
        <v>42267</v>
      </c>
      <c r="CB90" s="122">
        <v>42266</v>
      </c>
      <c r="CC90" s="122">
        <v>42306</v>
      </c>
    </row>
    <row r="91" spans="1:81" x14ac:dyDescent="0.25">
      <c r="A91" t="str">
        <f>IF(UPPER(LEFT(tabSuperdettagli[[#This Row],[WBE Status]],1))="S","sì","no")</f>
        <v>no</v>
      </c>
      <c r="B91">
        <v>2023</v>
      </c>
      <c r="C91" t="e">
        <f>VLOOKUP(tabSuperdettagli[[#This Row],[WBS_]],Pivot_AnnoPrimaMarcatura!A:B,2,FALSE)</f>
        <v>#N/A</v>
      </c>
      <c r="D91" t="str">
        <f>LEFT(tabSuperdettagli[[#This Row],[Network]], 10)</f>
        <v/>
      </c>
      <c r="E91" t="str">
        <f>LEFT(tabSuperdettagli[[#This Row],[Network]], 1)</f>
        <v/>
      </c>
      <c r="F91" t="str">
        <f>LOWER(TRIM( tabSuperdettagli[[#This Row],[Proj. Type ]] ))</f>
        <v/>
      </c>
      <c r="G91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91" t="str">
        <f>IF(  TRIM(tabSuperdettagli[[#This Row],[Raggr. X Struttura]])&gt; "", TRIM(tabSuperdettagli[[#This Row],[Raggr. X Struttura]]), TRIM(tabSuperdettagli[[#This Row],[Resp DT]] ) )</f>
        <v>Gruppo struttura 4</v>
      </c>
      <c r="J91">
        <f>tabSuperdettagli[[#This Row],[Total]]</f>
        <v>1055</v>
      </c>
      <c r="K91">
        <f>tabSuperdettagli[[#This Row],[01.2025]]</f>
        <v>101</v>
      </c>
      <c r="L91">
        <f>tabSuperdettagli[[#This Row],[02.2025]]</f>
        <v>102</v>
      </c>
      <c r="M91">
        <f>tabSuperdettagli[[#This Row],[03.2025]]</f>
        <v>103</v>
      </c>
      <c r="N91">
        <f>tabSuperdettagli[[#This Row],[04.2025]]</f>
        <v>104</v>
      </c>
      <c r="O91">
        <f>tabSuperdettagli[[#This Row],[05.2025]]</f>
        <v>105</v>
      </c>
      <c r="P91">
        <f>tabSuperdettagli[[#This Row],[06.2025]]</f>
        <v>106</v>
      </c>
      <c r="Q91">
        <f>tabSuperdettagli[[#This Row],[07.2025]]</f>
        <v>107</v>
      </c>
      <c r="R91">
        <f>tabSuperdettagli[[#This Row],[08.2025]]</f>
        <v>108</v>
      </c>
      <c r="S91">
        <f>tabSuperdettagli[[#This Row],[09.2025]]</f>
        <v>109</v>
      </c>
      <c r="T91">
        <f>tabSuperdettagli[[#This Row],[10.2025]]</f>
        <v>110</v>
      </c>
      <c r="U91">
        <f>tabSuperdettagli[[#This Row],[11.2025]]</f>
        <v>0</v>
      </c>
      <c r="V91">
        <f>tabSuperdettagli[[#This Row],[12.2025]]</f>
        <v>0</v>
      </c>
      <c r="W91" t="str">
        <f>tabSuperdettagli[[#This Row],[INT/EST]]</f>
        <v>Int.</v>
      </c>
      <c r="X91" t="str">
        <f>tabSuperdettagli[[#This Row],[Resp 2°liv]]&amp;""</f>
        <v/>
      </c>
      <c r="Y91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91" t="str">
        <f>tabSuperdettagli[[#This Row],[WBS Element]]&amp;""</f>
        <v/>
      </c>
      <c r="AA91">
        <f>tabSuperdettagli[[#This Row],[09.2025]]</f>
        <v>109</v>
      </c>
      <c r="AC91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91" t="str">
        <f>LEFT(tabSuperdettagli[[#This Row],[Network]], 18 )</f>
        <v/>
      </c>
      <c r="AE91" t="s">
        <v>289</v>
      </c>
      <c r="AP91" t="s">
        <v>180</v>
      </c>
      <c r="AQ91" t="s">
        <v>301</v>
      </c>
      <c r="AV91" t="s">
        <v>293</v>
      </c>
      <c r="BJ91">
        <v>101</v>
      </c>
      <c r="BK91">
        <v>102</v>
      </c>
      <c r="BL91">
        <v>103</v>
      </c>
      <c r="BM91">
        <v>104</v>
      </c>
      <c r="BN91">
        <v>105</v>
      </c>
      <c r="BO91">
        <v>106</v>
      </c>
      <c r="BP91">
        <v>107</v>
      </c>
      <c r="BQ91">
        <v>108</v>
      </c>
      <c r="BR91">
        <v>109</v>
      </c>
      <c r="BS91">
        <v>110</v>
      </c>
      <c r="BV91">
        <v>1055</v>
      </c>
      <c r="BX91" s="122">
        <v>42270</v>
      </c>
      <c r="CB91" s="122">
        <v>42269</v>
      </c>
      <c r="CC91" s="122">
        <v>42309</v>
      </c>
    </row>
    <row r="92" spans="1:81" x14ac:dyDescent="0.25">
      <c r="A92" t="str">
        <f>IF(UPPER(LEFT(tabSuperdettagli[[#This Row],[WBE Status]],1))="S","sì","no")</f>
        <v>no</v>
      </c>
      <c r="B92">
        <v>2023</v>
      </c>
      <c r="C92" t="e">
        <f>VLOOKUP(tabSuperdettagli[[#This Row],[WBS_]],Pivot_AnnoPrimaMarcatura!A:B,2,FALSE)</f>
        <v>#N/A</v>
      </c>
      <c r="D92" t="str">
        <f>LEFT(tabSuperdettagli[[#This Row],[Network]], 10)</f>
        <v/>
      </c>
      <c r="E92" t="str">
        <f>LEFT(tabSuperdettagli[[#This Row],[Network]], 1)</f>
        <v/>
      </c>
      <c r="F92" t="str">
        <f>LOWER(TRIM( tabSuperdettagli[[#This Row],[Proj. Type ]] ))</f>
        <v/>
      </c>
      <c r="G92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92" t="str">
        <f>IF(  TRIM(tabSuperdettagli[[#This Row],[Raggr. X Struttura]])&gt; "", TRIM(tabSuperdettagli[[#This Row],[Raggr. X Struttura]]), TRIM(tabSuperdettagli[[#This Row],[Resp DT]] ) )</f>
        <v>Responsabile A</v>
      </c>
      <c r="J92">
        <f>tabSuperdettagli[[#This Row],[Total]]</f>
        <v>2055</v>
      </c>
      <c r="K92">
        <f>tabSuperdettagli[[#This Row],[01.2025]]</f>
        <v>201</v>
      </c>
      <c r="L92">
        <f>tabSuperdettagli[[#This Row],[02.2025]]</f>
        <v>202</v>
      </c>
      <c r="M92">
        <f>tabSuperdettagli[[#This Row],[03.2025]]</f>
        <v>203</v>
      </c>
      <c r="N92">
        <f>tabSuperdettagli[[#This Row],[04.2025]]</f>
        <v>204</v>
      </c>
      <c r="O92">
        <f>tabSuperdettagli[[#This Row],[05.2025]]</f>
        <v>205</v>
      </c>
      <c r="P92">
        <f>tabSuperdettagli[[#This Row],[06.2025]]</f>
        <v>206</v>
      </c>
      <c r="Q92">
        <f>tabSuperdettagli[[#This Row],[07.2025]]</f>
        <v>207</v>
      </c>
      <c r="R92">
        <f>tabSuperdettagli[[#This Row],[08.2025]]</f>
        <v>208</v>
      </c>
      <c r="S92">
        <f>tabSuperdettagli[[#This Row],[09.2025]]</f>
        <v>209</v>
      </c>
      <c r="T92">
        <f>tabSuperdettagli[[#This Row],[10.2025]]</f>
        <v>210</v>
      </c>
      <c r="U92">
        <f>tabSuperdettagli[[#This Row],[11.2025]]</f>
        <v>0</v>
      </c>
      <c r="V92">
        <f>tabSuperdettagli[[#This Row],[12.2025]]</f>
        <v>0</v>
      </c>
      <c r="W92" t="str">
        <f>tabSuperdettagli[[#This Row],[INT/EST]]</f>
        <v>Int.</v>
      </c>
      <c r="X92" t="str">
        <f>tabSuperdettagli[[#This Row],[Resp 2°liv]]&amp;""</f>
        <v/>
      </c>
      <c r="Y92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92" t="str">
        <f>tabSuperdettagli[[#This Row],[WBS Element]]&amp;""</f>
        <v/>
      </c>
      <c r="AA92">
        <f>tabSuperdettagli[[#This Row],[09.2025]]</f>
        <v>209</v>
      </c>
      <c r="AC92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92" t="str">
        <f>LEFT(tabSuperdettagli[[#This Row],[Network]], 18 )</f>
        <v/>
      </c>
      <c r="AE92" t="s">
        <v>289</v>
      </c>
      <c r="AP92" t="s">
        <v>180</v>
      </c>
      <c r="AV92" t="s">
        <v>293</v>
      </c>
      <c r="BJ92">
        <v>201</v>
      </c>
      <c r="BK92">
        <v>202</v>
      </c>
      <c r="BL92">
        <v>203</v>
      </c>
      <c r="BM92">
        <v>204</v>
      </c>
      <c r="BN92">
        <v>205</v>
      </c>
      <c r="BO92">
        <v>206</v>
      </c>
      <c r="BP92">
        <v>207</v>
      </c>
      <c r="BQ92">
        <v>208</v>
      </c>
      <c r="BR92">
        <v>209</v>
      </c>
      <c r="BS92">
        <v>210</v>
      </c>
      <c r="BV92">
        <v>2055</v>
      </c>
      <c r="BX92" s="122">
        <v>42273</v>
      </c>
      <c r="CB92" s="122">
        <v>42272</v>
      </c>
      <c r="CC92" s="122">
        <v>42312</v>
      </c>
    </row>
    <row r="93" spans="1:81" x14ac:dyDescent="0.25">
      <c r="A93" t="str">
        <f>IF(UPPER(LEFT(tabSuperdettagli[[#This Row],[WBE Status]],1))="S","sì","no")</f>
        <v>no</v>
      </c>
      <c r="B93">
        <v>2024</v>
      </c>
      <c r="C93" t="e">
        <f>VLOOKUP(tabSuperdettagli[[#This Row],[WBS_]],Pivot_AnnoPrimaMarcatura!A:B,2,FALSE)</f>
        <v>#N/A</v>
      </c>
      <c r="D93" t="str">
        <f>LEFT(tabSuperdettagli[[#This Row],[Network]], 10)</f>
        <v/>
      </c>
      <c r="E93" t="str">
        <f>LEFT(tabSuperdettagli[[#This Row],[Network]], 1)</f>
        <v/>
      </c>
      <c r="F93" t="str">
        <f>LOWER(TRIM( tabSuperdettagli[[#This Row],[Proj. Type ]] ))</f>
        <v/>
      </c>
      <c r="G93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93" t="str">
        <f>IF(  TRIM(tabSuperdettagli[[#This Row],[Raggr. X Struttura]])&gt; "", TRIM(tabSuperdettagli[[#This Row],[Raggr. X Struttura]]), TRIM(tabSuperdettagli[[#This Row],[Resp DT]] ) )</f>
        <v>Responsabile D</v>
      </c>
      <c r="J93">
        <f>tabSuperdettagli[[#This Row],[Total]]</f>
        <v>3055</v>
      </c>
      <c r="K93">
        <f>tabSuperdettagli[[#This Row],[01.2025]]</f>
        <v>301</v>
      </c>
      <c r="L93">
        <f>tabSuperdettagli[[#This Row],[02.2025]]</f>
        <v>302</v>
      </c>
      <c r="M93">
        <f>tabSuperdettagli[[#This Row],[03.2025]]</f>
        <v>303</v>
      </c>
      <c r="N93">
        <f>tabSuperdettagli[[#This Row],[04.2025]]</f>
        <v>304</v>
      </c>
      <c r="O93">
        <f>tabSuperdettagli[[#This Row],[05.2025]]</f>
        <v>305</v>
      </c>
      <c r="P93">
        <f>tabSuperdettagli[[#This Row],[06.2025]]</f>
        <v>306</v>
      </c>
      <c r="Q93">
        <f>tabSuperdettagli[[#This Row],[07.2025]]</f>
        <v>307</v>
      </c>
      <c r="R93">
        <f>tabSuperdettagli[[#This Row],[08.2025]]</f>
        <v>308</v>
      </c>
      <c r="S93">
        <f>tabSuperdettagli[[#This Row],[09.2025]]</f>
        <v>309</v>
      </c>
      <c r="T93">
        <f>tabSuperdettagli[[#This Row],[10.2025]]</f>
        <v>310</v>
      </c>
      <c r="U93">
        <f>tabSuperdettagli[[#This Row],[11.2025]]</f>
        <v>0</v>
      </c>
      <c r="V93">
        <f>tabSuperdettagli[[#This Row],[12.2025]]</f>
        <v>0</v>
      </c>
      <c r="W93" t="str">
        <f>tabSuperdettagli[[#This Row],[INT/EST]]</f>
        <v>Int.</v>
      </c>
      <c r="X93" t="str">
        <f>tabSuperdettagli[[#This Row],[Resp 2°liv]]&amp;""</f>
        <v/>
      </c>
      <c r="Y93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93" t="str">
        <f>tabSuperdettagli[[#This Row],[WBS Element]]&amp;""</f>
        <v/>
      </c>
      <c r="AA93">
        <f>tabSuperdettagli[[#This Row],[09.2025]]</f>
        <v>309</v>
      </c>
      <c r="AC93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93" t="str">
        <f>LEFT(tabSuperdettagli[[#This Row],[Network]], 18 )</f>
        <v/>
      </c>
      <c r="AE93" t="s">
        <v>290</v>
      </c>
      <c r="AP93" t="s">
        <v>180</v>
      </c>
      <c r="AV93" t="s">
        <v>296</v>
      </c>
      <c r="BJ93">
        <v>301</v>
      </c>
      <c r="BK93">
        <v>302</v>
      </c>
      <c r="BL93">
        <v>303</v>
      </c>
      <c r="BM93">
        <v>304</v>
      </c>
      <c r="BN93">
        <v>305</v>
      </c>
      <c r="BO93">
        <v>306</v>
      </c>
      <c r="BP93">
        <v>307</v>
      </c>
      <c r="BQ93">
        <v>308</v>
      </c>
      <c r="BR93">
        <v>309</v>
      </c>
      <c r="BS93">
        <v>310</v>
      </c>
      <c r="BV93">
        <v>3055</v>
      </c>
      <c r="BX93" s="122">
        <v>42276</v>
      </c>
      <c r="CB93" s="122">
        <v>42275</v>
      </c>
      <c r="CC93" s="122">
        <v>42315</v>
      </c>
    </row>
    <row r="94" spans="1:81" x14ac:dyDescent="0.25">
      <c r="A94" t="str">
        <f>IF(UPPER(LEFT(tabSuperdettagli[[#This Row],[WBE Status]],1))="S","sì","no")</f>
        <v>no</v>
      </c>
      <c r="B94">
        <v>2024</v>
      </c>
      <c r="C94" t="e">
        <f>VLOOKUP(tabSuperdettagli[[#This Row],[WBS_]],Pivot_AnnoPrimaMarcatura!A:B,2,FALSE)</f>
        <v>#N/A</v>
      </c>
      <c r="D94" t="str">
        <f>LEFT(tabSuperdettagli[[#This Row],[Network]], 10)</f>
        <v/>
      </c>
      <c r="E94" t="str">
        <f>LEFT(tabSuperdettagli[[#This Row],[Network]], 1)</f>
        <v/>
      </c>
      <c r="F94" t="str">
        <f>LOWER(TRIM( tabSuperdettagli[[#This Row],[Proj. Type ]] ))</f>
        <v/>
      </c>
      <c r="G94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94" t="str">
        <f>IF(  TRIM(tabSuperdettagli[[#This Row],[Raggr. X Struttura]])&gt; "", TRIM(tabSuperdettagli[[#This Row],[Raggr. X Struttura]]), TRIM(tabSuperdettagli[[#This Row],[Resp DT]] ) )</f>
        <v>Gruppo struttura 2</v>
      </c>
      <c r="J94">
        <f>tabSuperdettagli[[#This Row],[Total]]</f>
        <v>4055</v>
      </c>
      <c r="K94">
        <f>tabSuperdettagli[[#This Row],[01.2025]]</f>
        <v>401</v>
      </c>
      <c r="L94">
        <f>tabSuperdettagli[[#This Row],[02.2025]]</f>
        <v>402</v>
      </c>
      <c r="M94">
        <f>tabSuperdettagli[[#This Row],[03.2025]]</f>
        <v>403</v>
      </c>
      <c r="N94">
        <f>tabSuperdettagli[[#This Row],[04.2025]]</f>
        <v>404</v>
      </c>
      <c r="O94">
        <f>tabSuperdettagli[[#This Row],[05.2025]]</f>
        <v>405</v>
      </c>
      <c r="P94">
        <f>tabSuperdettagli[[#This Row],[06.2025]]</f>
        <v>406</v>
      </c>
      <c r="Q94">
        <f>tabSuperdettagli[[#This Row],[07.2025]]</f>
        <v>407</v>
      </c>
      <c r="R94">
        <f>tabSuperdettagli[[#This Row],[08.2025]]</f>
        <v>408</v>
      </c>
      <c r="S94">
        <f>tabSuperdettagli[[#This Row],[09.2025]]</f>
        <v>409</v>
      </c>
      <c r="T94">
        <f>tabSuperdettagli[[#This Row],[10.2025]]</f>
        <v>410</v>
      </c>
      <c r="U94">
        <f>tabSuperdettagli[[#This Row],[11.2025]]</f>
        <v>0</v>
      </c>
      <c r="V94">
        <f>tabSuperdettagli[[#This Row],[12.2025]]</f>
        <v>0</v>
      </c>
      <c r="W94" t="str">
        <f>tabSuperdettagli[[#This Row],[INT/EST]]</f>
        <v>Int.</v>
      </c>
      <c r="X94" t="str">
        <f>tabSuperdettagli[[#This Row],[Resp 2°liv]]&amp;""</f>
        <v/>
      </c>
      <c r="Y94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94" t="str">
        <f>tabSuperdettagli[[#This Row],[WBS Element]]&amp;""</f>
        <v/>
      </c>
      <c r="AA94">
        <f>tabSuperdettagli[[#This Row],[09.2025]]</f>
        <v>409</v>
      </c>
      <c r="AC94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94" t="str">
        <f>LEFT(tabSuperdettagli[[#This Row],[Network]], 18 )</f>
        <v/>
      </c>
      <c r="AE94" t="s">
        <v>290</v>
      </c>
      <c r="AP94" t="s">
        <v>180</v>
      </c>
      <c r="AQ94" t="s">
        <v>299</v>
      </c>
      <c r="AV94" t="s">
        <v>293</v>
      </c>
      <c r="BJ94">
        <v>401</v>
      </c>
      <c r="BK94">
        <v>402</v>
      </c>
      <c r="BL94">
        <v>403</v>
      </c>
      <c r="BM94">
        <v>404</v>
      </c>
      <c r="BN94">
        <v>405</v>
      </c>
      <c r="BO94">
        <v>406</v>
      </c>
      <c r="BP94">
        <v>407</v>
      </c>
      <c r="BQ94">
        <v>408</v>
      </c>
      <c r="BR94">
        <v>409</v>
      </c>
      <c r="BS94">
        <v>410</v>
      </c>
      <c r="BV94">
        <v>4055</v>
      </c>
      <c r="BX94" s="122">
        <v>42279</v>
      </c>
      <c r="CB94" s="122">
        <v>42278</v>
      </c>
      <c r="CC94" s="122">
        <v>42318</v>
      </c>
    </row>
    <row r="95" spans="1:81" x14ac:dyDescent="0.25">
      <c r="A95" t="str">
        <f>IF(UPPER(LEFT(tabSuperdettagli[[#This Row],[WBE Status]],1))="S","sì","no")</f>
        <v>no</v>
      </c>
      <c r="B95">
        <v>2024</v>
      </c>
      <c r="C95" t="e">
        <f>VLOOKUP(tabSuperdettagli[[#This Row],[WBS_]],Pivot_AnnoPrimaMarcatura!A:B,2,FALSE)</f>
        <v>#N/A</v>
      </c>
      <c r="D95" t="str">
        <f>LEFT(tabSuperdettagli[[#This Row],[Network]], 10)</f>
        <v/>
      </c>
      <c r="E95" t="str">
        <f>LEFT(tabSuperdettagli[[#This Row],[Network]], 1)</f>
        <v/>
      </c>
      <c r="F95" t="str">
        <f>LOWER(TRIM( tabSuperdettagli[[#This Row],[Proj. Type ]] ))</f>
        <v/>
      </c>
      <c r="G95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95" t="str">
        <f>IF(  TRIM(tabSuperdettagli[[#This Row],[Raggr. X Struttura]])&gt; "", TRIM(tabSuperdettagli[[#This Row],[Raggr. X Struttura]]), TRIM(tabSuperdettagli[[#This Row],[Resp DT]] ) )</f>
        <v>Gruppo struttura 1</v>
      </c>
      <c r="J95">
        <f>tabSuperdettagli[[#This Row],[Total]]</f>
        <v>5055</v>
      </c>
      <c r="K95">
        <f>tabSuperdettagli[[#This Row],[01.2025]]</f>
        <v>501</v>
      </c>
      <c r="L95">
        <f>tabSuperdettagli[[#This Row],[02.2025]]</f>
        <v>502</v>
      </c>
      <c r="M95">
        <f>tabSuperdettagli[[#This Row],[03.2025]]</f>
        <v>503</v>
      </c>
      <c r="N95">
        <f>tabSuperdettagli[[#This Row],[04.2025]]</f>
        <v>504</v>
      </c>
      <c r="O95">
        <f>tabSuperdettagli[[#This Row],[05.2025]]</f>
        <v>505</v>
      </c>
      <c r="P95">
        <f>tabSuperdettagli[[#This Row],[06.2025]]</f>
        <v>506</v>
      </c>
      <c r="Q95">
        <f>tabSuperdettagli[[#This Row],[07.2025]]</f>
        <v>507</v>
      </c>
      <c r="R95">
        <f>tabSuperdettagli[[#This Row],[08.2025]]</f>
        <v>508</v>
      </c>
      <c r="S95">
        <f>tabSuperdettagli[[#This Row],[09.2025]]</f>
        <v>509</v>
      </c>
      <c r="T95">
        <f>tabSuperdettagli[[#This Row],[10.2025]]</f>
        <v>510</v>
      </c>
      <c r="U95">
        <f>tabSuperdettagli[[#This Row],[11.2025]]</f>
        <v>0</v>
      </c>
      <c r="V95">
        <f>tabSuperdettagli[[#This Row],[12.2025]]</f>
        <v>0</v>
      </c>
      <c r="W95" t="str">
        <f>tabSuperdettagli[[#This Row],[INT/EST]]</f>
        <v>Int.</v>
      </c>
      <c r="X95" t="str">
        <f>tabSuperdettagli[[#This Row],[Resp 2°liv]]&amp;""</f>
        <v/>
      </c>
      <c r="Y95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95" t="str">
        <f>tabSuperdettagli[[#This Row],[WBS Element]]&amp;""</f>
        <v/>
      </c>
      <c r="AA95">
        <f>tabSuperdettagli[[#This Row],[09.2025]]</f>
        <v>509</v>
      </c>
      <c r="AC95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95" t="str">
        <f>LEFT(tabSuperdettagli[[#This Row],[Network]], 18 )</f>
        <v/>
      </c>
      <c r="AE95" t="s">
        <v>290</v>
      </c>
      <c r="AP95" t="s">
        <v>180</v>
      </c>
      <c r="AQ95" t="s">
        <v>298</v>
      </c>
      <c r="AV95" t="s">
        <v>294</v>
      </c>
      <c r="BJ95">
        <v>501</v>
      </c>
      <c r="BK95">
        <v>502</v>
      </c>
      <c r="BL95">
        <v>503</v>
      </c>
      <c r="BM95">
        <v>504</v>
      </c>
      <c r="BN95">
        <v>505</v>
      </c>
      <c r="BO95">
        <v>506</v>
      </c>
      <c r="BP95">
        <v>507</v>
      </c>
      <c r="BQ95">
        <v>508</v>
      </c>
      <c r="BR95">
        <v>509</v>
      </c>
      <c r="BS95">
        <v>510</v>
      </c>
      <c r="BV95">
        <v>5055</v>
      </c>
      <c r="BX95" s="122">
        <v>42282</v>
      </c>
      <c r="CB95" s="122">
        <v>42281</v>
      </c>
      <c r="CC95" s="122">
        <v>42321</v>
      </c>
    </row>
    <row r="96" spans="1:81" x14ac:dyDescent="0.25">
      <c r="A96" t="str">
        <f>IF(UPPER(LEFT(tabSuperdettagli[[#This Row],[WBE Status]],1))="S","sì","no")</f>
        <v>no</v>
      </c>
      <c r="B96">
        <v>2024</v>
      </c>
      <c r="C96" t="e">
        <f>VLOOKUP(tabSuperdettagli[[#This Row],[WBS_]],Pivot_AnnoPrimaMarcatura!A:B,2,FALSE)</f>
        <v>#N/A</v>
      </c>
      <c r="D96" t="str">
        <f>LEFT(tabSuperdettagli[[#This Row],[Network]], 10)</f>
        <v/>
      </c>
      <c r="E96" t="str">
        <f>LEFT(tabSuperdettagli[[#This Row],[Network]], 1)</f>
        <v/>
      </c>
      <c r="F96" t="str">
        <f>LOWER(TRIM( tabSuperdettagli[[#This Row],[Proj. Type ]] ))</f>
        <v/>
      </c>
      <c r="G96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96" t="str">
        <f>IF(  TRIM(tabSuperdettagli[[#This Row],[Raggr. X Struttura]])&gt; "", TRIM(tabSuperdettagli[[#This Row],[Raggr. X Struttura]]), TRIM(tabSuperdettagli[[#This Row],[Resp DT]] ) )</f>
        <v>Gruppo struttura 1</v>
      </c>
      <c r="J96">
        <f>tabSuperdettagli[[#This Row],[Total]]</f>
        <v>6055</v>
      </c>
      <c r="K96">
        <f>tabSuperdettagli[[#This Row],[01.2025]]</f>
        <v>601</v>
      </c>
      <c r="L96">
        <f>tabSuperdettagli[[#This Row],[02.2025]]</f>
        <v>602</v>
      </c>
      <c r="M96">
        <f>tabSuperdettagli[[#This Row],[03.2025]]</f>
        <v>603</v>
      </c>
      <c r="N96">
        <f>tabSuperdettagli[[#This Row],[04.2025]]</f>
        <v>604</v>
      </c>
      <c r="O96">
        <f>tabSuperdettagli[[#This Row],[05.2025]]</f>
        <v>605</v>
      </c>
      <c r="P96">
        <f>tabSuperdettagli[[#This Row],[06.2025]]</f>
        <v>606</v>
      </c>
      <c r="Q96">
        <f>tabSuperdettagli[[#This Row],[07.2025]]</f>
        <v>607</v>
      </c>
      <c r="R96">
        <f>tabSuperdettagli[[#This Row],[08.2025]]</f>
        <v>608</v>
      </c>
      <c r="S96">
        <f>tabSuperdettagli[[#This Row],[09.2025]]</f>
        <v>609</v>
      </c>
      <c r="T96">
        <f>tabSuperdettagli[[#This Row],[10.2025]]</f>
        <v>610</v>
      </c>
      <c r="U96">
        <f>tabSuperdettagli[[#This Row],[11.2025]]</f>
        <v>0</v>
      </c>
      <c r="V96">
        <f>tabSuperdettagli[[#This Row],[12.2025]]</f>
        <v>0</v>
      </c>
      <c r="W96" t="str">
        <f>tabSuperdettagli[[#This Row],[INT/EST]]</f>
        <v>Int.</v>
      </c>
      <c r="X96" t="str">
        <f>tabSuperdettagli[[#This Row],[Resp 2°liv]]&amp;""</f>
        <v/>
      </c>
      <c r="Y96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96" t="str">
        <f>tabSuperdettagli[[#This Row],[WBS Element]]&amp;""</f>
        <v/>
      </c>
      <c r="AA96">
        <f>tabSuperdettagli[[#This Row],[09.2025]]</f>
        <v>609</v>
      </c>
      <c r="AC96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96" t="str">
        <f>LEFT(tabSuperdettagli[[#This Row],[Network]], 18 )</f>
        <v/>
      </c>
      <c r="AE96" t="s">
        <v>290</v>
      </c>
      <c r="AP96" t="s">
        <v>180</v>
      </c>
      <c r="AQ96" t="s">
        <v>298</v>
      </c>
      <c r="AV96" t="s">
        <v>295</v>
      </c>
      <c r="BJ96">
        <v>601</v>
      </c>
      <c r="BK96">
        <v>602</v>
      </c>
      <c r="BL96">
        <v>603</v>
      </c>
      <c r="BM96">
        <v>604</v>
      </c>
      <c r="BN96">
        <v>605</v>
      </c>
      <c r="BO96">
        <v>606</v>
      </c>
      <c r="BP96">
        <v>607</v>
      </c>
      <c r="BQ96">
        <v>608</v>
      </c>
      <c r="BR96">
        <v>609</v>
      </c>
      <c r="BS96">
        <v>610</v>
      </c>
      <c r="BV96">
        <v>6055</v>
      </c>
      <c r="BX96" s="122">
        <v>42285</v>
      </c>
      <c r="CB96" s="122">
        <v>42284</v>
      </c>
      <c r="CC96" s="122">
        <v>42324</v>
      </c>
    </row>
    <row r="97" spans="1:81" x14ac:dyDescent="0.25">
      <c r="A97" t="str">
        <f>IF(UPPER(LEFT(tabSuperdettagli[[#This Row],[WBE Status]],1))="S","sì","no")</f>
        <v>no</v>
      </c>
      <c r="B97">
        <v>2024</v>
      </c>
      <c r="C97" t="e">
        <f>VLOOKUP(tabSuperdettagli[[#This Row],[WBS_]],Pivot_AnnoPrimaMarcatura!A:B,2,FALSE)</f>
        <v>#N/A</v>
      </c>
      <c r="D97" t="str">
        <f>LEFT(tabSuperdettagli[[#This Row],[Network]], 10)</f>
        <v/>
      </c>
      <c r="E97" t="str">
        <f>LEFT(tabSuperdettagli[[#This Row],[Network]], 1)</f>
        <v/>
      </c>
      <c r="F97" t="str">
        <f>LOWER(TRIM( tabSuperdettagli[[#This Row],[Proj. Type ]] ))</f>
        <v/>
      </c>
      <c r="G97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97" t="str">
        <f>IF(  TRIM(tabSuperdettagli[[#This Row],[Raggr. X Struttura]])&gt; "", TRIM(tabSuperdettagli[[#This Row],[Raggr. X Struttura]]), TRIM(tabSuperdettagli[[#This Row],[Resp DT]] ) )</f>
        <v>Gruppo struttura 1</v>
      </c>
      <c r="J97">
        <f>tabSuperdettagli[[#This Row],[Total]]</f>
        <v>55</v>
      </c>
      <c r="K97">
        <f>tabSuperdettagli[[#This Row],[01.2025]]</f>
        <v>1</v>
      </c>
      <c r="L97">
        <f>tabSuperdettagli[[#This Row],[02.2025]]</f>
        <v>2</v>
      </c>
      <c r="M97">
        <f>tabSuperdettagli[[#This Row],[03.2025]]</f>
        <v>3</v>
      </c>
      <c r="N97">
        <f>tabSuperdettagli[[#This Row],[04.2025]]</f>
        <v>4</v>
      </c>
      <c r="O97">
        <f>tabSuperdettagli[[#This Row],[05.2025]]</f>
        <v>5</v>
      </c>
      <c r="P97">
        <f>tabSuperdettagli[[#This Row],[06.2025]]</f>
        <v>6</v>
      </c>
      <c r="Q97">
        <f>tabSuperdettagli[[#This Row],[07.2025]]</f>
        <v>7</v>
      </c>
      <c r="R97">
        <f>tabSuperdettagli[[#This Row],[08.2025]]</f>
        <v>8</v>
      </c>
      <c r="S97">
        <f>tabSuperdettagli[[#This Row],[09.2025]]</f>
        <v>9</v>
      </c>
      <c r="T97">
        <f>tabSuperdettagli[[#This Row],[10.2025]]</f>
        <v>10</v>
      </c>
      <c r="U97">
        <f>tabSuperdettagli[[#This Row],[11.2025]]</f>
        <v>0</v>
      </c>
      <c r="V97">
        <f>tabSuperdettagli[[#This Row],[12.2025]]</f>
        <v>0</v>
      </c>
      <c r="W97" t="str">
        <f>tabSuperdettagli[[#This Row],[INT/EST]]</f>
        <v>Int.</v>
      </c>
      <c r="X97" t="str">
        <f>tabSuperdettagli[[#This Row],[Resp 2°liv]]&amp;""</f>
        <v/>
      </c>
      <c r="Y97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97" t="str">
        <f>tabSuperdettagli[[#This Row],[WBS Element]]&amp;""</f>
        <v/>
      </c>
      <c r="AA97">
        <f>tabSuperdettagli[[#This Row],[09.2025]]</f>
        <v>9</v>
      </c>
      <c r="AC97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97" t="str">
        <f>LEFT(tabSuperdettagli[[#This Row],[Network]], 18 )</f>
        <v/>
      </c>
      <c r="AE97" t="s">
        <v>290</v>
      </c>
      <c r="AP97" t="s">
        <v>180</v>
      </c>
      <c r="AQ97" t="s">
        <v>298</v>
      </c>
      <c r="AV97" t="s">
        <v>293</v>
      </c>
      <c r="BJ97">
        <v>1</v>
      </c>
      <c r="BK97">
        <v>2</v>
      </c>
      <c r="BL97">
        <v>3</v>
      </c>
      <c r="BM97">
        <v>4</v>
      </c>
      <c r="BN97">
        <v>5</v>
      </c>
      <c r="BO97">
        <v>6</v>
      </c>
      <c r="BP97">
        <v>7</v>
      </c>
      <c r="BQ97">
        <v>8</v>
      </c>
      <c r="BR97">
        <v>9</v>
      </c>
      <c r="BS97">
        <v>10</v>
      </c>
      <c r="BV97">
        <v>55</v>
      </c>
      <c r="BX97" s="122">
        <v>42288</v>
      </c>
      <c r="CB97" s="122">
        <v>42287</v>
      </c>
      <c r="CC97" s="122">
        <v>42327</v>
      </c>
    </row>
    <row r="98" spans="1:81" x14ac:dyDescent="0.25">
      <c r="A98" t="str">
        <f>IF(UPPER(LEFT(tabSuperdettagli[[#This Row],[WBE Status]],1))="S","sì","no")</f>
        <v>no</v>
      </c>
      <c r="B98">
        <v>2024</v>
      </c>
      <c r="C98" t="e">
        <f>VLOOKUP(tabSuperdettagli[[#This Row],[WBS_]],Pivot_AnnoPrimaMarcatura!A:B,2,FALSE)</f>
        <v>#N/A</v>
      </c>
      <c r="D98" t="str">
        <f>LEFT(tabSuperdettagli[[#This Row],[Network]], 10)</f>
        <v/>
      </c>
      <c r="E98" t="str">
        <f>LEFT(tabSuperdettagli[[#This Row],[Network]], 1)</f>
        <v/>
      </c>
      <c r="F98" t="str">
        <f>LOWER(TRIM( tabSuperdettagli[[#This Row],[Proj. Type ]] ))</f>
        <v/>
      </c>
      <c r="G98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98" t="str">
        <f>IF(  TRIM(tabSuperdettagli[[#This Row],[Raggr. X Struttura]])&gt; "", TRIM(tabSuperdettagli[[#This Row],[Raggr. X Struttura]]), TRIM(tabSuperdettagli[[#This Row],[Resp DT]] ) )</f>
        <v>Gruppo struttura 4</v>
      </c>
      <c r="J98">
        <f>tabSuperdettagli[[#This Row],[Total]]</f>
        <v>1055</v>
      </c>
      <c r="K98">
        <f>tabSuperdettagli[[#This Row],[01.2025]]</f>
        <v>101</v>
      </c>
      <c r="L98">
        <f>tabSuperdettagli[[#This Row],[02.2025]]</f>
        <v>102</v>
      </c>
      <c r="M98">
        <f>tabSuperdettagli[[#This Row],[03.2025]]</f>
        <v>103</v>
      </c>
      <c r="N98">
        <f>tabSuperdettagli[[#This Row],[04.2025]]</f>
        <v>104</v>
      </c>
      <c r="O98">
        <f>tabSuperdettagli[[#This Row],[05.2025]]</f>
        <v>105</v>
      </c>
      <c r="P98">
        <f>tabSuperdettagli[[#This Row],[06.2025]]</f>
        <v>106</v>
      </c>
      <c r="Q98">
        <f>tabSuperdettagli[[#This Row],[07.2025]]</f>
        <v>107</v>
      </c>
      <c r="R98">
        <f>tabSuperdettagli[[#This Row],[08.2025]]</f>
        <v>108</v>
      </c>
      <c r="S98">
        <f>tabSuperdettagli[[#This Row],[09.2025]]</f>
        <v>109</v>
      </c>
      <c r="T98">
        <f>tabSuperdettagli[[#This Row],[10.2025]]</f>
        <v>110</v>
      </c>
      <c r="U98">
        <f>tabSuperdettagli[[#This Row],[11.2025]]</f>
        <v>0</v>
      </c>
      <c r="V98">
        <f>tabSuperdettagli[[#This Row],[12.2025]]</f>
        <v>0</v>
      </c>
      <c r="W98" t="str">
        <f>tabSuperdettagli[[#This Row],[INT/EST]]</f>
        <v>Int.</v>
      </c>
      <c r="X98" t="str">
        <f>tabSuperdettagli[[#This Row],[Resp 2°liv]]&amp;""</f>
        <v/>
      </c>
      <c r="Y98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98" t="str">
        <f>tabSuperdettagli[[#This Row],[WBS Element]]&amp;""</f>
        <v/>
      </c>
      <c r="AA98">
        <f>tabSuperdettagli[[#This Row],[09.2025]]</f>
        <v>109</v>
      </c>
      <c r="AC98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98" t="str">
        <f>LEFT(tabSuperdettagli[[#This Row],[Network]], 18 )</f>
        <v/>
      </c>
      <c r="AE98" t="s">
        <v>290</v>
      </c>
      <c r="AP98" t="s">
        <v>180</v>
      </c>
      <c r="AQ98" t="s">
        <v>301</v>
      </c>
      <c r="AV98" t="s">
        <v>293</v>
      </c>
      <c r="BJ98">
        <v>101</v>
      </c>
      <c r="BK98">
        <v>102</v>
      </c>
      <c r="BL98">
        <v>103</v>
      </c>
      <c r="BM98">
        <v>104</v>
      </c>
      <c r="BN98">
        <v>105</v>
      </c>
      <c r="BO98">
        <v>106</v>
      </c>
      <c r="BP98">
        <v>107</v>
      </c>
      <c r="BQ98">
        <v>108</v>
      </c>
      <c r="BR98">
        <v>109</v>
      </c>
      <c r="BS98">
        <v>110</v>
      </c>
      <c r="BV98">
        <v>1055</v>
      </c>
      <c r="BX98" s="122">
        <v>42291</v>
      </c>
      <c r="CB98" s="122">
        <v>42290</v>
      </c>
      <c r="CC98" s="122">
        <v>42330</v>
      </c>
    </row>
    <row r="99" spans="1:81" x14ac:dyDescent="0.25">
      <c r="A99" t="str">
        <f>IF(UPPER(LEFT(tabSuperdettagli[[#This Row],[WBE Status]],1))="S","sì","no")</f>
        <v>no</v>
      </c>
      <c r="B99">
        <v>2024</v>
      </c>
      <c r="C99" t="e">
        <f>VLOOKUP(tabSuperdettagli[[#This Row],[WBS_]],Pivot_AnnoPrimaMarcatura!A:B,2,FALSE)</f>
        <v>#N/A</v>
      </c>
      <c r="D99" t="str">
        <f>LEFT(tabSuperdettagli[[#This Row],[Network]], 10)</f>
        <v/>
      </c>
      <c r="E99" t="str">
        <f>LEFT(tabSuperdettagli[[#This Row],[Network]], 1)</f>
        <v/>
      </c>
      <c r="F99" t="str">
        <f>LOWER(TRIM( tabSuperdettagli[[#This Row],[Proj. Type ]] ))</f>
        <v/>
      </c>
      <c r="G99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99" t="str">
        <f>IF(  TRIM(tabSuperdettagli[[#This Row],[Raggr. X Struttura]])&gt; "", TRIM(tabSuperdettagli[[#This Row],[Raggr. X Struttura]]), TRIM(tabSuperdettagli[[#This Row],[Resp DT]] ) )</f>
        <v>Gruppo struttura 1</v>
      </c>
      <c r="J99">
        <f>tabSuperdettagli[[#This Row],[Total]]</f>
        <v>2055</v>
      </c>
      <c r="K99">
        <f>tabSuperdettagli[[#This Row],[01.2025]]</f>
        <v>201</v>
      </c>
      <c r="L99">
        <f>tabSuperdettagli[[#This Row],[02.2025]]</f>
        <v>202</v>
      </c>
      <c r="M99">
        <f>tabSuperdettagli[[#This Row],[03.2025]]</f>
        <v>203</v>
      </c>
      <c r="N99">
        <f>tabSuperdettagli[[#This Row],[04.2025]]</f>
        <v>204</v>
      </c>
      <c r="O99">
        <f>tabSuperdettagli[[#This Row],[05.2025]]</f>
        <v>205</v>
      </c>
      <c r="P99">
        <f>tabSuperdettagli[[#This Row],[06.2025]]</f>
        <v>206</v>
      </c>
      <c r="Q99">
        <f>tabSuperdettagli[[#This Row],[07.2025]]</f>
        <v>207</v>
      </c>
      <c r="R99">
        <f>tabSuperdettagli[[#This Row],[08.2025]]</f>
        <v>208</v>
      </c>
      <c r="S99">
        <f>tabSuperdettagli[[#This Row],[09.2025]]</f>
        <v>209</v>
      </c>
      <c r="T99">
        <f>tabSuperdettagli[[#This Row],[10.2025]]</f>
        <v>210</v>
      </c>
      <c r="U99">
        <f>tabSuperdettagli[[#This Row],[11.2025]]</f>
        <v>0</v>
      </c>
      <c r="V99">
        <f>tabSuperdettagli[[#This Row],[12.2025]]</f>
        <v>0</v>
      </c>
      <c r="W99" t="str">
        <f>tabSuperdettagli[[#This Row],[INT/EST]]</f>
        <v>Int.</v>
      </c>
      <c r="X99" t="str">
        <f>tabSuperdettagli[[#This Row],[Resp 2°liv]]&amp;""</f>
        <v/>
      </c>
      <c r="Y99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99" t="str">
        <f>tabSuperdettagli[[#This Row],[WBS Element]]&amp;""</f>
        <v/>
      </c>
      <c r="AA99">
        <f>tabSuperdettagli[[#This Row],[09.2025]]</f>
        <v>209</v>
      </c>
      <c r="AC99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99" t="str">
        <f>LEFT(tabSuperdettagli[[#This Row],[Network]], 18 )</f>
        <v/>
      </c>
      <c r="AE99" t="s">
        <v>290</v>
      </c>
      <c r="AP99" t="s">
        <v>180</v>
      </c>
      <c r="AQ99" t="s">
        <v>298</v>
      </c>
      <c r="AV99" t="s">
        <v>294</v>
      </c>
      <c r="BJ99">
        <v>201</v>
      </c>
      <c r="BK99">
        <v>202</v>
      </c>
      <c r="BL99">
        <v>203</v>
      </c>
      <c r="BM99">
        <v>204</v>
      </c>
      <c r="BN99">
        <v>205</v>
      </c>
      <c r="BO99">
        <v>206</v>
      </c>
      <c r="BP99">
        <v>207</v>
      </c>
      <c r="BQ99">
        <v>208</v>
      </c>
      <c r="BR99">
        <v>209</v>
      </c>
      <c r="BS99">
        <v>210</v>
      </c>
      <c r="BV99">
        <v>2055</v>
      </c>
      <c r="BX99" s="122">
        <v>42294</v>
      </c>
      <c r="CB99" s="122">
        <v>42293</v>
      </c>
      <c r="CC99" s="122">
        <v>42333</v>
      </c>
    </row>
    <row r="100" spans="1:81" x14ac:dyDescent="0.25">
      <c r="A100" t="str">
        <f>IF(UPPER(LEFT(tabSuperdettagli[[#This Row],[WBE Status]],1))="S","sì","no")</f>
        <v>no</v>
      </c>
      <c r="B100">
        <v>2024</v>
      </c>
      <c r="C100" t="e">
        <f>VLOOKUP(tabSuperdettagli[[#This Row],[WBS_]],Pivot_AnnoPrimaMarcatura!A:B,2,FALSE)</f>
        <v>#N/A</v>
      </c>
      <c r="D100" t="str">
        <f>LEFT(tabSuperdettagli[[#This Row],[Network]], 10)</f>
        <v/>
      </c>
      <c r="E100" t="str">
        <f>LEFT(tabSuperdettagli[[#This Row],[Network]], 1)</f>
        <v/>
      </c>
      <c r="F100" t="str">
        <f>LOWER(TRIM( tabSuperdettagli[[#This Row],[Proj. Type ]] ))</f>
        <v/>
      </c>
      <c r="G100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100" t="str">
        <f>IF(  TRIM(tabSuperdettagli[[#This Row],[Raggr. X Struttura]])&gt; "", TRIM(tabSuperdettagli[[#This Row],[Raggr. X Struttura]]), TRIM(tabSuperdettagli[[#This Row],[Resp DT]] ) )</f>
        <v>Gruppo struttura 5</v>
      </c>
      <c r="J100">
        <f>tabSuperdettagli[[#This Row],[Total]]</f>
        <v>3055</v>
      </c>
      <c r="K100">
        <f>tabSuperdettagli[[#This Row],[01.2025]]</f>
        <v>301</v>
      </c>
      <c r="L100">
        <f>tabSuperdettagli[[#This Row],[02.2025]]</f>
        <v>302</v>
      </c>
      <c r="M100">
        <f>tabSuperdettagli[[#This Row],[03.2025]]</f>
        <v>303</v>
      </c>
      <c r="N100">
        <f>tabSuperdettagli[[#This Row],[04.2025]]</f>
        <v>304</v>
      </c>
      <c r="O100">
        <f>tabSuperdettagli[[#This Row],[05.2025]]</f>
        <v>305</v>
      </c>
      <c r="P100">
        <f>tabSuperdettagli[[#This Row],[06.2025]]</f>
        <v>306</v>
      </c>
      <c r="Q100">
        <f>tabSuperdettagli[[#This Row],[07.2025]]</f>
        <v>307</v>
      </c>
      <c r="R100">
        <f>tabSuperdettagli[[#This Row],[08.2025]]</f>
        <v>308</v>
      </c>
      <c r="S100">
        <f>tabSuperdettagli[[#This Row],[09.2025]]</f>
        <v>309</v>
      </c>
      <c r="T100">
        <f>tabSuperdettagli[[#This Row],[10.2025]]</f>
        <v>310</v>
      </c>
      <c r="U100">
        <f>tabSuperdettagli[[#This Row],[11.2025]]</f>
        <v>0</v>
      </c>
      <c r="V100">
        <f>tabSuperdettagli[[#This Row],[12.2025]]</f>
        <v>0</v>
      </c>
      <c r="W100" t="str">
        <f>tabSuperdettagli[[#This Row],[INT/EST]]</f>
        <v>Int.</v>
      </c>
      <c r="X100" t="str">
        <f>tabSuperdettagli[[#This Row],[Resp 2°liv]]&amp;""</f>
        <v/>
      </c>
      <c r="Y100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100" t="str">
        <f>tabSuperdettagli[[#This Row],[WBS Element]]&amp;""</f>
        <v/>
      </c>
      <c r="AA100">
        <f>tabSuperdettagli[[#This Row],[09.2025]]</f>
        <v>309</v>
      </c>
      <c r="AC100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100" t="str">
        <f>LEFT(tabSuperdettagli[[#This Row],[Network]], 18 )</f>
        <v/>
      </c>
      <c r="AE100" t="s">
        <v>290</v>
      </c>
      <c r="AP100" t="s">
        <v>180</v>
      </c>
      <c r="AQ100" t="s">
        <v>302</v>
      </c>
      <c r="AV100" t="s">
        <v>296</v>
      </c>
      <c r="BJ100">
        <v>301</v>
      </c>
      <c r="BK100">
        <v>302</v>
      </c>
      <c r="BL100">
        <v>303</v>
      </c>
      <c r="BM100">
        <v>304</v>
      </c>
      <c r="BN100">
        <v>305</v>
      </c>
      <c r="BO100">
        <v>306</v>
      </c>
      <c r="BP100">
        <v>307</v>
      </c>
      <c r="BQ100">
        <v>308</v>
      </c>
      <c r="BR100">
        <v>309</v>
      </c>
      <c r="BS100">
        <v>310</v>
      </c>
      <c r="BV100">
        <v>3055</v>
      </c>
      <c r="BX100" s="122">
        <v>42297</v>
      </c>
      <c r="CB100" s="122">
        <v>42296</v>
      </c>
      <c r="CC100" s="122">
        <v>42336</v>
      </c>
    </row>
    <row r="101" spans="1:81" x14ac:dyDescent="0.25">
      <c r="A101" t="str">
        <f>IF(UPPER(LEFT(tabSuperdettagli[[#This Row],[WBE Status]],1))="S","sì","no")</f>
        <v>no</v>
      </c>
      <c r="B101">
        <v>2024</v>
      </c>
      <c r="C101" t="e">
        <f>VLOOKUP(tabSuperdettagli[[#This Row],[WBS_]],Pivot_AnnoPrimaMarcatura!A:B,2,FALSE)</f>
        <v>#N/A</v>
      </c>
      <c r="D101" t="str">
        <f>LEFT(tabSuperdettagli[[#This Row],[Network]], 10)</f>
        <v/>
      </c>
      <c r="E101" t="str">
        <f>LEFT(tabSuperdettagli[[#This Row],[Network]], 1)</f>
        <v/>
      </c>
      <c r="F101" t="str">
        <f>LOWER(TRIM( tabSuperdettagli[[#This Row],[Proj. Type ]] ))</f>
        <v/>
      </c>
      <c r="G101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101" t="str">
        <f>IF(  TRIM(tabSuperdettagli[[#This Row],[Raggr. X Struttura]])&gt; "", TRIM(tabSuperdettagli[[#This Row],[Raggr. X Struttura]]), TRIM(tabSuperdettagli[[#This Row],[Resp DT]] ) )</f>
        <v>Gruppo struttura 2</v>
      </c>
      <c r="J101">
        <f>tabSuperdettagli[[#This Row],[Total]]</f>
        <v>4055</v>
      </c>
      <c r="K101">
        <f>tabSuperdettagli[[#This Row],[01.2025]]</f>
        <v>401</v>
      </c>
      <c r="L101">
        <f>tabSuperdettagli[[#This Row],[02.2025]]</f>
        <v>402</v>
      </c>
      <c r="M101">
        <f>tabSuperdettagli[[#This Row],[03.2025]]</f>
        <v>403</v>
      </c>
      <c r="N101">
        <f>tabSuperdettagli[[#This Row],[04.2025]]</f>
        <v>404</v>
      </c>
      <c r="O101">
        <f>tabSuperdettagli[[#This Row],[05.2025]]</f>
        <v>405</v>
      </c>
      <c r="P101">
        <f>tabSuperdettagli[[#This Row],[06.2025]]</f>
        <v>406</v>
      </c>
      <c r="Q101">
        <f>tabSuperdettagli[[#This Row],[07.2025]]</f>
        <v>407</v>
      </c>
      <c r="R101">
        <f>tabSuperdettagli[[#This Row],[08.2025]]</f>
        <v>408</v>
      </c>
      <c r="S101">
        <f>tabSuperdettagli[[#This Row],[09.2025]]</f>
        <v>409</v>
      </c>
      <c r="T101">
        <f>tabSuperdettagli[[#This Row],[10.2025]]</f>
        <v>410</v>
      </c>
      <c r="U101">
        <f>tabSuperdettagli[[#This Row],[11.2025]]</f>
        <v>0</v>
      </c>
      <c r="V101">
        <f>tabSuperdettagli[[#This Row],[12.2025]]</f>
        <v>0</v>
      </c>
      <c r="W101" t="str">
        <f>tabSuperdettagli[[#This Row],[INT/EST]]</f>
        <v>Est.</v>
      </c>
      <c r="X101" t="str">
        <f>tabSuperdettagli[[#This Row],[Resp 2°liv]]&amp;""</f>
        <v/>
      </c>
      <c r="Y101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101" t="str">
        <f>tabSuperdettagli[[#This Row],[WBS Element]]&amp;""</f>
        <v/>
      </c>
      <c r="AA101">
        <f>tabSuperdettagli[[#This Row],[09.2025]]</f>
        <v>409</v>
      </c>
      <c r="AC101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101" t="str">
        <f>LEFT(tabSuperdettagli[[#This Row],[Network]], 18 )</f>
        <v/>
      </c>
      <c r="AE101" t="s">
        <v>290</v>
      </c>
      <c r="AP101" t="s">
        <v>292</v>
      </c>
      <c r="AQ101" t="s">
        <v>299</v>
      </c>
      <c r="AV101" t="s">
        <v>293</v>
      </c>
      <c r="BJ101">
        <v>401</v>
      </c>
      <c r="BK101">
        <v>402</v>
      </c>
      <c r="BL101">
        <v>403</v>
      </c>
      <c r="BM101">
        <v>404</v>
      </c>
      <c r="BN101">
        <v>405</v>
      </c>
      <c r="BO101">
        <v>406</v>
      </c>
      <c r="BP101">
        <v>407</v>
      </c>
      <c r="BQ101">
        <v>408</v>
      </c>
      <c r="BR101">
        <v>409</v>
      </c>
      <c r="BS101">
        <v>410</v>
      </c>
      <c r="BV101">
        <v>4055</v>
      </c>
      <c r="BX101" s="122">
        <v>42300</v>
      </c>
      <c r="CB101" s="122">
        <v>42299</v>
      </c>
      <c r="CC101" s="122">
        <v>42339</v>
      </c>
    </row>
    <row r="102" spans="1:81" x14ac:dyDescent="0.25">
      <c r="A102" t="str">
        <f>IF(UPPER(LEFT(tabSuperdettagli[[#This Row],[WBE Status]],1))="S","sì","no")</f>
        <v>no</v>
      </c>
      <c r="B102">
        <v>2024</v>
      </c>
      <c r="C102" t="e">
        <f>VLOOKUP(tabSuperdettagli[[#This Row],[WBS_]],Pivot_AnnoPrimaMarcatura!A:B,2,FALSE)</f>
        <v>#N/A</v>
      </c>
      <c r="D102" t="str">
        <f>LEFT(tabSuperdettagli[[#This Row],[Network]], 10)</f>
        <v/>
      </c>
      <c r="E102" t="str">
        <f>LEFT(tabSuperdettagli[[#This Row],[Network]], 1)</f>
        <v/>
      </c>
      <c r="F102" t="str">
        <f>LOWER(TRIM( tabSuperdettagli[[#This Row],[Proj. Type ]] ))</f>
        <v/>
      </c>
      <c r="G102" t="str">
        <f>IF( OR( tabSuperdettagli[[#This Row],[ProjType_]]="C", tabSuperdettagli[[#This Row],[ProjType_]]="A", tabSuperdettagli[[#This Row],[ProjType_]]="R", tabSuperdettagli[[#This Row],[ProjType_]]="E"),  "C A R E",
        IF( tabSuperdettagli[[#This Row],[ProjType_]]="U",  "U (" &amp; tabSuperdettagli[[#This Row],[U ProjType_]] &amp; ")",
        tabSuperdettagli[[#This Row],[ProjType_]]) )</f>
        <v/>
      </c>
      <c r="I102" t="str">
        <f>IF(  TRIM(tabSuperdettagli[[#This Row],[Raggr. X Struttura]])&gt; "", TRIM(tabSuperdettagli[[#This Row],[Raggr. X Struttura]]), TRIM(tabSuperdettagli[[#This Row],[Resp DT]] ) )</f>
        <v>Gruppo struttura 2</v>
      </c>
      <c r="J102">
        <f>tabSuperdettagli[[#This Row],[Total]]</f>
        <v>5055</v>
      </c>
      <c r="K102">
        <f>tabSuperdettagli[[#This Row],[01.2025]]</f>
        <v>501</v>
      </c>
      <c r="L102">
        <f>tabSuperdettagli[[#This Row],[02.2025]]</f>
        <v>502</v>
      </c>
      <c r="M102">
        <f>tabSuperdettagli[[#This Row],[03.2025]]</f>
        <v>503</v>
      </c>
      <c r="N102">
        <f>tabSuperdettagli[[#This Row],[04.2025]]</f>
        <v>504</v>
      </c>
      <c r="O102">
        <f>tabSuperdettagli[[#This Row],[05.2025]]</f>
        <v>505</v>
      </c>
      <c r="P102">
        <f>tabSuperdettagli[[#This Row],[06.2025]]</f>
        <v>506</v>
      </c>
      <c r="Q102">
        <f>tabSuperdettagli[[#This Row],[07.2025]]</f>
        <v>507</v>
      </c>
      <c r="R102">
        <f>tabSuperdettagli[[#This Row],[08.2025]]</f>
        <v>508</v>
      </c>
      <c r="S102">
        <f>tabSuperdettagli[[#This Row],[09.2025]]</f>
        <v>509</v>
      </c>
      <c r="T102">
        <f>tabSuperdettagli[[#This Row],[10.2025]]</f>
        <v>510</v>
      </c>
      <c r="U102">
        <f>tabSuperdettagli[[#This Row],[11.2025]]</f>
        <v>0</v>
      </c>
      <c r="V102">
        <f>tabSuperdettagli[[#This Row],[12.2025]]</f>
        <v>0</v>
      </c>
      <c r="W102" t="str">
        <f>tabSuperdettagli[[#This Row],[INT/EST]]</f>
        <v>Int.</v>
      </c>
      <c r="X102" t="str">
        <f>tabSuperdettagli[[#This Row],[Resp 2°liv]]&amp;""</f>
        <v/>
      </c>
      <c r="Y102" t="e">
        <f>INDEX(     tab_resp1liv[EngUnit area cluster 1_],
                    MATCH(   SUBSTITUTE(tabSuperdettagli[[#This Row],[Resp 2°liv]],  " ", ""),
                                      tab_resp1liv[SearchKey],0))</f>
        <v>#N/A</v>
      </c>
      <c r="Z102" t="str">
        <f>tabSuperdettagli[[#This Row],[WBS Element]]&amp;""</f>
        <v/>
      </c>
      <c r="AA102">
        <f>tabSuperdettagli[[#This Row],[09.2025]]</f>
        <v>509</v>
      </c>
      <c r="AC102" t="str">
        <f>IF( tabSuperdettagli[[#This Row],[ProjType_]]="M",  IF(  AND(tabSuperdettagli[[#This Row],[Resp 1°liv_]]="Guidotti C.", tabSuperdettagli[[#This Row],[WBE description_]]="Machine Mgmt"), "Documentation", tabSuperdettagli[[#This Row],[WBE description_]]),  "" )</f>
        <v/>
      </c>
      <c r="AD102" t="str">
        <f>LEFT(tabSuperdettagli[[#This Row],[Network]], 18 )</f>
        <v/>
      </c>
      <c r="AE102" t="s">
        <v>290</v>
      </c>
      <c r="AP102" t="s">
        <v>180</v>
      </c>
      <c r="AQ102" t="s">
        <v>299</v>
      </c>
      <c r="AV102" t="s">
        <v>293</v>
      </c>
      <c r="BJ102">
        <v>501</v>
      </c>
      <c r="BK102">
        <v>502</v>
      </c>
      <c r="BL102">
        <v>503</v>
      </c>
      <c r="BM102">
        <v>504</v>
      </c>
      <c r="BN102">
        <v>505</v>
      </c>
      <c r="BO102">
        <v>506</v>
      </c>
      <c r="BP102">
        <v>507</v>
      </c>
      <c r="BQ102">
        <v>508</v>
      </c>
      <c r="BR102">
        <v>509</v>
      </c>
      <c r="BS102">
        <v>510</v>
      </c>
      <c r="BV102">
        <v>5055</v>
      </c>
      <c r="BX102" s="122">
        <v>42303</v>
      </c>
      <c r="CB102" s="122">
        <v>42302</v>
      </c>
      <c r="CC102" s="122">
        <v>42342</v>
      </c>
    </row>
  </sheetData>
  <mergeCells count="2">
    <mergeCell ref="A1:AD1"/>
    <mergeCell ref="AE1:CD1"/>
  </mergeCells>
  <phoneticPr fontId="16" type="noConversion"/>
  <pageMargins left="0.7" right="0.7" top="0.75" bottom="0.75" header="0.3" footer="0.3"/>
  <pageSetup paperSize="9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2B473-5D75-4EC5-97EA-2825D8D298DB}">
  <sheetPr>
    <tabColor theme="4" tint="0.59999389629810485"/>
  </sheetPr>
  <dimension ref="A1:N7"/>
  <sheetViews>
    <sheetView tabSelected="1" workbookViewId="0">
      <selection activeCell="N14" sqref="N14"/>
    </sheetView>
  </sheetViews>
  <sheetFormatPr defaultRowHeight="15" x14ac:dyDescent="0.25"/>
  <cols>
    <col min="1" max="1" width="5.7109375" bestFit="1" customWidth="1"/>
    <col min="2" max="2" width="16.7109375" bestFit="1" customWidth="1"/>
    <col min="3" max="3" width="19.28515625" bestFit="1" customWidth="1"/>
    <col min="4" max="4" width="14.140625" bestFit="1" customWidth="1"/>
    <col min="5" max="5" width="6.85546875" bestFit="1" customWidth="1"/>
    <col min="7" max="7" width="5.7109375" bestFit="1" customWidth="1"/>
    <col min="8" max="8" width="6.42578125" bestFit="1" customWidth="1"/>
    <col min="9" max="9" width="19.140625" bestFit="1" customWidth="1"/>
    <col min="10" max="10" width="16.85546875" bestFit="1" customWidth="1"/>
    <col min="11" max="11" width="16.5703125" bestFit="1" customWidth="1"/>
    <col min="12" max="12" width="12.140625" bestFit="1" customWidth="1"/>
    <col min="13" max="13" width="14.42578125" bestFit="1" customWidth="1"/>
    <col min="14" max="14" width="9.28515625" bestFit="1" customWidth="1"/>
  </cols>
  <sheetData>
    <row r="1" spans="1:14" x14ac:dyDescent="0.25">
      <c r="A1" s="118" t="s">
        <v>254</v>
      </c>
      <c r="B1" s="119" t="s">
        <v>255</v>
      </c>
      <c r="C1" s="119" t="s">
        <v>256</v>
      </c>
      <c r="D1" s="119" t="s">
        <v>257</v>
      </c>
      <c r="E1" s="119" t="s">
        <v>258</v>
      </c>
      <c r="F1" s="119" t="s">
        <v>259</v>
      </c>
      <c r="G1" s="119" t="s">
        <v>260</v>
      </c>
      <c r="H1" s="119" t="s">
        <v>261</v>
      </c>
      <c r="I1" s="119" t="s">
        <v>262</v>
      </c>
      <c r="J1" s="119" t="s">
        <v>263</v>
      </c>
      <c r="K1" s="119" t="s">
        <v>264</v>
      </c>
      <c r="L1" s="119" t="s">
        <v>265</v>
      </c>
      <c r="M1" s="119" t="s">
        <v>266</v>
      </c>
      <c r="N1" s="120" t="s">
        <v>267</v>
      </c>
    </row>
    <row r="2" spans="1:14" x14ac:dyDescent="0.25">
      <c r="A2" s="131">
        <v>0</v>
      </c>
      <c r="B2" s="131">
        <v>0</v>
      </c>
      <c r="C2" s="131">
        <v>0</v>
      </c>
      <c r="D2" s="132" t="s">
        <v>332</v>
      </c>
      <c r="E2" s="131">
        <v>0</v>
      </c>
      <c r="F2" s="131">
        <v>0</v>
      </c>
      <c r="G2" s="131">
        <v>0</v>
      </c>
      <c r="H2" s="131">
        <v>0</v>
      </c>
      <c r="I2" s="131">
        <v>0</v>
      </c>
      <c r="J2" s="131">
        <v>0</v>
      </c>
      <c r="K2" s="131">
        <v>0</v>
      </c>
      <c r="L2" s="131">
        <v>0</v>
      </c>
      <c r="M2" s="131">
        <v>0</v>
      </c>
      <c r="N2" s="131">
        <v>0</v>
      </c>
    </row>
    <row r="3" spans="1:14" x14ac:dyDescent="0.25">
      <c r="A3" s="131">
        <v>0</v>
      </c>
      <c r="B3" s="131">
        <v>0</v>
      </c>
      <c r="C3" s="131">
        <v>0</v>
      </c>
      <c r="D3" s="132" t="s">
        <v>335</v>
      </c>
      <c r="E3" s="131">
        <v>0</v>
      </c>
      <c r="F3" s="131">
        <v>0</v>
      </c>
      <c r="G3" s="131">
        <v>0</v>
      </c>
      <c r="H3" s="131">
        <v>0</v>
      </c>
      <c r="I3" s="131">
        <v>0</v>
      </c>
      <c r="J3" s="131">
        <v>0</v>
      </c>
      <c r="K3" s="131">
        <v>0</v>
      </c>
      <c r="L3" s="131">
        <v>0</v>
      </c>
      <c r="M3" s="131">
        <v>0</v>
      </c>
      <c r="N3" s="131">
        <v>0</v>
      </c>
    </row>
    <row r="4" spans="1:14" x14ac:dyDescent="0.25">
      <c r="A4" s="131">
        <v>0</v>
      </c>
      <c r="B4" s="131">
        <v>0</v>
      </c>
      <c r="C4" s="131">
        <v>0</v>
      </c>
      <c r="D4" s="132" t="s">
        <v>333</v>
      </c>
      <c r="E4" s="131">
        <v>0</v>
      </c>
      <c r="F4" s="131">
        <v>0</v>
      </c>
      <c r="G4" s="131">
        <v>0</v>
      </c>
      <c r="H4" s="131">
        <v>0</v>
      </c>
      <c r="I4" s="131">
        <v>0</v>
      </c>
      <c r="J4" s="131">
        <v>0</v>
      </c>
      <c r="K4" s="131">
        <v>0</v>
      </c>
      <c r="L4" s="131">
        <v>0</v>
      </c>
      <c r="M4" s="131">
        <v>0</v>
      </c>
      <c r="N4" s="131">
        <v>0</v>
      </c>
    </row>
    <row r="5" spans="1:14" x14ac:dyDescent="0.25">
      <c r="A5" s="131">
        <v>0</v>
      </c>
      <c r="B5" s="131">
        <v>0</v>
      </c>
      <c r="C5" s="131">
        <v>0</v>
      </c>
      <c r="D5" s="132" t="s">
        <v>336</v>
      </c>
      <c r="E5" s="131">
        <v>0</v>
      </c>
      <c r="F5" s="131">
        <v>0</v>
      </c>
      <c r="G5" s="131">
        <v>0</v>
      </c>
      <c r="H5" s="131">
        <v>0</v>
      </c>
      <c r="I5" s="131">
        <v>0</v>
      </c>
      <c r="J5" s="131">
        <v>0</v>
      </c>
      <c r="K5" s="131">
        <v>0</v>
      </c>
      <c r="L5" s="131">
        <v>0</v>
      </c>
      <c r="M5" s="131">
        <v>0</v>
      </c>
      <c r="N5" s="131">
        <v>0</v>
      </c>
    </row>
    <row r="6" spans="1:14" x14ac:dyDescent="0.25">
      <c r="A6" s="131">
        <v>0</v>
      </c>
      <c r="B6" s="131">
        <v>0</v>
      </c>
      <c r="C6" s="131">
        <v>0</v>
      </c>
      <c r="D6" s="132" t="s">
        <v>334</v>
      </c>
      <c r="E6" s="131">
        <v>0</v>
      </c>
      <c r="F6" s="131">
        <v>0</v>
      </c>
      <c r="G6" s="131">
        <v>0</v>
      </c>
      <c r="H6" s="131">
        <v>0</v>
      </c>
      <c r="I6" s="131">
        <v>0</v>
      </c>
      <c r="J6" s="131">
        <v>0</v>
      </c>
      <c r="K6" s="131">
        <v>0</v>
      </c>
      <c r="L6" s="131">
        <v>0</v>
      </c>
      <c r="M6" s="131">
        <v>0</v>
      </c>
      <c r="N6" s="131">
        <v>0</v>
      </c>
    </row>
    <row r="7" spans="1:14" x14ac:dyDescent="0.25">
      <c r="A7" s="131">
        <v>0</v>
      </c>
      <c r="B7" s="131">
        <v>0</v>
      </c>
      <c r="C7" s="131">
        <v>0</v>
      </c>
      <c r="D7" s="132" t="s">
        <v>337</v>
      </c>
      <c r="E7" s="131">
        <v>0</v>
      </c>
      <c r="F7" s="131">
        <v>0</v>
      </c>
      <c r="G7" s="131">
        <v>0</v>
      </c>
      <c r="H7" s="131">
        <v>0</v>
      </c>
      <c r="I7" s="131">
        <v>0</v>
      </c>
      <c r="J7" s="131">
        <v>0</v>
      </c>
      <c r="K7" s="131">
        <v>0</v>
      </c>
      <c r="L7" s="131">
        <v>0</v>
      </c>
      <c r="M7" s="131">
        <v>0</v>
      </c>
      <c r="N7" s="1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98FF1-0840-4AD0-9948-EC3F44C2C440}">
  <sheetPr>
    <tabColor theme="9" tint="-0.249977111117893"/>
  </sheetPr>
  <dimension ref="A3:B5"/>
  <sheetViews>
    <sheetView workbookViewId="0">
      <selection activeCell="B5" sqref="B5"/>
    </sheetView>
  </sheetViews>
  <sheetFormatPr defaultRowHeight="15" x14ac:dyDescent="0.25"/>
  <cols>
    <col min="1" max="2" width="13.140625" bestFit="1" customWidth="1"/>
  </cols>
  <sheetData>
    <row r="3" spans="1:2" x14ac:dyDescent="0.25">
      <c r="A3" s="109" t="s">
        <v>213</v>
      </c>
      <c r="B3" t="s">
        <v>215</v>
      </c>
    </row>
    <row r="4" spans="1:2" x14ac:dyDescent="0.25">
      <c r="A4" s="70"/>
      <c r="B4" s="158">
        <v>2015</v>
      </c>
    </row>
    <row r="5" spans="1:2" x14ac:dyDescent="0.25">
      <c r="A5" s="70" t="s">
        <v>214</v>
      </c>
      <c r="B5" s="158">
        <v>2015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79998168889431442"/>
  </sheetPr>
  <dimension ref="A1:I15"/>
  <sheetViews>
    <sheetView workbookViewId="0"/>
  </sheetViews>
  <sheetFormatPr defaultRowHeight="15" x14ac:dyDescent="0.25"/>
  <cols>
    <col min="1" max="1" width="12.7109375" bestFit="1" customWidth="1"/>
    <col min="6" max="6" width="17.5703125" bestFit="1" customWidth="1"/>
    <col min="7" max="7" width="11.42578125" bestFit="1" customWidth="1"/>
    <col min="8" max="8" width="20.140625" bestFit="1" customWidth="1"/>
    <col min="9" max="9" width="29.7109375" customWidth="1"/>
  </cols>
  <sheetData>
    <row r="1" spans="1:9" x14ac:dyDescent="0.25">
      <c r="A1" s="1" t="s">
        <v>76</v>
      </c>
      <c r="F1" s="69" t="s">
        <v>77</v>
      </c>
      <c r="G1" s="69" t="s">
        <v>78</v>
      </c>
      <c r="H1" s="69" t="s">
        <v>79</v>
      </c>
      <c r="I1" s="69" t="s">
        <v>80</v>
      </c>
    </row>
    <row r="2" spans="1:9" x14ac:dyDescent="0.25">
      <c r="F2" s="70" t="s">
        <v>75</v>
      </c>
      <c r="G2" s="70" t="s">
        <v>75</v>
      </c>
      <c r="H2" s="70" t="s">
        <v>75</v>
      </c>
      <c r="I2" s="70" t="s">
        <v>75</v>
      </c>
    </row>
    <row r="3" spans="1:9" x14ac:dyDescent="0.25">
      <c r="F3" s="70" t="s">
        <v>75</v>
      </c>
      <c r="G3" s="70" t="s">
        <v>75</v>
      </c>
      <c r="H3" s="70" t="s">
        <v>75</v>
      </c>
      <c r="I3" s="70" t="s">
        <v>75</v>
      </c>
    </row>
    <row r="4" spans="1:9" x14ac:dyDescent="0.25">
      <c r="F4" s="70" t="s">
        <v>75</v>
      </c>
      <c r="G4" s="70" t="s">
        <v>75</v>
      </c>
      <c r="H4" s="70" t="s">
        <v>75</v>
      </c>
      <c r="I4" s="70" t="s">
        <v>75</v>
      </c>
    </row>
    <row r="5" spans="1:9" x14ac:dyDescent="0.25">
      <c r="F5" s="70" t="s">
        <v>75</v>
      </c>
      <c r="G5" s="70" t="s">
        <v>75</v>
      </c>
      <c r="H5" s="70" t="s">
        <v>75</v>
      </c>
      <c r="I5" s="70" t="s">
        <v>75</v>
      </c>
    </row>
    <row r="6" spans="1:9" x14ac:dyDescent="0.25">
      <c r="F6" s="70" t="s">
        <v>75</v>
      </c>
      <c r="G6" s="70" t="s">
        <v>75</v>
      </c>
      <c r="H6" s="70" t="s">
        <v>75</v>
      </c>
      <c r="I6" s="70" t="s">
        <v>75</v>
      </c>
    </row>
    <row r="7" spans="1:9" x14ac:dyDescent="0.25">
      <c r="F7" s="70" t="s">
        <v>75</v>
      </c>
      <c r="G7" s="70" t="s">
        <v>75</v>
      </c>
      <c r="H7" s="70" t="s">
        <v>75</v>
      </c>
      <c r="I7" s="70" t="s">
        <v>75</v>
      </c>
    </row>
    <row r="8" spans="1:9" x14ac:dyDescent="0.25">
      <c r="F8" s="70" t="s">
        <v>75</v>
      </c>
      <c r="G8" s="70" t="s">
        <v>75</v>
      </c>
      <c r="H8" s="70" t="s">
        <v>75</v>
      </c>
      <c r="I8" s="70" t="s">
        <v>75</v>
      </c>
    </row>
    <row r="9" spans="1:9" x14ac:dyDescent="0.25">
      <c r="F9" s="70" t="s">
        <v>75</v>
      </c>
      <c r="G9" s="70" t="s">
        <v>75</v>
      </c>
      <c r="H9" s="70" t="s">
        <v>75</v>
      </c>
      <c r="I9" s="70" t="s">
        <v>75</v>
      </c>
    </row>
    <row r="10" spans="1:9" x14ac:dyDescent="0.25">
      <c r="F10" s="70" t="s">
        <v>75</v>
      </c>
      <c r="G10" s="70" t="s">
        <v>75</v>
      </c>
      <c r="H10" s="70" t="s">
        <v>75</v>
      </c>
      <c r="I10" s="70" t="s">
        <v>75</v>
      </c>
    </row>
    <row r="11" spans="1:9" x14ac:dyDescent="0.25">
      <c r="F11" s="70" t="s">
        <v>75</v>
      </c>
      <c r="G11" s="70" t="s">
        <v>75</v>
      </c>
      <c r="H11" s="70" t="s">
        <v>75</v>
      </c>
      <c r="I11" s="70" t="s">
        <v>75</v>
      </c>
    </row>
    <row r="12" spans="1:9" x14ac:dyDescent="0.25">
      <c r="F12" s="70" t="s">
        <v>75</v>
      </c>
      <c r="G12" s="70" t="s">
        <v>75</v>
      </c>
      <c r="H12" s="70" t="s">
        <v>75</v>
      </c>
      <c r="I12" s="70" t="s">
        <v>75</v>
      </c>
    </row>
    <row r="13" spans="1:9" x14ac:dyDescent="0.25">
      <c r="F13" s="70" t="s">
        <v>75</v>
      </c>
      <c r="G13" s="70" t="s">
        <v>75</v>
      </c>
      <c r="H13" s="70" t="s">
        <v>75</v>
      </c>
      <c r="I13" s="70" t="s">
        <v>75</v>
      </c>
    </row>
    <row r="14" spans="1:9" x14ac:dyDescent="0.25">
      <c r="F14" s="70" t="s">
        <v>75</v>
      </c>
      <c r="G14" s="70" t="s">
        <v>75</v>
      </c>
      <c r="H14" s="70" t="s">
        <v>75</v>
      </c>
      <c r="I14" s="70" t="s">
        <v>75</v>
      </c>
    </row>
    <row r="15" spans="1:9" x14ac:dyDescent="0.25">
      <c r="F15" s="70" t="s">
        <v>75</v>
      </c>
      <c r="G15" s="70" t="s">
        <v>75</v>
      </c>
      <c r="H15" s="70" t="s">
        <v>75</v>
      </c>
      <c r="I15" s="70" t="s">
        <v>75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79998168889431442"/>
  </sheetPr>
  <dimension ref="A1:I21"/>
  <sheetViews>
    <sheetView workbookViewId="0"/>
  </sheetViews>
  <sheetFormatPr defaultRowHeight="15" x14ac:dyDescent="0.25"/>
  <cols>
    <col min="1" max="1" width="21" bestFit="1" customWidth="1"/>
    <col min="6" max="6" width="21.140625" bestFit="1" customWidth="1"/>
    <col min="7" max="7" width="11.5703125" bestFit="1" customWidth="1"/>
    <col min="8" max="9" width="19.5703125" bestFit="1" customWidth="1"/>
  </cols>
  <sheetData>
    <row r="1" spans="1:9" x14ac:dyDescent="0.25">
      <c r="A1" s="1" t="s">
        <v>81</v>
      </c>
      <c r="F1" t="s">
        <v>77</v>
      </c>
      <c r="G1" t="s">
        <v>78</v>
      </c>
      <c r="H1" t="s">
        <v>79</v>
      </c>
      <c r="I1" t="s">
        <v>80</v>
      </c>
    </row>
    <row r="2" spans="1:9" x14ac:dyDescent="0.25">
      <c r="F2" t="s">
        <v>82</v>
      </c>
      <c r="G2" t="s">
        <v>82</v>
      </c>
      <c r="H2" t="s">
        <v>82</v>
      </c>
      <c r="I2" t="s">
        <v>82</v>
      </c>
    </row>
    <row r="3" spans="1:9" x14ac:dyDescent="0.25">
      <c r="F3" t="s">
        <v>82</v>
      </c>
      <c r="G3" t="s">
        <v>82</v>
      </c>
      <c r="H3" t="s">
        <v>82</v>
      </c>
      <c r="I3" t="s">
        <v>82</v>
      </c>
    </row>
    <row r="4" spans="1:9" x14ac:dyDescent="0.25">
      <c r="F4" t="s">
        <v>82</v>
      </c>
      <c r="G4" t="s">
        <v>82</v>
      </c>
      <c r="H4" t="s">
        <v>82</v>
      </c>
      <c r="I4" t="s">
        <v>82</v>
      </c>
    </row>
    <row r="5" spans="1:9" x14ac:dyDescent="0.25">
      <c r="F5" t="s">
        <v>82</v>
      </c>
      <c r="G5" t="s">
        <v>82</v>
      </c>
      <c r="H5" t="s">
        <v>82</v>
      </c>
      <c r="I5" t="s">
        <v>82</v>
      </c>
    </row>
    <row r="6" spans="1:9" x14ac:dyDescent="0.25">
      <c r="F6" t="s">
        <v>82</v>
      </c>
      <c r="G6" t="s">
        <v>82</v>
      </c>
      <c r="H6" t="s">
        <v>82</v>
      </c>
      <c r="I6" t="s">
        <v>82</v>
      </c>
    </row>
    <row r="7" spans="1:9" x14ac:dyDescent="0.25">
      <c r="F7" t="s">
        <v>82</v>
      </c>
      <c r="G7" t="s">
        <v>82</v>
      </c>
      <c r="H7" t="s">
        <v>82</v>
      </c>
      <c r="I7" t="s">
        <v>82</v>
      </c>
    </row>
    <row r="8" spans="1:9" x14ac:dyDescent="0.25">
      <c r="F8" t="s">
        <v>82</v>
      </c>
      <c r="G8" t="s">
        <v>82</v>
      </c>
      <c r="H8" t="s">
        <v>82</v>
      </c>
      <c r="I8" t="s">
        <v>82</v>
      </c>
    </row>
    <row r="9" spans="1:9" x14ac:dyDescent="0.25">
      <c r="F9" t="s">
        <v>82</v>
      </c>
      <c r="G9" t="s">
        <v>82</v>
      </c>
      <c r="H9" t="s">
        <v>82</v>
      </c>
      <c r="I9" t="s">
        <v>82</v>
      </c>
    </row>
    <row r="10" spans="1:9" x14ac:dyDescent="0.25">
      <c r="F10" t="s">
        <v>82</v>
      </c>
      <c r="G10" t="s">
        <v>82</v>
      </c>
      <c r="H10" t="s">
        <v>82</v>
      </c>
      <c r="I10" t="s">
        <v>82</v>
      </c>
    </row>
    <row r="11" spans="1:9" x14ac:dyDescent="0.25">
      <c r="F11" t="s">
        <v>82</v>
      </c>
      <c r="G11" t="s">
        <v>82</v>
      </c>
      <c r="H11" t="s">
        <v>82</v>
      </c>
      <c r="I11" t="s">
        <v>82</v>
      </c>
    </row>
    <row r="12" spans="1:9" x14ac:dyDescent="0.25">
      <c r="F12" t="s">
        <v>82</v>
      </c>
      <c r="G12" t="s">
        <v>82</v>
      </c>
      <c r="H12" t="s">
        <v>82</v>
      </c>
      <c r="I12" t="s">
        <v>82</v>
      </c>
    </row>
    <row r="13" spans="1:9" x14ac:dyDescent="0.25">
      <c r="F13" t="s">
        <v>82</v>
      </c>
      <c r="G13" t="s">
        <v>82</v>
      </c>
      <c r="H13" t="s">
        <v>82</v>
      </c>
      <c r="I13" t="s">
        <v>82</v>
      </c>
    </row>
    <row r="14" spans="1:9" x14ac:dyDescent="0.25">
      <c r="F14" t="s">
        <v>82</v>
      </c>
      <c r="G14" t="s">
        <v>82</v>
      </c>
      <c r="H14" t="s">
        <v>82</v>
      </c>
      <c r="I14" t="s">
        <v>82</v>
      </c>
    </row>
    <row r="15" spans="1:9" x14ac:dyDescent="0.25">
      <c r="F15" t="s">
        <v>82</v>
      </c>
      <c r="G15" t="s">
        <v>82</v>
      </c>
      <c r="H15" t="s">
        <v>82</v>
      </c>
      <c r="I15" t="s">
        <v>82</v>
      </c>
    </row>
    <row r="16" spans="1:9" x14ac:dyDescent="0.25">
      <c r="F16" t="s">
        <v>82</v>
      </c>
      <c r="G16" t="s">
        <v>82</v>
      </c>
      <c r="H16" t="s">
        <v>82</v>
      </c>
      <c r="I16" t="s">
        <v>82</v>
      </c>
    </row>
    <row r="17" spans="6:9" x14ac:dyDescent="0.25">
      <c r="F17" t="s">
        <v>82</v>
      </c>
      <c r="G17" t="s">
        <v>82</v>
      </c>
      <c r="H17" t="s">
        <v>82</v>
      </c>
      <c r="I17" t="s">
        <v>82</v>
      </c>
    </row>
    <row r="18" spans="6:9" x14ac:dyDescent="0.25">
      <c r="F18" t="s">
        <v>82</v>
      </c>
      <c r="G18" t="s">
        <v>82</v>
      </c>
      <c r="H18" t="s">
        <v>82</v>
      </c>
      <c r="I18" t="s">
        <v>82</v>
      </c>
    </row>
    <row r="19" spans="6:9" x14ac:dyDescent="0.25">
      <c r="F19" t="s">
        <v>82</v>
      </c>
      <c r="G19" t="s">
        <v>82</v>
      </c>
      <c r="H19" t="s">
        <v>82</v>
      </c>
      <c r="I19" t="s">
        <v>82</v>
      </c>
    </row>
    <row r="20" spans="6:9" x14ac:dyDescent="0.25">
      <c r="F20" t="s">
        <v>82</v>
      </c>
      <c r="G20" t="s">
        <v>82</v>
      </c>
      <c r="H20" t="s">
        <v>82</v>
      </c>
      <c r="I20" t="s">
        <v>82</v>
      </c>
    </row>
    <row r="21" spans="6:9" x14ac:dyDescent="0.25">
      <c r="F21" t="s">
        <v>82</v>
      </c>
      <c r="G21" t="s">
        <v>82</v>
      </c>
      <c r="H21" t="s">
        <v>82</v>
      </c>
      <c r="I21" t="s">
        <v>82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79998168889431442"/>
  </sheetPr>
  <dimension ref="A1:E27"/>
  <sheetViews>
    <sheetView workbookViewId="0"/>
  </sheetViews>
  <sheetFormatPr defaultRowHeight="15" x14ac:dyDescent="0.25"/>
  <cols>
    <col min="1" max="1" width="14.42578125" bestFit="1" customWidth="1"/>
    <col min="2" max="2" width="15.140625" bestFit="1" customWidth="1"/>
    <col min="3" max="3" width="23.85546875" bestFit="1" customWidth="1"/>
    <col min="5" max="5" width="21.5703125" bestFit="1" customWidth="1"/>
  </cols>
  <sheetData>
    <row r="1" spans="1:5" x14ac:dyDescent="0.25">
      <c r="A1" s="68" t="s">
        <v>83</v>
      </c>
      <c r="B1" t="s">
        <v>72</v>
      </c>
      <c r="C1" t="s">
        <v>8</v>
      </c>
      <c r="E1" s="67" t="s">
        <v>84</v>
      </c>
    </row>
    <row r="2" spans="1:5" x14ac:dyDescent="0.25">
      <c r="A2" t="str">
        <f>SUBSTITUTE(tab_resp1liv[[#This Row],[Resp 1°liv2]]," ","")</f>
        <v>C</v>
      </c>
      <c r="B2" t="s">
        <v>85</v>
      </c>
      <c r="C2" t="s">
        <v>85</v>
      </c>
      <c r="E2" s="71" t="s">
        <v>86</v>
      </c>
    </row>
    <row r="3" spans="1:5" x14ac:dyDescent="0.25">
      <c r="A3" t="str">
        <f>SUBSTITUTE(tab_resp1liv[[#This Row],[Resp 1°liv2]]," ","")</f>
        <v>C</v>
      </c>
      <c r="B3" t="s">
        <v>85</v>
      </c>
      <c r="C3" t="s">
        <v>85</v>
      </c>
      <c r="E3" s="71" t="s">
        <v>86</v>
      </c>
    </row>
    <row r="4" spans="1:5" x14ac:dyDescent="0.25">
      <c r="A4" t="str">
        <f>SUBSTITUTE(tab_resp1liv[[#This Row],[Resp 1°liv2]]," ","")</f>
        <v>C</v>
      </c>
      <c r="B4" t="s">
        <v>85</v>
      </c>
      <c r="C4" t="s">
        <v>85</v>
      </c>
      <c r="E4" s="71" t="s">
        <v>86</v>
      </c>
    </row>
    <row r="5" spans="1:5" x14ac:dyDescent="0.25">
      <c r="A5" t="str">
        <f>SUBSTITUTE(tab_resp1liv[[#This Row],[Resp 1°liv2]]," ","")</f>
        <v>C</v>
      </c>
      <c r="B5" t="s">
        <v>85</v>
      </c>
      <c r="C5" t="s">
        <v>85</v>
      </c>
      <c r="E5" s="71" t="s">
        <v>86</v>
      </c>
    </row>
    <row r="6" spans="1:5" x14ac:dyDescent="0.25">
      <c r="A6" t="str">
        <f>SUBSTITUTE(tab_resp1liv[[#This Row],[Resp 1°liv2]]," ","")</f>
        <v>C</v>
      </c>
      <c r="B6" t="s">
        <v>85</v>
      </c>
      <c r="C6" t="s">
        <v>85</v>
      </c>
      <c r="E6" s="71" t="s">
        <v>86</v>
      </c>
    </row>
    <row r="7" spans="1:5" x14ac:dyDescent="0.25">
      <c r="A7" t="str">
        <f>SUBSTITUTE(tab_resp1liv[[#This Row],[Resp 1°liv2]]," ","")</f>
        <v>C</v>
      </c>
      <c r="B7" t="s">
        <v>85</v>
      </c>
      <c r="C7" t="s">
        <v>85</v>
      </c>
      <c r="E7" s="71" t="s">
        <v>86</v>
      </c>
    </row>
    <row r="8" spans="1:5" x14ac:dyDescent="0.25">
      <c r="A8" t="str">
        <f>SUBSTITUTE(tab_resp1liv[[#This Row],[Resp 1°liv2]]," ","")</f>
        <v>C</v>
      </c>
      <c r="B8" t="s">
        <v>85</v>
      </c>
      <c r="C8" t="s">
        <v>85</v>
      </c>
      <c r="E8" s="71" t="s">
        <v>86</v>
      </c>
    </row>
    <row r="9" spans="1:5" x14ac:dyDescent="0.25">
      <c r="A9" t="str">
        <f>SUBSTITUTE(tab_resp1liv[[#This Row],[Resp 1°liv2]]," ","")</f>
        <v>C</v>
      </c>
      <c r="B9" t="s">
        <v>85</v>
      </c>
      <c r="C9" t="s">
        <v>85</v>
      </c>
      <c r="E9" s="71" t="s">
        <v>86</v>
      </c>
    </row>
    <row r="10" spans="1:5" x14ac:dyDescent="0.25">
      <c r="A10" t="str">
        <f>SUBSTITUTE(tab_resp1liv[[#This Row],[Resp 1°liv2]]," ","")</f>
        <v>C</v>
      </c>
      <c r="B10" t="s">
        <v>85</v>
      </c>
      <c r="C10" t="s">
        <v>85</v>
      </c>
      <c r="E10" s="71" t="s">
        <v>86</v>
      </c>
    </row>
    <row r="11" spans="1:5" x14ac:dyDescent="0.25">
      <c r="A11" t="str">
        <f>SUBSTITUTE(tab_resp1liv[[#This Row],[Resp 1°liv2]]," ","")</f>
        <v>C</v>
      </c>
      <c r="B11" t="s">
        <v>85</v>
      </c>
      <c r="C11" t="s">
        <v>85</v>
      </c>
      <c r="E11" s="71" t="s">
        <v>86</v>
      </c>
    </row>
    <row r="12" spans="1:5" x14ac:dyDescent="0.25">
      <c r="A12" t="str">
        <f>SUBSTITUTE(tab_resp1liv[[#This Row],[Resp 1°liv2]]," ","")</f>
        <v>C</v>
      </c>
      <c r="B12" t="s">
        <v>85</v>
      </c>
      <c r="C12" t="s">
        <v>85</v>
      </c>
      <c r="E12" s="71" t="s">
        <v>86</v>
      </c>
    </row>
    <row r="13" spans="1:5" x14ac:dyDescent="0.25">
      <c r="A13" t="str">
        <f>SUBSTITUTE(tab_resp1liv[[#This Row],[Resp 1°liv2]]," ","")</f>
        <v>C</v>
      </c>
      <c r="B13" t="s">
        <v>85</v>
      </c>
      <c r="C13" t="s">
        <v>85</v>
      </c>
      <c r="E13" s="71" t="s">
        <v>86</v>
      </c>
    </row>
    <row r="14" spans="1:5" x14ac:dyDescent="0.25">
      <c r="A14" t="str">
        <f>SUBSTITUTE(tab_resp1liv[[#This Row],[Resp 1°liv2]]," ","")</f>
        <v>C</v>
      </c>
      <c r="B14" t="s">
        <v>85</v>
      </c>
      <c r="C14" t="s">
        <v>85</v>
      </c>
      <c r="E14" s="71" t="s">
        <v>86</v>
      </c>
    </row>
    <row r="15" spans="1:5" x14ac:dyDescent="0.25">
      <c r="A15" t="str">
        <f>SUBSTITUTE(tab_resp1liv[[#This Row],[Resp 1°liv2]]," ","")</f>
        <v>C</v>
      </c>
      <c r="B15" t="s">
        <v>85</v>
      </c>
      <c r="C15" t="s">
        <v>85</v>
      </c>
      <c r="E15" s="71" t="s">
        <v>86</v>
      </c>
    </row>
    <row r="16" spans="1:5" x14ac:dyDescent="0.25">
      <c r="A16" t="str">
        <f>SUBSTITUTE(tab_resp1liv[[#This Row],[Resp 1°liv2]]," ","")</f>
        <v>C</v>
      </c>
      <c r="B16" t="s">
        <v>85</v>
      </c>
      <c r="C16" t="s">
        <v>85</v>
      </c>
      <c r="E16" s="71" t="s">
        <v>86</v>
      </c>
    </row>
    <row r="17" spans="1:5" x14ac:dyDescent="0.25">
      <c r="A17" t="str">
        <f>SUBSTITUTE(tab_resp1liv[[#This Row],[Resp 1°liv2]]," ","")</f>
        <v>C</v>
      </c>
      <c r="B17" t="s">
        <v>85</v>
      </c>
      <c r="C17" t="s">
        <v>85</v>
      </c>
      <c r="E17" s="71" t="s">
        <v>86</v>
      </c>
    </row>
    <row r="18" spans="1:5" x14ac:dyDescent="0.25">
      <c r="A18" t="str">
        <f>SUBSTITUTE(tab_resp1liv[[#This Row],[Resp 1°liv2]]," ","")</f>
        <v>C</v>
      </c>
      <c r="B18" t="s">
        <v>85</v>
      </c>
      <c r="C18" t="s">
        <v>85</v>
      </c>
      <c r="E18" s="71" t="s">
        <v>86</v>
      </c>
    </row>
    <row r="19" spans="1:5" x14ac:dyDescent="0.25">
      <c r="A19" t="str">
        <f>SUBSTITUTE(tab_resp1liv[[#This Row],[Resp 1°liv2]]," ","")</f>
        <v>C</v>
      </c>
      <c r="B19" t="s">
        <v>85</v>
      </c>
      <c r="C19" t="s">
        <v>85</v>
      </c>
      <c r="E19" s="71" t="s">
        <v>86</v>
      </c>
    </row>
    <row r="20" spans="1:5" x14ac:dyDescent="0.25">
      <c r="A20" t="str">
        <f>SUBSTITUTE(tab_resp1liv[[#This Row],[Resp 1°liv2]]," ","")</f>
        <v>C</v>
      </c>
      <c r="B20" t="s">
        <v>85</v>
      </c>
      <c r="C20" t="s">
        <v>85</v>
      </c>
      <c r="E20" s="71" t="s">
        <v>86</v>
      </c>
    </row>
    <row r="21" spans="1:5" x14ac:dyDescent="0.25">
      <c r="A21" t="str">
        <f>SUBSTITUTE(tab_resp1liv[[#This Row],[Resp 1°liv2]]," ","")</f>
        <v>C</v>
      </c>
      <c r="B21" t="s">
        <v>85</v>
      </c>
      <c r="C21" t="s">
        <v>85</v>
      </c>
      <c r="E21" s="71" t="s">
        <v>86</v>
      </c>
    </row>
    <row r="22" spans="1:5" x14ac:dyDescent="0.25">
      <c r="A22" t="str">
        <f>SUBSTITUTE(tab_resp1liv[[#This Row],[Resp 1°liv2]]," ","")</f>
        <v>C</v>
      </c>
      <c r="B22" t="s">
        <v>85</v>
      </c>
      <c r="C22" t="s">
        <v>85</v>
      </c>
      <c r="E22" s="71" t="s">
        <v>86</v>
      </c>
    </row>
    <row r="23" spans="1:5" x14ac:dyDescent="0.25">
      <c r="A23" t="str">
        <f>SUBSTITUTE(tab_resp1liv[[#This Row],[Resp 1°liv2]]," ","")</f>
        <v>C</v>
      </c>
      <c r="B23" t="s">
        <v>85</v>
      </c>
      <c r="C23" t="s">
        <v>85</v>
      </c>
      <c r="E23" s="71" t="s">
        <v>86</v>
      </c>
    </row>
    <row r="24" spans="1:5" x14ac:dyDescent="0.25">
      <c r="A24" t="str">
        <f>SUBSTITUTE(tab_resp1liv[[#This Row],[Resp 1°liv2]]," ","")</f>
        <v>C</v>
      </c>
      <c r="B24" t="s">
        <v>85</v>
      </c>
      <c r="C24" t="s">
        <v>85</v>
      </c>
      <c r="E24" s="71" t="s">
        <v>86</v>
      </c>
    </row>
    <row r="25" spans="1:5" x14ac:dyDescent="0.25">
      <c r="A25" t="str">
        <f>SUBSTITUTE(tab_resp1liv[[#This Row],[Resp 1°liv2]]," ","")</f>
        <v>C</v>
      </c>
      <c r="B25" t="s">
        <v>85</v>
      </c>
      <c r="C25" t="s">
        <v>85</v>
      </c>
      <c r="E25" s="71" t="s">
        <v>86</v>
      </c>
    </row>
    <row r="26" spans="1:5" x14ac:dyDescent="0.25">
      <c r="A26" t="str">
        <f>SUBSTITUTE(tab_resp1liv[[#This Row],[Resp 1°liv2]]," ","")</f>
        <v>C</v>
      </c>
      <c r="B26" t="s">
        <v>85</v>
      </c>
      <c r="C26" t="s">
        <v>85</v>
      </c>
      <c r="E26" s="71" t="s">
        <v>86</v>
      </c>
    </row>
    <row r="27" spans="1:5" x14ac:dyDescent="0.25">
      <c r="A27" t="str">
        <f>SUBSTITUTE(tab_resp1liv[[#This Row],[Resp 1°liv2]]," ","")</f>
        <v>C</v>
      </c>
      <c r="B27" t="s">
        <v>85</v>
      </c>
      <c r="C27" t="s">
        <v>85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0.79998168889431442"/>
  </sheetPr>
  <dimension ref="A3:B363"/>
  <sheetViews>
    <sheetView workbookViewId="0"/>
  </sheetViews>
  <sheetFormatPr defaultRowHeight="15" x14ac:dyDescent="0.25"/>
  <cols>
    <col min="1" max="1" width="14.5703125" bestFit="1" customWidth="1"/>
    <col min="2" max="2" width="40" bestFit="1" customWidth="1"/>
  </cols>
  <sheetData>
    <row r="3" spans="1:2" x14ac:dyDescent="0.25">
      <c r="A3" t="s">
        <v>87</v>
      </c>
      <c r="B3" t="s">
        <v>88</v>
      </c>
    </row>
    <row r="4" spans="1:2" x14ac:dyDescent="0.25">
      <c r="A4" t="s">
        <v>89</v>
      </c>
      <c r="B4" t="s">
        <v>89</v>
      </c>
    </row>
    <row r="5" spans="1:2" x14ac:dyDescent="0.25">
      <c r="A5" t="s">
        <v>89</v>
      </c>
      <c r="B5" t="s">
        <v>89</v>
      </c>
    </row>
    <row r="6" spans="1:2" x14ac:dyDescent="0.25">
      <c r="A6" t="s">
        <v>89</v>
      </c>
      <c r="B6" t="s">
        <v>89</v>
      </c>
    </row>
    <row r="7" spans="1:2" x14ac:dyDescent="0.25">
      <c r="A7" t="s">
        <v>89</v>
      </c>
      <c r="B7" t="s">
        <v>89</v>
      </c>
    </row>
    <row r="8" spans="1:2" x14ac:dyDescent="0.25">
      <c r="A8" t="s">
        <v>89</v>
      </c>
      <c r="B8" t="s">
        <v>89</v>
      </c>
    </row>
    <row r="9" spans="1:2" x14ac:dyDescent="0.25">
      <c r="A9" t="s">
        <v>89</v>
      </c>
      <c r="B9" t="s">
        <v>89</v>
      </c>
    </row>
    <row r="10" spans="1:2" x14ac:dyDescent="0.25">
      <c r="A10" t="s">
        <v>89</v>
      </c>
      <c r="B10" t="s">
        <v>89</v>
      </c>
    </row>
    <row r="11" spans="1:2" x14ac:dyDescent="0.25">
      <c r="A11" t="s">
        <v>89</v>
      </c>
      <c r="B11" t="s">
        <v>89</v>
      </c>
    </row>
    <row r="12" spans="1:2" x14ac:dyDescent="0.25">
      <c r="A12" t="s">
        <v>89</v>
      </c>
      <c r="B12" t="s">
        <v>89</v>
      </c>
    </row>
    <row r="13" spans="1:2" x14ac:dyDescent="0.25">
      <c r="A13" t="s">
        <v>89</v>
      </c>
      <c r="B13" t="s">
        <v>89</v>
      </c>
    </row>
    <row r="14" spans="1:2" x14ac:dyDescent="0.25">
      <c r="A14" t="s">
        <v>89</v>
      </c>
      <c r="B14" t="s">
        <v>89</v>
      </c>
    </row>
    <row r="15" spans="1:2" x14ac:dyDescent="0.25">
      <c r="A15" t="s">
        <v>89</v>
      </c>
      <c r="B15" t="s">
        <v>89</v>
      </c>
    </row>
    <row r="16" spans="1:2" x14ac:dyDescent="0.25">
      <c r="A16" t="s">
        <v>89</v>
      </c>
      <c r="B16" t="s">
        <v>89</v>
      </c>
    </row>
    <row r="17" spans="1:2" x14ac:dyDescent="0.25">
      <c r="A17" t="s">
        <v>89</v>
      </c>
      <c r="B17" t="s">
        <v>89</v>
      </c>
    </row>
    <row r="18" spans="1:2" x14ac:dyDescent="0.25">
      <c r="A18" t="s">
        <v>89</v>
      </c>
      <c r="B18" t="s">
        <v>89</v>
      </c>
    </row>
    <row r="19" spans="1:2" x14ac:dyDescent="0.25">
      <c r="A19" t="s">
        <v>89</v>
      </c>
      <c r="B19" t="s">
        <v>89</v>
      </c>
    </row>
    <row r="20" spans="1:2" x14ac:dyDescent="0.25">
      <c r="A20" t="s">
        <v>89</v>
      </c>
      <c r="B20" t="s">
        <v>89</v>
      </c>
    </row>
    <row r="21" spans="1:2" x14ac:dyDescent="0.25">
      <c r="A21" t="s">
        <v>89</v>
      </c>
      <c r="B21" t="s">
        <v>89</v>
      </c>
    </row>
    <row r="22" spans="1:2" x14ac:dyDescent="0.25">
      <c r="A22" t="s">
        <v>89</v>
      </c>
      <c r="B22" t="s">
        <v>89</v>
      </c>
    </row>
    <row r="23" spans="1:2" x14ac:dyDescent="0.25">
      <c r="A23" t="s">
        <v>89</v>
      </c>
      <c r="B23" t="s">
        <v>89</v>
      </c>
    </row>
    <row r="24" spans="1:2" x14ac:dyDescent="0.25">
      <c r="A24" t="s">
        <v>89</v>
      </c>
      <c r="B24" t="s">
        <v>89</v>
      </c>
    </row>
    <row r="25" spans="1:2" x14ac:dyDescent="0.25">
      <c r="A25" t="s">
        <v>89</v>
      </c>
      <c r="B25" t="s">
        <v>89</v>
      </c>
    </row>
    <row r="26" spans="1:2" x14ac:dyDescent="0.25">
      <c r="A26" t="s">
        <v>89</v>
      </c>
      <c r="B26" t="s">
        <v>89</v>
      </c>
    </row>
    <row r="27" spans="1:2" x14ac:dyDescent="0.25">
      <c r="A27" t="s">
        <v>89</v>
      </c>
      <c r="B27" t="s">
        <v>89</v>
      </c>
    </row>
    <row r="28" spans="1:2" x14ac:dyDescent="0.25">
      <c r="A28" t="s">
        <v>89</v>
      </c>
      <c r="B28" t="s">
        <v>89</v>
      </c>
    </row>
    <row r="29" spans="1:2" x14ac:dyDescent="0.25">
      <c r="A29" t="s">
        <v>89</v>
      </c>
      <c r="B29" t="s">
        <v>89</v>
      </c>
    </row>
    <row r="30" spans="1:2" x14ac:dyDescent="0.25">
      <c r="A30" t="s">
        <v>89</v>
      </c>
      <c r="B30" t="s">
        <v>89</v>
      </c>
    </row>
    <row r="31" spans="1:2" x14ac:dyDescent="0.25">
      <c r="A31" t="s">
        <v>89</v>
      </c>
      <c r="B31" t="s">
        <v>89</v>
      </c>
    </row>
    <row r="32" spans="1:2" x14ac:dyDescent="0.25">
      <c r="A32" t="s">
        <v>89</v>
      </c>
      <c r="B32" t="s">
        <v>89</v>
      </c>
    </row>
    <row r="33" spans="1:2" x14ac:dyDescent="0.25">
      <c r="A33" t="s">
        <v>89</v>
      </c>
      <c r="B33" t="s">
        <v>89</v>
      </c>
    </row>
    <row r="34" spans="1:2" x14ac:dyDescent="0.25">
      <c r="A34" t="s">
        <v>89</v>
      </c>
      <c r="B34" t="s">
        <v>89</v>
      </c>
    </row>
    <row r="35" spans="1:2" x14ac:dyDescent="0.25">
      <c r="A35" t="s">
        <v>89</v>
      </c>
      <c r="B35" t="s">
        <v>89</v>
      </c>
    </row>
    <row r="36" spans="1:2" x14ac:dyDescent="0.25">
      <c r="A36" t="s">
        <v>89</v>
      </c>
      <c r="B36" t="s">
        <v>89</v>
      </c>
    </row>
    <row r="37" spans="1:2" x14ac:dyDescent="0.25">
      <c r="A37" t="s">
        <v>89</v>
      </c>
      <c r="B37" t="s">
        <v>89</v>
      </c>
    </row>
    <row r="38" spans="1:2" x14ac:dyDescent="0.25">
      <c r="A38" t="s">
        <v>89</v>
      </c>
      <c r="B38" t="s">
        <v>89</v>
      </c>
    </row>
    <row r="39" spans="1:2" x14ac:dyDescent="0.25">
      <c r="A39" t="s">
        <v>89</v>
      </c>
      <c r="B39" t="s">
        <v>89</v>
      </c>
    </row>
    <row r="40" spans="1:2" x14ac:dyDescent="0.25">
      <c r="A40" t="s">
        <v>89</v>
      </c>
      <c r="B40" t="s">
        <v>89</v>
      </c>
    </row>
    <row r="41" spans="1:2" x14ac:dyDescent="0.25">
      <c r="A41" t="s">
        <v>89</v>
      </c>
      <c r="B41" t="s">
        <v>89</v>
      </c>
    </row>
    <row r="42" spans="1:2" x14ac:dyDescent="0.25">
      <c r="A42" t="s">
        <v>89</v>
      </c>
      <c r="B42" t="s">
        <v>89</v>
      </c>
    </row>
    <row r="43" spans="1:2" x14ac:dyDescent="0.25">
      <c r="A43" t="s">
        <v>89</v>
      </c>
      <c r="B43" t="s">
        <v>89</v>
      </c>
    </row>
    <row r="44" spans="1:2" x14ac:dyDescent="0.25">
      <c r="A44" t="s">
        <v>89</v>
      </c>
      <c r="B44" t="s">
        <v>89</v>
      </c>
    </row>
    <row r="45" spans="1:2" x14ac:dyDescent="0.25">
      <c r="A45" t="s">
        <v>89</v>
      </c>
      <c r="B45" t="s">
        <v>89</v>
      </c>
    </row>
    <row r="46" spans="1:2" x14ac:dyDescent="0.25">
      <c r="A46" t="s">
        <v>89</v>
      </c>
      <c r="B46" t="s">
        <v>89</v>
      </c>
    </row>
    <row r="47" spans="1:2" x14ac:dyDescent="0.25">
      <c r="A47" t="s">
        <v>89</v>
      </c>
      <c r="B47" t="s">
        <v>89</v>
      </c>
    </row>
    <row r="48" spans="1:2" x14ac:dyDescent="0.25">
      <c r="A48" t="s">
        <v>89</v>
      </c>
      <c r="B48" t="s">
        <v>89</v>
      </c>
    </row>
    <row r="49" spans="1:2" x14ac:dyDescent="0.25">
      <c r="A49" t="s">
        <v>89</v>
      </c>
      <c r="B49" t="s">
        <v>89</v>
      </c>
    </row>
    <row r="50" spans="1:2" x14ac:dyDescent="0.25">
      <c r="A50" t="s">
        <v>89</v>
      </c>
      <c r="B50" t="s">
        <v>89</v>
      </c>
    </row>
    <row r="51" spans="1:2" x14ac:dyDescent="0.25">
      <c r="A51" t="s">
        <v>89</v>
      </c>
      <c r="B51" t="s">
        <v>89</v>
      </c>
    </row>
    <row r="52" spans="1:2" x14ac:dyDescent="0.25">
      <c r="A52" t="s">
        <v>89</v>
      </c>
      <c r="B52" t="s">
        <v>89</v>
      </c>
    </row>
    <row r="53" spans="1:2" x14ac:dyDescent="0.25">
      <c r="A53" t="s">
        <v>89</v>
      </c>
      <c r="B53" t="s">
        <v>89</v>
      </c>
    </row>
    <row r="54" spans="1:2" x14ac:dyDescent="0.25">
      <c r="A54" t="s">
        <v>89</v>
      </c>
      <c r="B54" t="s">
        <v>89</v>
      </c>
    </row>
    <row r="55" spans="1:2" x14ac:dyDescent="0.25">
      <c r="A55" t="s">
        <v>89</v>
      </c>
      <c r="B55" t="s">
        <v>89</v>
      </c>
    </row>
    <row r="56" spans="1:2" x14ac:dyDescent="0.25">
      <c r="A56" t="s">
        <v>89</v>
      </c>
      <c r="B56" t="s">
        <v>89</v>
      </c>
    </row>
    <row r="57" spans="1:2" x14ac:dyDescent="0.25">
      <c r="A57" t="s">
        <v>89</v>
      </c>
      <c r="B57" t="s">
        <v>89</v>
      </c>
    </row>
    <row r="58" spans="1:2" x14ac:dyDescent="0.25">
      <c r="A58" t="s">
        <v>89</v>
      </c>
      <c r="B58" t="s">
        <v>89</v>
      </c>
    </row>
    <row r="59" spans="1:2" x14ac:dyDescent="0.25">
      <c r="A59" t="s">
        <v>89</v>
      </c>
      <c r="B59" t="s">
        <v>89</v>
      </c>
    </row>
    <row r="60" spans="1:2" x14ac:dyDescent="0.25">
      <c r="A60" t="s">
        <v>89</v>
      </c>
      <c r="B60" t="s">
        <v>89</v>
      </c>
    </row>
    <row r="61" spans="1:2" x14ac:dyDescent="0.25">
      <c r="A61" t="s">
        <v>89</v>
      </c>
      <c r="B61" t="s">
        <v>89</v>
      </c>
    </row>
    <row r="62" spans="1:2" x14ac:dyDescent="0.25">
      <c r="A62" t="s">
        <v>89</v>
      </c>
      <c r="B62" t="s">
        <v>89</v>
      </c>
    </row>
    <row r="63" spans="1:2" x14ac:dyDescent="0.25">
      <c r="A63" t="s">
        <v>89</v>
      </c>
      <c r="B63" t="s">
        <v>89</v>
      </c>
    </row>
    <row r="64" spans="1:2" x14ac:dyDescent="0.25">
      <c r="A64" t="s">
        <v>89</v>
      </c>
      <c r="B64" t="s">
        <v>89</v>
      </c>
    </row>
    <row r="65" spans="1:2" x14ac:dyDescent="0.25">
      <c r="A65" t="s">
        <v>89</v>
      </c>
      <c r="B65" t="s">
        <v>89</v>
      </c>
    </row>
    <row r="66" spans="1:2" x14ac:dyDescent="0.25">
      <c r="A66" t="s">
        <v>89</v>
      </c>
      <c r="B66" t="s">
        <v>89</v>
      </c>
    </row>
    <row r="67" spans="1:2" x14ac:dyDescent="0.25">
      <c r="A67" t="s">
        <v>89</v>
      </c>
      <c r="B67" t="s">
        <v>89</v>
      </c>
    </row>
    <row r="68" spans="1:2" x14ac:dyDescent="0.25">
      <c r="A68" t="s">
        <v>89</v>
      </c>
      <c r="B68" t="s">
        <v>89</v>
      </c>
    </row>
    <row r="69" spans="1:2" x14ac:dyDescent="0.25">
      <c r="A69" t="s">
        <v>89</v>
      </c>
      <c r="B69" t="s">
        <v>89</v>
      </c>
    </row>
    <row r="70" spans="1:2" x14ac:dyDescent="0.25">
      <c r="A70" t="s">
        <v>89</v>
      </c>
      <c r="B70" t="s">
        <v>89</v>
      </c>
    </row>
    <row r="71" spans="1:2" x14ac:dyDescent="0.25">
      <c r="A71" t="s">
        <v>89</v>
      </c>
      <c r="B71" t="s">
        <v>89</v>
      </c>
    </row>
    <row r="72" spans="1:2" x14ac:dyDescent="0.25">
      <c r="A72" t="s">
        <v>89</v>
      </c>
      <c r="B72" t="s">
        <v>89</v>
      </c>
    </row>
    <row r="73" spans="1:2" x14ac:dyDescent="0.25">
      <c r="A73" t="s">
        <v>89</v>
      </c>
      <c r="B73" t="s">
        <v>89</v>
      </c>
    </row>
    <row r="74" spans="1:2" x14ac:dyDescent="0.25">
      <c r="A74" t="s">
        <v>89</v>
      </c>
      <c r="B74" t="s">
        <v>89</v>
      </c>
    </row>
    <row r="75" spans="1:2" x14ac:dyDescent="0.25">
      <c r="A75" t="s">
        <v>89</v>
      </c>
      <c r="B75" t="s">
        <v>89</v>
      </c>
    </row>
    <row r="76" spans="1:2" x14ac:dyDescent="0.25">
      <c r="A76" t="s">
        <v>89</v>
      </c>
      <c r="B76" t="s">
        <v>89</v>
      </c>
    </row>
    <row r="77" spans="1:2" x14ac:dyDescent="0.25">
      <c r="A77" t="s">
        <v>89</v>
      </c>
      <c r="B77" t="s">
        <v>89</v>
      </c>
    </row>
    <row r="78" spans="1:2" x14ac:dyDescent="0.25">
      <c r="A78" t="s">
        <v>89</v>
      </c>
      <c r="B78" t="s">
        <v>89</v>
      </c>
    </row>
    <row r="79" spans="1:2" x14ac:dyDescent="0.25">
      <c r="A79" t="s">
        <v>89</v>
      </c>
      <c r="B79" t="s">
        <v>89</v>
      </c>
    </row>
    <row r="80" spans="1:2" x14ac:dyDescent="0.25">
      <c r="A80" t="s">
        <v>89</v>
      </c>
      <c r="B80" t="s">
        <v>89</v>
      </c>
    </row>
    <row r="81" spans="1:2" x14ac:dyDescent="0.25">
      <c r="A81" t="s">
        <v>89</v>
      </c>
      <c r="B81" t="s">
        <v>89</v>
      </c>
    </row>
    <row r="82" spans="1:2" x14ac:dyDescent="0.25">
      <c r="A82" t="s">
        <v>89</v>
      </c>
      <c r="B82" t="s">
        <v>89</v>
      </c>
    </row>
    <row r="83" spans="1:2" x14ac:dyDescent="0.25">
      <c r="A83" t="s">
        <v>89</v>
      </c>
      <c r="B83" t="s">
        <v>89</v>
      </c>
    </row>
    <row r="84" spans="1:2" x14ac:dyDescent="0.25">
      <c r="A84" t="s">
        <v>89</v>
      </c>
      <c r="B84" t="s">
        <v>89</v>
      </c>
    </row>
    <row r="85" spans="1:2" x14ac:dyDescent="0.25">
      <c r="A85" t="s">
        <v>89</v>
      </c>
      <c r="B85" t="s">
        <v>89</v>
      </c>
    </row>
    <row r="86" spans="1:2" x14ac:dyDescent="0.25">
      <c r="A86" t="s">
        <v>89</v>
      </c>
      <c r="B86" t="s">
        <v>89</v>
      </c>
    </row>
    <row r="87" spans="1:2" x14ac:dyDescent="0.25">
      <c r="A87" t="s">
        <v>89</v>
      </c>
      <c r="B87" t="s">
        <v>89</v>
      </c>
    </row>
    <row r="88" spans="1:2" x14ac:dyDescent="0.25">
      <c r="A88" t="s">
        <v>89</v>
      </c>
      <c r="B88" t="s">
        <v>89</v>
      </c>
    </row>
    <row r="89" spans="1:2" x14ac:dyDescent="0.25">
      <c r="A89" t="s">
        <v>89</v>
      </c>
      <c r="B89" t="s">
        <v>89</v>
      </c>
    </row>
    <row r="90" spans="1:2" x14ac:dyDescent="0.25">
      <c r="A90" t="s">
        <v>89</v>
      </c>
      <c r="B90" t="s">
        <v>89</v>
      </c>
    </row>
    <row r="91" spans="1:2" x14ac:dyDescent="0.25">
      <c r="A91" t="s">
        <v>89</v>
      </c>
      <c r="B91" t="s">
        <v>89</v>
      </c>
    </row>
    <row r="92" spans="1:2" x14ac:dyDescent="0.25">
      <c r="A92" t="s">
        <v>89</v>
      </c>
      <c r="B92" t="s">
        <v>89</v>
      </c>
    </row>
    <row r="93" spans="1:2" x14ac:dyDescent="0.25">
      <c r="A93" t="s">
        <v>89</v>
      </c>
      <c r="B93" t="s">
        <v>89</v>
      </c>
    </row>
    <row r="94" spans="1:2" x14ac:dyDescent="0.25">
      <c r="A94" t="s">
        <v>89</v>
      </c>
      <c r="B94" t="s">
        <v>89</v>
      </c>
    </row>
    <row r="95" spans="1:2" x14ac:dyDescent="0.25">
      <c r="A95" t="s">
        <v>89</v>
      </c>
      <c r="B95" t="s">
        <v>89</v>
      </c>
    </row>
    <row r="96" spans="1:2" x14ac:dyDescent="0.25">
      <c r="A96" t="s">
        <v>89</v>
      </c>
      <c r="B96" t="s">
        <v>89</v>
      </c>
    </row>
    <row r="97" spans="1:2" x14ac:dyDescent="0.25">
      <c r="A97" t="s">
        <v>89</v>
      </c>
      <c r="B97" t="s">
        <v>89</v>
      </c>
    </row>
    <row r="98" spans="1:2" x14ac:dyDescent="0.25">
      <c r="A98" t="s">
        <v>89</v>
      </c>
      <c r="B98" t="s">
        <v>89</v>
      </c>
    </row>
    <row r="99" spans="1:2" x14ac:dyDescent="0.25">
      <c r="A99" t="s">
        <v>89</v>
      </c>
      <c r="B99" t="s">
        <v>89</v>
      </c>
    </row>
    <row r="100" spans="1:2" x14ac:dyDescent="0.25">
      <c r="A100" t="s">
        <v>89</v>
      </c>
      <c r="B100" t="s">
        <v>89</v>
      </c>
    </row>
    <row r="101" spans="1:2" x14ac:dyDescent="0.25">
      <c r="A101" t="s">
        <v>89</v>
      </c>
      <c r="B101" t="s">
        <v>89</v>
      </c>
    </row>
    <row r="102" spans="1:2" x14ac:dyDescent="0.25">
      <c r="A102" t="s">
        <v>89</v>
      </c>
      <c r="B102" t="s">
        <v>89</v>
      </c>
    </row>
    <row r="103" spans="1:2" x14ac:dyDescent="0.25">
      <c r="A103" t="s">
        <v>89</v>
      </c>
      <c r="B103" t="s">
        <v>89</v>
      </c>
    </row>
    <row r="104" spans="1:2" x14ac:dyDescent="0.25">
      <c r="A104" t="s">
        <v>89</v>
      </c>
      <c r="B104" t="s">
        <v>89</v>
      </c>
    </row>
    <row r="105" spans="1:2" x14ac:dyDescent="0.25">
      <c r="A105" t="s">
        <v>89</v>
      </c>
      <c r="B105" t="s">
        <v>89</v>
      </c>
    </row>
    <row r="106" spans="1:2" x14ac:dyDescent="0.25">
      <c r="A106" t="s">
        <v>89</v>
      </c>
      <c r="B106" t="s">
        <v>89</v>
      </c>
    </row>
    <row r="107" spans="1:2" x14ac:dyDescent="0.25">
      <c r="A107" t="s">
        <v>89</v>
      </c>
      <c r="B107" t="s">
        <v>89</v>
      </c>
    </row>
    <row r="108" spans="1:2" x14ac:dyDescent="0.25">
      <c r="A108" t="s">
        <v>89</v>
      </c>
      <c r="B108" t="s">
        <v>89</v>
      </c>
    </row>
    <row r="109" spans="1:2" x14ac:dyDescent="0.25">
      <c r="A109" t="s">
        <v>89</v>
      </c>
      <c r="B109" t="s">
        <v>89</v>
      </c>
    </row>
    <row r="110" spans="1:2" x14ac:dyDescent="0.25">
      <c r="A110" t="s">
        <v>89</v>
      </c>
      <c r="B110" t="s">
        <v>89</v>
      </c>
    </row>
    <row r="111" spans="1:2" x14ac:dyDescent="0.25">
      <c r="A111" t="s">
        <v>89</v>
      </c>
      <c r="B111" t="s">
        <v>89</v>
      </c>
    </row>
    <row r="112" spans="1:2" x14ac:dyDescent="0.25">
      <c r="A112" t="s">
        <v>89</v>
      </c>
      <c r="B112" t="s">
        <v>89</v>
      </c>
    </row>
    <row r="113" spans="1:2" x14ac:dyDescent="0.25">
      <c r="A113" t="s">
        <v>89</v>
      </c>
      <c r="B113" t="s">
        <v>89</v>
      </c>
    </row>
    <row r="114" spans="1:2" x14ac:dyDescent="0.25">
      <c r="A114" t="s">
        <v>89</v>
      </c>
      <c r="B114" t="s">
        <v>89</v>
      </c>
    </row>
    <row r="115" spans="1:2" x14ac:dyDescent="0.25">
      <c r="A115" t="s">
        <v>89</v>
      </c>
      <c r="B115" t="s">
        <v>89</v>
      </c>
    </row>
    <row r="116" spans="1:2" x14ac:dyDescent="0.25">
      <c r="A116" t="s">
        <v>89</v>
      </c>
      <c r="B116" t="s">
        <v>89</v>
      </c>
    </row>
    <row r="117" spans="1:2" x14ac:dyDescent="0.25">
      <c r="A117" t="s">
        <v>89</v>
      </c>
      <c r="B117" t="s">
        <v>89</v>
      </c>
    </row>
    <row r="118" spans="1:2" x14ac:dyDescent="0.25">
      <c r="A118" t="s">
        <v>89</v>
      </c>
      <c r="B118" t="s">
        <v>89</v>
      </c>
    </row>
    <row r="119" spans="1:2" x14ac:dyDescent="0.25">
      <c r="A119" t="s">
        <v>89</v>
      </c>
      <c r="B119" t="s">
        <v>89</v>
      </c>
    </row>
    <row r="120" spans="1:2" x14ac:dyDescent="0.25">
      <c r="A120" t="s">
        <v>89</v>
      </c>
      <c r="B120" t="s">
        <v>89</v>
      </c>
    </row>
    <row r="121" spans="1:2" x14ac:dyDescent="0.25">
      <c r="A121" t="s">
        <v>89</v>
      </c>
      <c r="B121" t="s">
        <v>89</v>
      </c>
    </row>
    <row r="122" spans="1:2" x14ac:dyDescent="0.25">
      <c r="A122" t="s">
        <v>89</v>
      </c>
      <c r="B122" t="s">
        <v>89</v>
      </c>
    </row>
    <row r="123" spans="1:2" x14ac:dyDescent="0.25">
      <c r="A123" t="s">
        <v>89</v>
      </c>
      <c r="B123" t="s">
        <v>89</v>
      </c>
    </row>
    <row r="124" spans="1:2" x14ac:dyDescent="0.25">
      <c r="A124" t="s">
        <v>89</v>
      </c>
      <c r="B124" t="s">
        <v>89</v>
      </c>
    </row>
    <row r="125" spans="1:2" x14ac:dyDescent="0.25">
      <c r="A125" t="s">
        <v>89</v>
      </c>
      <c r="B125" t="s">
        <v>89</v>
      </c>
    </row>
    <row r="126" spans="1:2" x14ac:dyDescent="0.25">
      <c r="A126" t="s">
        <v>89</v>
      </c>
      <c r="B126" t="s">
        <v>89</v>
      </c>
    </row>
    <row r="127" spans="1:2" x14ac:dyDescent="0.25">
      <c r="A127" t="s">
        <v>89</v>
      </c>
      <c r="B127" t="s">
        <v>89</v>
      </c>
    </row>
    <row r="128" spans="1:2" x14ac:dyDescent="0.25">
      <c r="A128" t="s">
        <v>89</v>
      </c>
      <c r="B128" t="s">
        <v>89</v>
      </c>
    </row>
    <row r="129" spans="1:2" x14ac:dyDescent="0.25">
      <c r="A129" t="s">
        <v>89</v>
      </c>
      <c r="B129" t="s">
        <v>89</v>
      </c>
    </row>
    <row r="130" spans="1:2" x14ac:dyDescent="0.25">
      <c r="A130" t="s">
        <v>89</v>
      </c>
      <c r="B130" t="s">
        <v>89</v>
      </c>
    </row>
    <row r="131" spans="1:2" x14ac:dyDescent="0.25">
      <c r="A131" t="s">
        <v>89</v>
      </c>
      <c r="B131" t="s">
        <v>89</v>
      </c>
    </row>
    <row r="132" spans="1:2" x14ac:dyDescent="0.25">
      <c r="A132" t="s">
        <v>89</v>
      </c>
      <c r="B132" t="s">
        <v>89</v>
      </c>
    </row>
    <row r="133" spans="1:2" x14ac:dyDescent="0.25">
      <c r="A133" t="s">
        <v>89</v>
      </c>
      <c r="B133" t="s">
        <v>89</v>
      </c>
    </row>
    <row r="134" spans="1:2" x14ac:dyDescent="0.25">
      <c r="A134" t="s">
        <v>89</v>
      </c>
      <c r="B134" t="s">
        <v>89</v>
      </c>
    </row>
    <row r="135" spans="1:2" x14ac:dyDescent="0.25">
      <c r="A135" t="s">
        <v>89</v>
      </c>
      <c r="B135" t="s">
        <v>89</v>
      </c>
    </row>
    <row r="136" spans="1:2" x14ac:dyDescent="0.25">
      <c r="A136" t="s">
        <v>89</v>
      </c>
      <c r="B136" t="s">
        <v>89</v>
      </c>
    </row>
    <row r="137" spans="1:2" x14ac:dyDescent="0.25">
      <c r="A137" t="s">
        <v>89</v>
      </c>
      <c r="B137" t="s">
        <v>89</v>
      </c>
    </row>
    <row r="138" spans="1:2" x14ac:dyDescent="0.25">
      <c r="A138" t="s">
        <v>89</v>
      </c>
      <c r="B138" t="s">
        <v>89</v>
      </c>
    </row>
    <row r="139" spans="1:2" x14ac:dyDescent="0.25">
      <c r="A139" t="s">
        <v>89</v>
      </c>
      <c r="B139" t="s">
        <v>89</v>
      </c>
    </row>
    <row r="140" spans="1:2" x14ac:dyDescent="0.25">
      <c r="A140" t="s">
        <v>89</v>
      </c>
      <c r="B140" t="s">
        <v>89</v>
      </c>
    </row>
    <row r="141" spans="1:2" x14ac:dyDescent="0.25">
      <c r="A141" t="s">
        <v>89</v>
      </c>
      <c r="B141" t="s">
        <v>89</v>
      </c>
    </row>
    <row r="142" spans="1:2" x14ac:dyDescent="0.25">
      <c r="A142" t="s">
        <v>89</v>
      </c>
      <c r="B142" t="s">
        <v>89</v>
      </c>
    </row>
    <row r="143" spans="1:2" x14ac:dyDescent="0.25">
      <c r="A143" t="s">
        <v>89</v>
      </c>
      <c r="B143" t="s">
        <v>89</v>
      </c>
    </row>
    <row r="144" spans="1:2" x14ac:dyDescent="0.25">
      <c r="A144" t="s">
        <v>89</v>
      </c>
      <c r="B144" t="s">
        <v>89</v>
      </c>
    </row>
    <row r="145" spans="1:2" x14ac:dyDescent="0.25">
      <c r="A145" t="s">
        <v>89</v>
      </c>
      <c r="B145" t="s">
        <v>89</v>
      </c>
    </row>
    <row r="146" spans="1:2" x14ac:dyDescent="0.25">
      <c r="A146" t="s">
        <v>89</v>
      </c>
      <c r="B146" t="s">
        <v>89</v>
      </c>
    </row>
    <row r="147" spans="1:2" x14ac:dyDescent="0.25">
      <c r="A147" t="s">
        <v>89</v>
      </c>
      <c r="B147" t="s">
        <v>89</v>
      </c>
    </row>
    <row r="148" spans="1:2" x14ac:dyDescent="0.25">
      <c r="A148" t="s">
        <v>89</v>
      </c>
      <c r="B148" t="s">
        <v>89</v>
      </c>
    </row>
    <row r="149" spans="1:2" x14ac:dyDescent="0.25">
      <c r="A149" t="s">
        <v>89</v>
      </c>
      <c r="B149" t="s">
        <v>89</v>
      </c>
    </row>
    <row r="150" spans="1:2" x14ac:dyDescent="0.25">
      <c r="A150" t="s">
        <v>89</v>
      </c>
      <c r="B150" t="s">
        <v>89</v>
      </c>
    </row>
    <row r="151" spans="1:2" x14ac:dyDescent="0.25">
      <c r="A151" t="s">
        <v>89</v>
      </c>
      <c r="B151" t="s">
        <v>89</v>
      </c>
    </row>
    <row r="152" spans="1:2" x14ac:dyDescent="0.25">
      <c r="A152" t="s">
        <v>89</v>
      </c>
      <c r="B152" t="s">
        <v>89</v>
      </c>
    </row>
    <row r="153" spans="1:2" x14ac:dyDescent="0.25">
      <c r="A153" t="s">
        <v>89</v>
      </c>
      <c r="B153" t="s">
        <v>89</v>
      </c>
    </row>
    <row r="154" spans="1:2" x14ac:dyDescent="0.25">
      <c r="A154" t="s">
        <v>89</v>
      </c>
      <c r="B154" t="s">
        <v>89</v>
      </c>
    </row>
    <row r="155" spans="1:2" x14ac:dyDescent="0.25">
      <c r="A155" t="s">
        <v>89</v>
      </c>
      <c r="B155" t="s">
        <v>89</v>
      </c>
    </row>
    <row r="156" spans="1:2" x14ac:dyDescent="0.25">
      <c r="A156" t="s">
        <v>89</v>
      </c>
      <c r="B156" t="s">
        <v>89</v>
      </c>
    </row>
    <row r="157" spans="1:2" x14ac:dyDescent="0.25">
      <c r="A157" t="s">
        <v>89</v>
      </c>
      <c r="B157" t="s">
        <v>89</v>
      </c>
    </row>
    <row r="158" spans="1:2" x14ac:dyDescent="0.25">
      <c r="A158" t="s">
        <v>89</v>
      </c>
      <c r="B158" t="s">
        <v>89</v>
      </c>
    </row>
    <row r="159" spans="1:2" x14ac:dyDescent="0.25">
      <c r="A159" t="s">
        <v>89</v>
      </c>
      <c r="B159" t="s">
        <v>89</v>
      </c>
    </row>
    <row r="160" spans="1:2" x14ac:dyDescent="0.25">
      <c r="A160" t="s">
        <v>89</v>
      </c>
      <c r="B160" t="s">
        <v>89</v>
      </c>
    </row>
    <row r="161" spans="1:2" x14ac:dyDescent="0.25">
      <c r="A161" t="s">
        <v>89</v>
      </c>
      <c r="B161" t="s">
        <v>89</v>
      </c>
    </row>
    <row r="162" spans="1:2" x14ac:dyDescent="0.25">
      <c r="A162" t="s">
        <v>89</v>
      </c>
      <c r="B162" t="s">
        <v>89</v>
      </c>
    </row>
    <row r="163" spans="1:2" x14ac:dyDescent="0.25">
      <c r="A163" t="s">
        <v>89</v>
      </c>
      <c r="B163" t="s">
        <v>89</v>
      </c>
    </row>
    <row r="164" spans="1:2" x14ac:dyDescent="0.25">
      <c r="A164" t="s">
        <v>89</v>
      </c>
      <c r="B164" t="s">
        <v>89</v>
      </c>
    </row>
    <row r="165" spans="1:2" x14ac:dyDescent="0.25">
      <c r="A165" t="s">
        <v>89</v>
      </c>
      <c r="B165" t="s">
        <v>89</v>
      </c>
    </row>
    <row r="166" spans="1:2" x14ac:dyDescent="0.25">
      <c r="A166" t="s">
        <v>89</v>
      </c>
      <c r="B166" t="s">
        <v>89</v>
      </c>
    </row>
    <row r="167" spans="1:2" x14ac:dyDescent="0.25">
      <c r="A167" t="s">
        <v>89</v>
      </c>
      <c r="B167" t="s">
        <v>89</v>
      </c>
    </row>
    <row r="168" spans="1:2" x14ac:dyDescent="0.25">
      <c r="A168" t="s">
        <v>89</v>
      </c>
      <c r="B168" t="s">
        <v>89</v>
      </c>
    </row>
    <row r="169" spans="1:2" x14ac:dyDescent="0.25">
      <c r="A169" t="s">
        <v>89</v>
      </c>
      <c r="B169" t="s">
        <v>89</v>
      </c>
    </row>
    <row r="170" spans="1:2" x14ac:dyDescent="0.25">
      <c r="A170" t="s">
        <v>89</v>
      </c>
      <c r="B170" t="s">
        <v>89</v>
      </c>
    </row>
    <row r="171" spans="1:2" x14ac:dyDescent="0.25">
      <c r="A171" t="s">
        <v>89</v>
      </c>
      <c r="B171" t="s">
        <v>89</v>
      </c>
    </row>
    <row r="172" spans="1:2" x14ac:dyDescent="0.25">
      <c r="A172" t="s">
        <v>89</v>
      </c>
      <c r="B172" t="s">
        <v>89</v>
      </c>
    </row>
    <row r="173" spans="1:2" x14ac:dyDescent="0.25">
      <c r="A173" t="s">
        <v>89</v>
      </c>
      <c r="B173" t="s">
        <v>89</v>
      </c>
    </row>
    <row r="174" spans="1:2" x14ac:dyDescent="0.25">
      <c r="A174" t="s">
        <v>89</v>
      </c>
      <c r="B174" t="s">
        <v>89</v>
      </c>
    </row>
    <row r="175" spans="1:2" x14ac:dyDescent="0.25">
      <c r="A175" t="s">
        <v>89</v>
      </c>
      <c r="B175" t="s">
        <v>89</v>
      </c>
    </row>
    <row r="176" spans="1:2" x14ac:dyDescent="0.25">
      <c r="A176" t="s">
        <v>89</v>
      </c>
      <c r="B176" t="s">
        <v>89</v>
      </c>
    </row>
    <row r="177" spans="1:2" x14ac:dyDescent="0.25">
      <c r="A177" t="s">
        <v>89</v>
      </c>
      <c r="B177" t="s">
        <v>89</v>
      </c>
    </row>
    <row r="178" spans="1:2" x14ac:dyDescent="0.25">
      <c r="A178" t="s">
        <v>89</v>
      </c>
      <c r="B178" t="s">
        <v>89</v>
      </c>
    </row>
    <row r="179" spans="1:2" x14ac:dyDescent="0.25">
      <c r="A179" t="s">
        <v>89</v>
      </c>
      <c r="B179" t="s">
        <v>89</v>
      </c>
    </row>
    <row r="180" spans="1:2" x14ac:dyDescent="0.25">
      <c r="A180" t="s">
        <v>89</v>
      </c>
      <c r="B180" t="s">
        <v>89</v>
      </c>
    </row>
    <row r="181" spans="1:2" x14ac:dyDescent="0.25">
      <c r="A181" t="s">
        <v>89</v>
      </c>
      <c r="B181" t="s">
        <v>89</v>
      </c>
    </row>
    <row r="182" spans="1:2" x14ac:dyDescent="0.25">
      <c r="A182" t="s">
        <v>89</v>
      </c>
      <c r="B182" t="s">
        <v>89</v>
      </c>
    </row>
    <row r="183" spans="1:2" x14ac:dyDescent="0.25">
      <c r="A183" t="s">
        <v>89</v>
      </c>
      <c r="B183" t="s">
        <v>89</v>
      </c>
    </row>
    <row r="184" spans="1:2" x14ac:dyDescent="0.25">
      <c r="A184" t="s">
        <v>89</v>
      </c>
      <c r="B184" t="s">
        <v>89</v>
      </c>
    </row>
    <row r="185" spans="1:2" x14ac:dyDescent="0.25">
      <c r="A185" t="s">
        <v>89</v>
      </c>
      <c r="B185" t="s">
        <v>89</v>
      </c>
    </row>
    <row r="186" spans="1:2" x14ac:dyDescent="0.25">
      <c r="A186" t="s">
        <v>89</v>
      </c>
      <c r="B186" t="s">
        <v>89</v>
      </c>
    </row>
    <row r="187" spans="1:2" x14ac:dyDescent="0.25">
      <c r="A187" t="s">
        <v>89</v>
      </c>
      <c r="B187" t="s">
        <v>89</v>
      </c>
    </row>
    <row r="188" spans="1:2" x14ac:dyDescent="0.25">
      <c r="A188" t="s">
        <v>89</v>
      </c>
      <c r="B188" t="s">
        <v>89</v>
      </c>
    </row>
    <row r="189" spans="1:2" x14ac:dyDescent="0.25">
      <c r="A189" t="s">
        <v>89</v>
      </c>
      <c r="B189" t="s">
        <v>89</v>
      </c>
    </row>
    <row r="190" spans="1:2" x14ac:dyDescent="0.25">
      <c r="A190" t="s">
        <v>89</v>
      </c>
      <c r="B190" t="s">
        <v>89</v>
      </c>
    </row>
    <row r="191" spans="1:2" x14ac:dyDescent="0.25">
      <c r="A191" t="s">
        <v>89</v>
      </c>
      <c r="B191" t="s">
        <v>89</v>
      </c>
    </row>
    <row r="192" spans="1:2" x14ac:dyDescent="0.25">
      <c r="A192" t="s">
        <v>89</v>
      </c>
      <c r="B192" t="s">
        <v>89</v>
      </c>
    </row>
    <row r="193" spans="1:2" x14ac:dyDescent="0.25">
      <c r="A193" t="s">
        <v>89</v>
      </c>
      <c r="B193" t="s">
        <v>89</v>
      </c>
    </row>
    <row r="194" spans="1:2" x14ac:dyDescent="0.25">
      <c r="A194" t="s">
        <v>89</v>
      </c>
      <c r="B194" t="s">
        <v>89</v>
      </c>
    </row>
    <row r="195" spans="1:2" x14ac:dyDescent="0.25">
      <c r="A195" t="s">
        <v>89</v>
      </c>
      <c r="B195" t="s">
        <v>89</v>
      </c>
    </row>
    <row r="196" spans="1:2" x14ac:dyDescent="0.25">
      <c r="A196" t="s">
        <v>89</v>
      </c>
      <c r="B196" t="s">
        <v>89</v>
      </c>
    </row>
    <row r="197" spans="1:2" x14ac:dyDescent="0.25">
      <c r="A197" t="s">
        <v>89</v>
      </c>
      <c r="B197" t="s">
        <v>89</v>
      </c>
    </row>
    <row r="198" spans="1:2" x14ac:dyDescent="0.25">
      <c r="A198" t="s">
        <v>89</v>
      </c>
      <c r="B198" t="s">
        <v>89</v>
      </c>
    </row>
    <row r="199" spans="1:2" x14ac:dyDescent="0.25">
      <c r="A199" t="s">
        <v>89</v>
      </c>
      <c r="B199" t="s">
        <v>89</v>
      </c>
    </row>
    <row r="200" spans="1:2" x14ac:dyDescent="0.25">
      <c r="A200" t="s">
        <v>89</v>
      </c>
      <c r="B200" t="s">
        <v>89</v>
      </c>
    </row>
    <row r="201" spans="1:2" x14ac:dyDescent="0.25">
      <c r="A201" t="s">
        <v>89</v>
      </c>
      <c r="B201" t="s">
        <v>89</v>
      </c>
    </row>
    <row r="202" spans="1:2" x14ac:dyDescent="0.25">
      <c r="A202" t="s">
        <v>89</v>
      </c>
      <c r="B202" t="s">
        <v>89</v>
      </c>
    </row>
    <row r="203" spans="1:2" x14ac:dyDescent="0.25">
      <c r="A203" t="s">
        <v>89</v>
      </c>
      <c r="B203" t="s">
        <v>89</v>
      </c>
    </row>
    <row r="204" spans="1:2" x14ac:dyDescent="0.25">
      <c r="A204" t="s">
        <v>89</v>
      </c>
      <c r="B204" t="s">
        <v>89</v>
      </c>
    </row>
    <row r="205" spans="1:2" x14ac:dyDescent="0.25">
      <c r="A205" t="s">
        <v>89</v>
      </c>
      <c r="B205" t="s">
        <v>89</v>
      </c>
    </row>
    <row r="206" spans="1:2" x14ac:dyDescent="0.25">
      <c r="A206" t="s">
        <v>89</v>
      </c>
      <c r="B206" t="s">
        <v>89</v>
      </c>
    </row>
    <row r="207" spans="1:2" x14ac:dyDescent="0.25">
      <c r="A207" t="s">
        <v>89</v>
      </c>
      <c r="B207" t="s">
        <v>89</v>
      </c>
    </row>
    <row r="208" spans="1:2" x14ac:dyDescent="0.25">
      <c r="A208" t="s">
        <v>89</v>
      </c>
      <c r="B208" t="s">
        <v>89</v>
      </c>
    </row>
    <row r="209" spans="1:2" x14ac:dyDescent="0.25">
      <c r="A209" t="s">
        <v>89</v>
      </c>
      <c r="B209" t="s">
        <v>89</v>
      </c>
    </row>
    <row r="210" spans="1:2" x14ac:dyDescent="0.25">
      <c r="A210" t="s">
        <v>89</v>
      </c>
      <c r="B210" t="s">
        <v>89</v>
      </c>
    </row>
    <row r="211" spans="1:2" x14ac:dyDescent="0.25">
      <c r="A211" t="s">
        <v>89</v>
      </c>
      <c r="B211" t="s">
        <v>89</v>
      </c>
    </row>
    <row r="212" spans="1:2" x14ac:dyDescent="0.25">
      <c r="A212" t="s">
        <v>89</v>
      </c>
      <c r="B212" t="s">
        <v>89</v>
      </c>
    </row>
    <row r="213" spans="1:2" x14ac:dyDescent="0.25">
      <c r="A213" t="s">
        <v>89</v>
      </c>
      <c r="B213" t="s">
        <v>89</v>
      </c>
    </row>
    <row r="214" spans="1:2" x14ac:dyDescent="0.25">
      <c r="A214" t="s">
        <v>89</v>
      </c>
      <c r="B214" t="s">
        <v>89</v>
      </c>
    </row>
    <row r="215" spans="1:2" x14ac:dyDescent="0.25">
      <c r="A215" t="s">
        <v>89</v>
      </c>
      <c r="B215" t="s">
        <v>89</v>
      </c>
    </row>
    <row r="216" spans="1:2" x14ac:dyDescent="0.25">
      <c r="A216" t="s">
        <v>89</v>
      </c>
      <c r="B216" t="s">
        <v>89</v>
      </c>
    </row>
    <row r="217" spans="1:2" x14ac:dyDescent="0.25">
      <c r="A217" t="s">
        <v>89</v>
      </c>
      <c r="B217" t="s">
        <v>89</v>
      </c>
    </row>
    <row r="218" spans="1:2" x14ac:dyDescent="0.25">
      <c r="A218" t="s">
        <v>89</v>
      </c>
      <c r="B218" t="s">
        <v>89</v>
      </c>
    </row>
    <row r="219" spans="1:2" x14ac:dyDescent="0.25">
      <c r="A219" t="s">
        <v>89</v>
      </c>
      <c r="B219" t="s">
        <v>89</v>
      </c>
    </row>
    <row r="220" spans="1:2" x14ac:dyDescent="0.25">
      <c r="A220" t="s">
        <v>89</v>
      </c>
      <c r="B220" t="s">
        <v>89</v>
      </c>
    </row>
    <row r="221" spans="1:2" x14ac:dyDescent="0.25">
      <c r="A221" t="s">
        <v>89</v>
      </c>
      <c r="B221" t="s">
        <v>89</v>
      </c>
    </row>
    <row r="222" spans="1:2" x14ac:dyDescent="0.25">
      <c r="A222" t="s">
        <v>89</v>
      </c>
      <c r="B222" t="s">
        <v>89</v>
      </c>
    </row>
    <row r="223" spans="1:2" x14ac:dyDescent="0.25">
      <c r="A223" t="s">
        <v>89</v>
      </c>
      <c r="B223" t="s">
        <v>89</v>
      </c>
    </row>
    <row r="224" spans="1:2" x14ac:dyDescent="0.25">
      <c r="A224" t="s">
        <v>89</v>
      </c>
      <c r="B224" t="s">
        <v>89</v>
      </c>
    </row>
    <row r="225" spans="1:2" x14ac:dyDescent="0.25">
      <c r="A225" t="s">
        <v>89</v>
      </c>
      <c r="B225" t="s">
        <v>89</v>
      </c>
    </row>
    <row r="226" spans="1:2" x14ac:dyDescent="0.25">
      <c r="A226" t="s">
        <v>89</v>
      </c>
      <c r="B226" t="s">
        <v>89</v>
      </c>
    </row>
    <row r="227" spans="1:2" x14ac:dyDescent="0.25">
      <c r="A227" t="s">
        <v>89</v>
      </c>
      <c r="B227" t="s">
        <v>89</v>
      </c>
    </row>
    <row r="228" spans="1:2" x14ac:dyDescent="0.25">
      <c r="A228" t="s">
        <v>89</v>
      </c>
      <c r="B228" t="s">
        <v>89</v>
      </c>
    </row>
    <row r="229" spans="1:2" x14ac:dyDescent="0.25">
      <c r="A229" t="s">
        <v>89</v>
      </c>
      <c r="B229" t="s">
        <v>89</v>
      </c>
    </row>
    <row r="230" spans="1:2" x14ac:dyDescent="0.25">
      <c r="A230" t="s">
        <v>89</v>
      </c>
      <c r="B230" t="s">
        <v>89</v>
      </c>
    </row>
    <row r="231" spans="1:2" x14ac:dyDescent="0.25">
      <c r="A231" t="s">
        <v>89</v>
      </c>
      <c r="B231" t="s">
        <v>89</v>
      </c>
    </row>
    <row r="232" spans="1:2" x14ac:dyDescent="0.25">
      <c r="A232" t="s">
        <v>89</v>
      </c>
      <c r="B232" t="s">
        <v>89</v>
      </c>
    </row>
    <row r="233" spans="1:2" x14ac:dyDescent="0.25">
      <c r="A233" t="s">
        <v>89</v>
      </c>
      <c r="B233" t="s">
        <v>89</v>
      </c>
    </row>
    <row r="234" spans="1:2" x14ac:dyDescent="0.25">
      <c r="A234" t="s">
        <v>89</v>
      </c>
      <c r="B234" t="s">
        <v>89</v>
      </c>
    </row>
    <row r="235" spans="1:2" x14ac:dyDescent="0.25">
      <c r="A235" t="s">
        <v>89</v>
      </c>
      <c r="B235" t="s">
        <v>89</v>
      </c>
    </row>
    <row r="236" spans="1:2" x14ac:dyDescent="0.25">
      <c r="A236" t="s">
        <v>89</v>
      </c>
      <c r="B236" t="s">
        <v>89</v>
      </c>
    </row>
    <row r="237" spans="1:2" x14ac:dyDescent="0.25">
      <c r="A237" t="s">
        <v>89</v>
      </c>
      <c r="B237" t="s">
        <v>89</v>
      </c>
    </row>
    <row r="238" spans="1:2" x14ac:dyDescent="0.25">
      <c r="A238" t="s">
        <v>89</v>
      </c>
      <c r="B238" t="s">
        <v>89</v>
      </c>
    </row>
    <row r="239" spans="1:2" x14ac:dyDescent="0.25">
      <c r="A239" t="s">
        <v>89</v>
      </c>
      <c r="B239" t="s">
        <v>89</v>
      </c>
    </row>
    <row r="240" spans="1:2" x14ac:dyDescent="0.25">
      <c r="A240" t="s">
        <v>89</v>
      </c>
      <c r="B240" t="s">
        <v>89</v>
      </c>
    </row>
    <row r="241" spans="1:2" x14ac:dyDescent="0.25">
      <c r="A241" t="s">
        <v>89</v>
      </c>
      <c r="B241" t="s">
        <v>89</v>
      </c>
    </row>
    <row r="242" spans="1:2" x14ac:dyDescent="0.25">
      <c r="A242" t="s">
        <v>89</v>
      </c>
      <c r="B242" t="s">
        <v>89</v>
      </c>
    </row>
    <row r="243" spans="1:2" x14ac:dyDescent="0.25">
      <c r="A243" t="s">
        <v>89</v>
      </c>
      <c r="B243" t="s">
        <v>89</v>
      </c>
    </row>
    <row r="244" spans="1:2" x14ac:dyDescent="0.25">
      <c r="A244" t="s">
        <v>89</v>
      </c>
      <c r="B244" t="s">
        <v>89</v>
      </c>
    </row>
    <row r="245" spans="1:2" x14ac:dyDescent="0.25">
      <c r="A245" t="s">
        <v>89</v>
      </c>
      <c r="B245" t="s">
        <v>89</v>
      </c>
    </row>
    <row r="246" spans="1:2" x14ac:dyDescent="0.25">
      <c r="A246" t="s">
        <v>89</v>
      </c>
      <c r="B246" t="s">
        <v>89</v>
      </c>
    </row>
    <row r="247" spans="1:2" x14ac:dyDescent="0.25">
      <c r="A247" t="s">
        <v>89</v>
      </c>
      <c r="B247" t="s">
        <v>89</v>
      </c>
    </row>
    <row r="248" spans="1:2" x14ac:dyDescent="0.25">
      <c r="A248" t="s">
        <v>89</v>
      </c>
      <c r="B248" t="s">
        <v>89</v>
      </c>
    </row>
    <row r="249" spans="1:2" x14ac:dyDescent="0.25">
      <c r="A249" t="s">
        <v>89</v>
      </c>
      <c r="B249" t="s">
        <v>89</v>
      </c>
    </row>
    <row r="250" spans="1:2" x14ac:dyDescent="0.25">
      <c r="A250" t="s">
        <v>89</v>
      </c>
      <c r="B250" t="s">
        <v>89</v>
      </c>
    </row>
    <row r="251" spans="1:2" x14ac:dyDescent="0.25">
      <c r="A251" t="s">
        <v>89</v>
      </c>
      <c r="B251" t="s">
        <v>89</v>
      </c>
    </row>
    <row r="252" spans="1:2" x14ac:dyDescent="0.25">
      <c r="A252" t="s">
        <v>89</v>
      </c>
      <c r="B252" t="s">
        <v>89</v>
      </c>
    </row>
    <row r="253" spans="1:2" x14ac:dyDescent="0.25">
      <c r="A253" t="s">
        <v>89</v>
      </c>
      <c r="B253" t="s">
        <v>89</v>
      </c>
    </row>
    <row r="254" spans="1:2" x14ac:dyDescent="0.25">
      <c r="A254" t="s">
        <v>89</v>
      </c>
      <c r="B254" t="s">
        <v>89</v>
      </c>
    </row>
    <row r="255" spans="1:2" x14ac:dyDescent="0.25">
      <c r="A255" t="s">
        <v>89</v>
      </c>
      <c r="B255" t="s">
        <v>89</v>
      </c>
    </row>
    <row r="256" spans="1:2" x14ac:dyDescent="0.25">
      <c r="A256" t="s">
        <v>89</v>
      </c>
      <c r="B256" t="s">
        <v>89</v>
      </c>
    </row>
    <row r="257" spans="1:2" x14ac:dyDescent="0.25">
      <c r="A257" t="s">
        <v>89</v>
      </c>
      <c r="B257" t="s">
        <v>89</v>
      </c>
    </row>
    <row r="258" spans="1:2" x14ac:dyDescent="0.25">
      <c r="A258" t="s">
        <v>89</v>
      </c>
      <c r="B258" t="s">
        <v>89</v>
      </c>
    </row>
    <row r="259" spans="1:2" x14ac:dyDescent="0.25">
      <c r="A259" t="s">
        <v>89</v>
      </c>
      <c r="B259" t="s">
        <v>89</v>
      </c>
    </row>
    <row r="260" spans="1:2" x14ac:dyDescent="0.25">
      <c r="A260" t="s">
        <v>89</v>
      </c>
      <c r="B260" t="s">
        <v>89</v>
      </c>
    </row>
    <row r="261" spans="1:2" x14ac:dyDescent="0.25">
      <c r="A261" t="s">
        <v>89</v>
      </c>
      <c r="B261" t="s">
        <v>89</v>
      </c>
    </row>
    <row r="262" spans="1:2" x14ac:dyDescent="0.25">
      <c r="A262" t="s">
        <v>89</v>
      </c>
      <c r="B262" t="s">
        <v>89</v>
      </c>
    </row>
    <row r="263" spans="1:2" x14ac:dyDescent="0.25">
      <c r="A263" t="s">
        <v>89</v>
      </c>
      <c r="B263" t="s">
        <v>89</v>
      </c>
    </row>
    <row r="264" spans="1:2" x14ac:dyDescent="0.25">
      <c r="A264" t="s">
        <v>89</v>
      </c>
      <c r="B264" t="s">
        <v>89</v>
      </c>
    </row>
    <row r="265" spans="1:2" x14ac:dyDescent="0.25">
      <c r="A265" t="s">
        <v>89</v>
      </c>
      <c r="B265" t="s">
        <v>89</v>
      </c>
    </row>
    <row r="266" spans="1:2" x14ac:dyDescent="0.25">
      <c r="A266" t="s">
        <v>89</v>
      </c>
      <c r="B266" t="s">
        <v>89</v>
      </c>
    </row>
    <row r="267" spans="1:2" x14ac:dyDescent="0.25">
      <c r="A267" t="s">
        <v>89</v>
      </c>
      <c r="B267" t="s">
        <v>89</v>
      </c>
    </row>
    <row r="268" spans="1:2" x14ac:dyDescent="0.25">
      <c r="A268" t="s">
        <v>89</v>
      </c>
      <c r="B268" t="s">
        <v>89</v>
      </c>
    </row>
    <row r="269" spans="1:2" x14ac:dyDescent="0.25">
      <c r="A269" t="s">
        <v>89</v>
      </c>
      <c r="B269" t="s">
        <v>89</v>
      </c>
    </row>
    <row r="270" spans="1:2" x14ac:dyDescent="0.25">
      <c r="A270" t="s">
        <v>89</v>
      </c>
      <c r="B270" t="s">
        <v>89</v>
      </c>
    </row>
    <row r="271" spans="1:2" x14ac:dyDescent="0.25">
      <c r="A271" t="s">
        <v>89</v>
      </c>
      <c r="B271" t="s">
        <v>89</v>
      </c>
    </row>
    <row r="272" spans="1:2" x14ac:dyDescent="0.25">
      <c r="A272" t="s">
        <v>89</v>
      </c>
      <c r="B272" t="s">
        <v>89</v>
      </c>
    </row>
    <row r="273" spans="1:2" x14ac:dyDescent="0.25">
      <c r="A273" t="s">
        <v>89</v>
      </c>
      <c r="B273" t="s">
        <v>89</v>
      </c>
    </row>
    <row r="274" spans="1:2" x14ac:dyDescent="0.25">
      <c r="A274" t="s">
        <v>89</v>
      </c>
      <c r="B274" t="s">
        <v>89</v>
      </c>
    </row>
    <row r="275" spans="1:2" x14ac:dyDescent="0.25">
      <c r="A275" t="s">
        <v>89</v>
      </c>
      <c r="B275" t="s">
        <v>89</v>
      </c>
    </row>
    <row r="276" spans="1:2" x14ac:dyDescent="0.25">
      <c r="A276" t="s">
        <v>89</v>
      </c>
      <c r="B276" t="s">
        <v>89</v>
      </c>
    </row>
    <row r="277" spans="1:2" x14ac:dyDescent="0.25">
      <c r="A277" t="s">
        <v>89</v>
      </c>
      <c r="B277" t="s">
        <v>89</v>
      </c>
    </row>
    <row r="278" spans="1:2" x14ac:dyDescent="0.25">
      <c r="A278" t="s">
        <v>89</v>
      </c>
      <c r="B278" t="s">
        <v>89</v>
      </c>
    </row>
    <row r="279" spans="1:2" x14ac:dyDescent="0.25">
      <c r="A279" t="s">
        <v>89</v>
      </c>
      <c r="B279" t="s">
        <v>89</v>
      </c>
    </row>
    <row r="280" spans="1:2" x14ac:dyDescent="0.25">
      <c r="A280" t="s">
        <v>89</v>
      </c>
      <c r="B280" t="s">
        <v>89</v>
      </c>
    </row>
    <row r="281" spans="1:2" x14ac:dyDescent="0.25">
      <c r="A281" t="s">
        <v>89</v>
      </c>
      <c r="B281" t="s">
        <v>89</v>
      </c>
    </row>
    <row r="282" spans="1:2" x14ac:dyDescent="0.25">
      <c r="A282" t="s">
        <v>89</v>
      </c>
      <c r="B282" t="s">
        <v>89</v>
      </c>
    </row>
    <row r="283" spans="1:2" x14ac:dyDescent="0.25">
      <c r="A283" t="s">
        <v>89</v>
      </c>
      <c r="B283" t="s">
        <v>89</v>
      </c>
    </row>
    <row r="284" spans="1:2" x14ac:dyDescent="0.25">
      <c r="A284" t="s">
        <v>89</v>
      </c>
      <c r="B284" t="s">
        <v>89</v>
      </c>
    </row>
    <row r="285" spans="1:2" x14ac:dyDescent="0.25">
      <c r="A285" t="s">
        <v>89</v>
      </c>
      <c r="B285" t="s">
        <v>89</v>
      </c>
    </row>
    <row r="286" spans="1:2" x14ac:dyDescent="0.25">
      <c r="A286" t="s">
        <v>89</v>
      </c>
      <c r="B286" t="s">
        <v>89</v>
      </c>
    </row>
    <row r="287" spans="1:2" x14ac:dyDescent="0.25">
      <c r="A287" t="s">
        <v>89</v>
      </c>
      <c r="B287" t="s">
        <v>89</v>
      </c>
    </row>
    <row r="288" spans="1:2" x14ac:dyDescent="0.25">
      <c r="A288" t="s">
        <v>89</v>
      </c>
      <c r="B288" t="s">
        <v>89</v>
      </c>
    </row>
    <row r="289" spans="1:2" x14ac:dyDescent="0.25">
      <c r="A289" t="s">
        <v>89</v>
      </c>
      <c r="B289" t="s">
        <v>89</v>
      </c>
    </row>
    <row r="290" spans="1:2" x14ac:dyDescent="0.25">
      <c r="A290" t="s">
        <v>89</v>
      </c>
      <c r="B290" t="s">
        <v>89</v>
      </c>
    </row>
    <row r="291" spans="1:2" x14ac:dyDescent="0.25">
      <c r="A291" t="s">
        <v>89</v>
      </c>
      <c r="B291" t="s">
        <v>89</v>
      </c>
    </row>
    <row r="292" spans="1:2" x14ac:dyDescent="0.25">
      <c r="A292" t="s">
        <v>89</v>
      </c>
      <c r="B292" t="s">
        <v>89</v>
      </c>
    </row>
    <row r="293" spans="1:2" x14ac:dyDescent="0.25">
      <c r="A293" t="s">
        <v>89</v>
      </c>
      <c r="B293" t="s">
        <v>89</v>
      </c>
    </row>
    <row r="294" spans="1:2" x14ac:dyDescent="0.25">
      <c r="A294" t="s">
        <v>89</v>
      </c>
      <c r="B294" t="s">
        <v>89</v>
      </c>
    </row>
    <row r="295" spans="1:2" x14ac:dyDescent="0.25">
      <c r="A295" t="s">
        <v>89</v>
      </c>
      <c r="B295" t="s">
        <v>89</v>
      </c>
    </row>
    <row r="296" spans="1:2" x14ac:dyDescent="0.25">
      <c r="A296" t="s">
        <v>89</v>
      </c>
      <c r="B296" t="s">
        <v>89</v>
      </c>
    </row>
    <row r="297" spans="1:2" x14ac:dyDescent="0.25">
      <c r="A297" t="s">
        <v>89</v>
      </c>
      <c r="B297" t="s">
        <v>89</v>
      </c>
    </row>
    <row r="298" spans="1:2" x14ac:dyDescent="0.25">
      <c r="A298" t="s">
        <v>89</v>
      </c>
      <c r="B298" t="s">
        <v>89</v>
      </c>
    </row>
    <row r="299" spans="1:2" x14ac:dyDescent="0.25">
      <c r="A299" t="s">
        <v>89</v>
      </c>
      <c r="B299" t="s">
        <v>89</v>
      </c>
    </row>
    <row r="300" spans="1:2" x14ac:dyDescent="0.25">
      <c r="A300" t="s">
        <v>89</v>
      </c>
      <c r="B300" t="s">
        <v>89</v>
      </c>
    </row>
    <row r="301" spans="1:2" x14ac:dyDescent="0.25">
      <c r="A301" t="s">
        <v>89</v>
      </c>
      <c r="B301" t="s">
        <v>89</v>
      </c>
    </row>
    <row r="302" spans="1:2" x14ac:dyDescent="0.25">
      <c r="A302" t="s">
        <v>89</v>
      </c>
      <c r="B302" t="s">
        <v>89</v>
      </c>
    </row>
    <row r="303" spans="1:2" x14ac:dyDescent="0.25">
      <c r="A303" t="s">
        <v>89</v>
      </c>
      <c r="B303" t="s">
        <v>89</v>
      </c>
    </row>
    <row r="304" spans="1:2" x14ac:dyDescent="0.25">
      <c r="A304" t="s">
        <v>89</v>
      </c>
      <c r="B304" t="s">
        <v>89</v>
      </c>
    </row>
    <row r="305" spans="1:2" x14ac:dyDescent="0.25">
      <c r="A305" t="s">
        <v>89</v>
      </c>
      <c r="B305" t="s">
        <v>89</v>
      </c>
    </row>
    <row r="306" spans="1:2" x14ac:dyDescent="0.25">
      <c r="A306" t="s">
        <v>89</v>
      </c>
      <c r="B306" t="s">
        <v>89</v>
      </c>
    </row>
    <row r="307" spans="1:2" x14ac:dyDescent="0.25">
      <c r="A307" t="s">
        <v>89</v>
      </c>
      <c r="B307" t="s">
        <v>89</v>
      </c>
    </row>
    <row r="308" spans="1:2" x14ac:dyDescent="0.25">
      <c r="A308" t="s">
        <v>89</v>
      </c>
      <c r="B308" t="s">
        <v>89</v>
      </c>
    </row>
    <row r="309" spans="1:2" x14ac:dyDescent="0.25">
      <c r="A309" t="s">
        <v>89</v>
      </c>
      <c r="B309" t="s">
        <v>89</v>
      </c>
    </row>
    <row r="310" spans="1:2" x14ac:dyDescent="0.25">
      <c r="A310" t="s">
        <v>89</v>
      </c>
      <c r="B310" t="s">
        <v>89</v>
      </c>
    </row>
    <row r="311" spans="1:2" x14ac:dyDescent="0.25">
      <c r="A311" t="s">
        <v>89</v>
      </c>
      <c r="B311" t="s">
        <v>89</v>
      </c>
    </row>
    <row r="312" spans="1:2" x14ac:dyDescent="0.25">
      <c r="A312" t="s">
        <v>89</v>
      </c>
      <c r="B312" t="s">
        <v>89</v>
      </c>
    </row>
    <row r="313" spans="1:2" x14ac:dyDescent="0.25">
      <c r="A313" t="s">
        <v>89</v>
      </c>
      <c r="B313" t="s">
        <v>89</v>
      </c>
    </row>
    <row r="314" spans="1:2" x14ac:dyDescent="0.25">
      <c r="A314" t="s">
        <v>89</v>
      </c>
      <c r="B314" t="s">
        <v>89</v>
      </c>
    </row>
    <row r="315" spans="1:2" x14ac:dyDescent="0.25">
      <c r="A315" t="s">
        <v>89</v>
      </c>
      <c r="B315" t="s">
        <v>89</v>
      </c>
    </row>
    <row r="316" spans="1:2" x14ac:dyDescent="0.25">
      <c r="A316" t="s">
        <v>89</v>
      </c>
      <c r="B316" t="s">
        <v>89</v>
      </c>
    </row>
    <row r="317" spans="1:2" x14ac:dyDescent="0.25">
      <c r="A317" t="s">
        <v>89</v>
      </c>
      <c r="B317" t="s">
        <v>89</v>
      </c>
    </row>
    <row r="318" spans="1:2" x14ac:dyDescent="0.25">
      <c r="A318" t="s">
        <v>89</v>
      </c>
      <c r="B318" t="s">
        <v>89</v>
      </c>
    </row>
    <row r="319" spans="1:2" x14ac:dyDescent="0.25">
      <c r="A319" t="s">
        <v>89</v>
      </c>
      <c r="B319" t="s">
        <v>89</v>
      </c>
    </row>
    <row r="320" spans="1:2" x14ac:dyDescent="0.25">
      <c r="A320" t="s">
        <v>89</v>
      </c>
      <c r="B320" t="s">
        <v>89</v>
      </c>
    </row>
    <row r="321" spans="1:2" x14ac:dyDescent="0.25">
      <c r="A321" t="s">
        <v>89</v>
      </c>
      <c r="B321" t="s">
        <v>89</v>
      </c>
    </row>
    <row r="322" spans="1:2" x14ac:dyDescent="0.25">
      <c r="A322" t="s">
        <v>89</v>
      </c>
      <c r="B322" t="s">
        <v>89</v>
      </c>
    </row>
    <row r="323" spans="1:2" x14ac:dyDescent="0.25">
      <c r="A323" t="s">
        <v>89</v>
      </c>
      <c r="B323" t="s">
        <v>89</v>
      </c>
    </row>
    <row r="324" spans="1:2" x14ac:dyDescent="0.25">
      <c r="A324" t="s">
        <v>89</v>
      </c>
      <c r="B324" t="s">
        <v>89</v>
      </c>
    </row>
    <row r="325" spans="1:2" x14ac:dyDescent="0.25">
      <c r="A325" t="s">
        <v>89</v>
      </c>
      <c r="B325" t="s">
        <v>89</v>
      </c>
    </row>
    <row r="326" spans="1:2" x14ac:dyDescent="0.25">
      <c r="A326" t="s">
        <v>89</v>
      </c>
      <c r="B326" t="s">
        <v>89</v>
      </c>
    </row>
    <row r="327" spans="1:2" x14ac:dyDescent="0.25">
      <c r="A327" t="s">
        <v>89</v>
      </c>
      <c r="B327" t="s">
        <v>89</v>
      </c>
    </row>
    <row r="328" spans="1:2" x14ac:dyDescent="0.25">
      <c r="A328" t="s">
        <v>89</v>
      </c>
      <c r="B328" t="s">
        <v>89</v>
      </c>
    </row>
    <row r="329" spans="1:2" x14ac:dyDescent="0.25">
      <c r="A329" t="s">
        <v>89</v>
      </c>
      <c r="B329" t="s">
        <v>89</v>
      </c>
    </row>
    <row r="330" spans="1:2" x14ac:dyDescent="0.25">
      <c r="A330" t="s">
        <v>89</v>
      </c>
      <c r="B330" t="s">
        <v>89</v>
      </c>
    </row>
    <row r="331" spans="1:2" x14ac:dyDescent="0.25">
      <c r="A331" t="s">
        <v>89</v>
      </c>
      <c r="B331" t="s">
        <v>89</v>
      </c>
    </row>
    <row r="332" spans="1:2" x14ac:dyDescent="0.25">
      <c r="A332" t="s">
        <v>89</v>
      </c>
      <c r="B332" t="s">
        <v>89</v>
      </c>
    </row>
    <row r="333" spans="1:2" x14ac:dyDescent="0.25">
      <c r="A333" t="s">
        <v>89</v>
      </c>
      <c r="B333" t="s">
        <v>89</v>
      </c>
    </row>
    <row r="334" spans="1:2" x14ac:dyDescent="0.25">
      <c r="A334" t="s">
        <v>89</v>
      </c>
      <c r="B334" t="s">
        <v>89</v>
      </c>
    </row>
    <row r="335" spans="1:2" x14ac:dyDescent="0.25">
      <c r="A335" t="s">
        <v>89</v>
      </c>
      <c r="B335" t="s">
        <v>89</v>
      </c>
    </row>
    <row r="336" spans="1:2" x14ac:dyDescent="0.25">
      <c r="A336" t="s">
        <v>89</v>
      </c>
      <c r="B336" t="s">
        <v>89</v>
      </c>
    </row>
    <row r="337" spans="1:2" x14ac:dyDescent="0.25">
      <c r="A337" t="s">
        <v>89</v>
      </c>
      <c r="B337" t="s">
        <v>89</v>
      </c>
    </row>
    <row r="338" spans="1:2" x14ac:dyDescent="0.25">
      <c r="A338" t="s">
        <v>89</v>
      </c>
      <c r="B338" t="s">
        <v>89</v>
      </c>
    </row>
    <row r="339" spans="1:2" x14ac:dyDescent="0.25">
      <c r="A339" t="s">
        <v>89</v>
      </c>
      <c r="B339" t="s">
        <v>89</v>
      </c>
    </row>
    <row r="340" spans="1:2" x14ac:dyDescent="0.25">
      <c r="A340" t="s">
        <v>89</v>
      </c>
      <c r="B340" t="s">
        <v>89</v>
      </c>
    </row>
    <row r="341" spans="1:2" x14ac:dyDescent="0.25">
      <c r="A341" t="s">
        <v>89</v>
      </c>
      <c r="B341" t="s">
        <v>89</v>
      </c>
    </row>
    <row r="342" spans="1:2" x14ac:dyDescent="0.25">
      <c r="A342" t="s">
        <v>89</v>
      </c>
      <c r="B342" t="s">
        <v>89</v>
      </c>
    </row>
    <row r="343" spans="1:2" x14ac:dyDescent="0.25">
      <c r="A343" t="s">
        <v>89</v>
      </c>
      <c r="B343" t="s">
        <v>89</v>
      </c>
    </row>
    <row r="344" spans="1:2" x14ac:dyDescent="0.25">
      <c r="A344" t="s">
        <v>89</v>
      </c>
      <c r="B344" t="s">
        <v>89</v>
      </c>
    </row>
    <row r="345" spans="1:2" x14ac:dyDescent="0.25">
      <c r="A345" t="s">
        <v>89</v>
      </c>
      <c r="B345" t="s">
        <v>89</v>
      </c>
    </row>
    <row r="346" spans="1:2" x14ac:dyDescent="0.25">
      <c r="A346" t="s">
        <v>89</v>
      </c>
      <c r="B346" t="s">
        <v>89</v>
      </c>
    </row>
    <row r="347" spans="1:2" x14ac:dyDescent="0.25">
      <c r="A347" t="s">
        <v>89</v>
      </c>
      <c r="B347" t="s">
        <v>89</v>
      </c>
    </row>
    <row r="348" spans="1:2" x14ac:dyDescent="0.25">
      <c r="A348" t="s">
        <v>89</v>
      </c>
      <c r="B348" t="s">
        <v>89</v>
      </c>
    </row>
    <row r="349" spans="1:2" x14ac:dyDescent="0.25">
      <c r="A349" t="s">
        <v>89</v>
      </c>
      <c r="B349" t="s">
        <v>89</v>
      </c>
    </row>
    <row r="350" spans="1:2" x14ac:dyDescent="0.25">
      <c r="A350" t="s">
        <v>89</v>
      </c>
      <c r="B350" t="s">
        <v>89</v>
      </c>
    </row>
    <row r="351" spans="1:2" x14ac:dyDescent="0.25">
      <c r="A351" t="s">
        <v>89</v>
      </c>
      <c r="B351" t="s">
        <v>89</v>
      </c>
    </row>
    <row r="352" spans="1:2" x14ac:dyDescent="0.25">
      <c r="A352" t="s">
        <v>89</v>
      </c>
      <c r="B352" t="s">
        <v>89</v>
      </c>
    </row>
    <row r="353" spans="1:2" x14ac:dyDescent="0.25">
      <c r="A353" t="s">
        <v>89</v>
      </c>
      <c r="B353" t="s">
        <v>89</v>
      </c>
    </row>
    <row r="354" spans="1:2" x14ac:dyDescent="0.25">
      <c r="A354" t="s">
        <v>89</v>
      </c>
      <c r="B354" t="s">
        <v>89</v>
      </c>
    </row>
    <row r="355" spans="1:2" x14ac:dyDescent="0.25">
      <c r="A355" t="s">
        <v>89</v>
      </c>
      <c r="B355" t="s">
        <v>89</v>
      </c>
    </row>
    <row r="356" spans="1:2" x14ac:dyDescent="0.25">
      <c r="A356" t="s">
        <v>89</v>
      </c>
      <c r="B356" t="s">
        <v>89</v>
      </c>
    </row>
    <row r="357" spans="1:2" x14ac:dyDescent="0.25">
      <c r="A357" t="s">
        <v>89</v>
      </c>
      <c r="B357" t="s">
        <v>89</v>
      </c>
    </row>
    <row r="358" spans="1:2" x14ac:dyDescent="0.25">
      <c r="A358" t="s">
        <v>89</v>
      </c>
      <c r="B358" t="s">
        <v>89</v>
      </c>
    </row>
    <row r="359" spans="1:2" x14ac:dyDescent="0.25">
      <c r="A359" t="s">
        <v>89</v>
      </c>
      <c r="B359" t="s">
        <v>89</v>
      </c>
    </row>
    <row r="360" spans="1:2" x14ac:dyDescent="0.25">
      <c r="A360" t="s">
        <v>89</v>
      </c>
      <c r="B360" t="s">
        <v>89</v>
      </c>
    </row>
    <row r="361" spans="1:2" x14ac:dyDescent="0.25">
      <c r="A361" t="s">
        <v>89</v>
      </c>
      <c r="B361" t="s">
        <v>89</v>
      </c>
    </row>
    <row r="362" spans="1:2" x14ac:dyDescent="0.25">
      <c r="A362" t="s">
        <v>89</v>
      </c>
      <c r="B362" t="s">
        <v>89</v>
      </c>
    </row>
    <row r="363" spans="1:2" x14ac:dyDescent="0.25">
      <c r="A363" t="s">
        <v>89</v>
      </c>
      <c r="B363" t="s">
        <v>89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M82"/>
  <sheetViews>
    <sheetView zoomScaleNormal="100" workbookViewId="0">
      <selection sqref="A1:F2"/>
    </sheetView>
  </sheetViews>
  <sheetFormatPr defaultRowHeight="15" x14ac:dyDescent="0.25"/>
  <cols>
    <col min="1" max="1" width="30.7109375" customWidth="1"/>
    <col min="2" max="2" width="40.7109375" customWidth="1"/>
    <col min="3" max="6" width="12.7109375" customWidth="1"/>
    <col min="11" max="11" width="17.42578125" customWidth="1"/>
    <col min="12" max="12" width="30.140625" customWidth="1"/>
  </cols>
  <sheetData>
    <row r="1" spans="1:13" ht="26.25" customHeight="1" x14ac:dyDescent="0.25">
      <c r="A1" s="143" t="s">
        <v>90</v>
      </c>
      <c r="B1" s="143"/>
      <c r="C1" s="143"/>
      <c r="D1" s="143"/>
      <c r="E1" s="143"/>
      <c r="F1" s="143"/>
      <c r="G1" s="66"/>
      <c r="H1" s="66"/>
      <c r="I1" s="66"/>
      <c r="J1" s="66"/>
      <c r="K1" s="144" t="s">
        <v>91</v>
      </c>
      <c r="L1" s="144"/>
      <c r="M1" s="66"/>
    </row>
    <row r="2" spans="1:13" ht="15" customHeight="1" x14ac:dyDescent="0.25">
      <c r="A2" s="143"/>
      <c r="B2" s="143"/>
      <c r="C2" s="143"/>
      <c r="D2" s="143"/>
      <c r="E2" s="143"/>
      <c r="F2" s="143"/>
      <c r="G2" s="64"/>
      <c r="H2" s="64"/>
      <c r="I2" s="64"/>
      <c r="J2" s="64"/>
      <c r="K2" s="144"/>
      <c r="L2" s="144"/>
      <c r="M2" s="64"/>
    </row>
    <row r="3" spans="1:13" ht="15.95" customHeight="1" x14ac:dyDescent="0.25">
      <c r="A3" s="65" t="s">
        <v>92</v>
      </c>
      <c r="B3" s="65" t="s">
        <v>93</v>
      </c>
      <c r="C3" s="65" t="s">
        <v>94</v>
      </c>
      <c r="D3" s="65" t="s">
        <v>95</v>
      </c>
      <c r="E3" s="65" t="s">
        <v>96</v>
      </c>
      <c r="F3" s="65" t="s">
        <v>97</v>
      </c>
      <c r="G3" s="64"/>
      <c r="H3" s="64"/>
      <c r="I3" s="64"/>
      <c r="J3" s="64"/>
      <c r="K3" s="87" t="s">
        <v>98</v>
      </c>
      <c r="L3" s="87" t="s">
        <v>99</v>
      </c>
      <c r="M3" s="64"/>
    </row>
    <row r="4" spans="1:13" ht="15.95" customHeight="1" x14ac:dyDescent="0.25">
      <c r="A4" s="56" t="s">
        <v>100</v>
      </c>
      <c r="B4" s="56" t="s">
        <v>101</v>
      </c>
      <c r="C4" s="86" t="s">
        <v>102</v>
      </c>
      <c r="D4" s="86"/>
      <c r="E4" s="86"/>
      <c r="F4" s="88"/>
      <c r="G4" s="64"/>
      <c r="H4" s="64" t="s">
        <v>103</v>
      </c>
      <c r="I4" s="64"/>
      <c r="J4" s="64"/>
      <c r="K4" t="s">
        <v>119</v>
      </c>
      <c r="L4" t="s">
        <v>23</v>
      </c>
      <c r="M4" s="64"/>
    </row>
    <row r="5" spans="1:13" ht="15.95" customHeight="1" x14ac:dyDescent="0.25">
      <c r="A5" t="s">
        <v>100</v>
      </c>
      <c r="B5" t="s">
        <v>105</v>
      </c>
      <c r="C5" s="65" t="s">
        <v>106</v>
      </c>
      <c r="D5" s="65"/>
      <c r="E5" s="65"/>
      <c r="F5" s="87"/>
      <c r="G5" s="64"/>
      <c r="H5" s="64"/>
      <c r="I5" s="64"/>
      <c r="J5" s="64"/>
      <c r="K5" t="s">
        <v>119</v>
      </c>
      <c r="L5" t="s">
        <v>191</v>
      </c>
      <c r="M5" s="64"/>
    </row>
    <row r="6" spans="1:13" ht="15.95" customHeight="1" x14ac:dyDescent="0.25">
      <c r="A6" t="s">
        <v>100</v>
      </c>
      <c r="B6" t="s">
        <v>107</v>
      </c>
      <c r="C6" s="65" t="s">
        <v>108</v>
      </c>
      <c r="D6" s="65"/>
      <c r="E6" s="65"/>
      <c r="F6" s="87"/>
      <c r="G6" s="64"/>
      <c r="H6" s="64"/>
      <c r="I6" s="64"/>
      <c r="J6" s="64"/>
      <c r="K6" t="s">
        <v>109</v>
      </c>
      <c r="L6" t="s">
        <v>23</v>
      </c>
      <c r="M6" s="64"/>
    </row>
    <row r="7" spans="1:13" ht="15.95" customHeight="1" x14ac:dyDescent="0.25">
      <c r="A7" t="s">
        <v>100</v>
      </c>
      <c r="B7" t="s">
        <v>110</v>
      </c>
      <c r="C7" s="65" t="s">
        <v>111</v>
      </c>
      <c r="D7" s="65"/>
      <c r="E7" s="65"/>
      <c r="F7" s="87"/>
      <c r="G7" s="64"/>
      <c r="H7" s="64"/>
      <c r="I7" s="64"/>
      <c r="J7" s="64"/>
      <c r="K7" t="s">
        <v>109</v>
      </c>
      <c r="L7" t="s">
        <v>191</v>
      </c>
      <c r="M7" s="64"/>
    </row>
    <row r="8" spans="1:13" ht="15.95" customHeight="1" x14ac:dyDescent="0.25">
      <c r="A8" t="s">
        <v>100</v>
      </c>
      <c r="B8" t="s">
        <v>112</v>
      </c>
      <c r="C8" s="65" t="s">
        <v>113</v>
      </c>
      <c r="D8" s="65"/>
      <c r="E8" s="65"/>
      <c r="F8" s="87"/>
      <c r="G8" s="64"/>
      <c r="H8" s="64"/>
      <c r="I8" s="64"/>
      <c r="J8" s="64"/>
      <c r="K8" t="s">
        <v>104</v>
      </c>
      <c r="L8" t="s">
        <v>218</v>
      </c>
      <c r="M8" s="64"/>
    </row>
    <row r="9" spans="1:13" ht="15.95" customHeight="1" x14ac:dyDescent="0.25">
      <c r="A9" t="s">
        <v>100</v>
      </c>
      <c r="B9" t="s">
        <v>114</v>
      </c>
      <c r="C9" s="65" t="s">
        <v>115</v>
      </c>
      <c r="D9" s="65"/>
      <c r="E9" s="65"/>
      <c r="F9" s="87"/>
      <c r="G9" s="64"/>
      <c r="H9" s="64"/>
      <c r="I9" s="64"/>
      <c r="J9" s="64"/>
      <c r="K9" t="s">
        <v>104</v>
      </c>
      <c r="L9" t="s">
        <v>219</v>
      </c>
      <c r="M9" s="64"/>
    </row>
    <row r="10" spans="1:13" ht="15.95" customHeight="1" x14ac:dyDescent="0.25">
      <c r="A10" t="s">
        <v>100</v>
      </c>
      <c r="B10" t="s">
        <v>116</v>
      </c>
      <c r="C10" s="65" t="s">
        <v>117</v>
      </c>
      <c r="D10" s="65"/>
      <c r="E10" s="65"/>
      <c r="F10" s="87"/>
      <c r="G10" s="64"/>
      <c r="H10" s="64" t="s">
        <v>118</v>
      </c>
      <c r="I10" s="64"/>
      <c r="J10" s="64"/>
      <c r="K10" t="s">
        <v>104</v>
      </c>
      <c r="L10" t="s">
        <v>198</v>
      </c>
      <c r="M10" s="64"/>
    </row>
    <row r="11" spans="1:13" ht="15.95" customHeight="1" x14ac:dyDescent="0.25">
      <c r="A11" t="s">
        <v>100</v>
      </c>
      <c r="B11" t="s">
        <v>120</v>
      </c>
      <c r="C11" s="65" t="s">
        <v>121</v>
      </c>
      <c r="D11" s="65"/>
      <c r="E11" s="65"/>
      <c r="F11" s="87"/>
      <c r="G11" s="64"/>
      <c r="H11" s="64"/>
      <c r="I11" s="64"/>
      <c r="J11" s="64"/>
      <c r="M11" s="64"/>
    </row>
    <row r="12" spans="1:13" ht="15.95" customHeight="1" x14ac:dyDescent="0.25">
      <c r="A12" t="s">
        <v>100</v>
      </c>
      <c r="B12" t="s">
        <v>122</v>
      </c>
      <c r="C12" s="65" t="s">
        <v>123</v>
      </c>
      <c r="D12" s="65"/>
      <c r="E12" s="65"/>
      <c r="F12" s="87"/>
      <c r="G12" s="64"/>
      <c r="H12" s="64"/>
      <c r="I12" s="64"/>
      <c r="J12" s="64"/>
      <c r="M12" s="64"/>
    </row>
    <row r="13" spans="1:13" ht="15.95" customHeight="1" x14ac:dyDescent="0.25">
      <c r="A13" t="s">
        <v>100</v>
      </c>
      <c r="B13" t="s">
        <v>124</v>
      </c>
      <c r="C13" s="65" t="s">
        <v>125</v>
      </c>
      <c r="D13" s="65"/>
      <c r="E13" s="65"/>
      <c r="F13" s="87"/>
      <c r="G13" s="64"/>
      <c r="H13" s="64"/>
      <c r="I13" s="64"/>
      <c r="J13" s="64"/>
      <c r="M13" s="64"/>
    </row>
    <row r="14" spans="1:13" ht="15.95" customHeight="1" x14ac:dyDescent="0.25">
      <c r="A14" t="s">
        <v>100</v>
      </c>
      <c r="B14" t="s">
        <v>126</v>
      </c>
      <c r="C14" s="65" t="s">
        <v>127</v>
      </c>
      <c r="D14" s="65"/>
      <c r="E14" s="65"/>
      <c r="F14" s="87"/>
      <c r="G14" s="64"/>
      <c r="H14" s="64"/>
      <c r="I14" s="64"/>
      <c r="J14" s="64"/>
      <c r="M14" s="64"/>
    </row>
    <row r="15" spans="1:13" ht="15.95" customHeight="1" x14ac:dyDescent="0.25">
      <c r="A15" t="s">
        <v>100</v>
      </c>
      <c r="B15" t="s">
        <v>128</v>
      </c>
      <c r="C15" s="65" t="s">
        <v>129</v>
      </c>
      <c r="D15" s="87"/>
      <c r="E15" s="87"/>
      <c r="F15" s="87"/>
      <c r="G15" s="64"/>
      <c r="H15" s="64"/>
      <c r="I15" s="64"/>
      <c r="J15" s="64"/>
      <c r="M15" s="64"/>
    </row>
    <row r="16" spans="1:13" ht="15.95" customHeight="1" x14ac:dyDescent="0.25">
      <c r="A16" t="s">
        <v>100</v>
      </c>
      <c r="B16" t="s">
        <v>130</v>
      </c>
      <c r="C16" s="65" t="s">
        <v>131</v>
      </c>
      <c r="D16" s="87"/>
      <c r="E16" s="87"/>
      <c r="F16" s="87"/>
      <c r="G16" s="64"/>
      <c r="H16" s="64"/>
      <c r="I16" s="64"/>
      <c r="J16" s="64"/>
      <c r="K16" s="64"/>
      <c r="L16" s="64"/>
      <c r="M16" s="64"/>
    </row>
    <row r="17" spans="1:13" ht="15.95" customHeight="1" x14ac:dyDescent="0.25">
      <c r="A17" t="s">
        <v>100</v>
      </c>
      <c r="B17" t="s">
        <v>132</v>
      </c>
      <c r="C17" s="65" t="s">
        <v>133</v>
      </c>
      <c r="D17" s="87"/>
      <c r="E17" s="87"/>
      <c r="F17" s="87"/>
      <c r="G17" s="64"/>
      <c r="H17" s="64"/>
      <c r="I17" s="64"/>
      <c r="J17" s="64"/>
      <c r="K17" s="64"/>
      <c r="L17" s="64"/>
      <c r="M17" s="64"/>
    </row>
    <row r="18" spans="1:13" ht="15.95" customHeight="1" x14ac:dyDescent="0.25">
      <c r="A18" s="56" t="s">
        <v>134</v>
      </c>
      <c r="B18" s="56" t="s">
        <v>135</v>
      </c>
      <c r="C18" s="86" t="s">
        <v>102</v>
      </c>
      <c r="D18" s="86"/>
      <c r="E18" s="86"/>
      <c r="F18" s="88"/>
      <c r="G18" s="64"/>
      <c r="H18" s="64"/>
      <c r="I18" s="64"/>
      <c r="J18" s="64"/>
      <c r="K18" s="64"/>
      <c r="L18" s="64"/>
      <c r="M18" s="64"/>
    </row>
    <row r="19" spans="1:13" ht="15.95" customHeight="1" x14ac:dyDescent="0.25">
      <c r="A19" t="s">
        <v>134</v>
      </c>
      <c r="B19" t="str">
        <f>tblIndexPowerpoint7[[#This Row],[Content 1]]&amp;" "&amp;tblIndexPowerpoint7[[#This Row],[Content 2]]&amp;" "&amp;tblIndexPowerpoint7[[#This Row],[Content 3]]&amp;" "&amp;tblIndexPowerpoint7[[#This Row],[Layout]]</f>
        <v>PP_15   Vertical</v>
      </c>
      <c r="C19" s="65" t="s">
        <v>329</v>
      </c>
      <c r="D19" s="65"/>
      <c r="E19" s="65"/>
      <c r="F19" s="87" t="s">
        <v>136</v>
      </c>
      <c r="G19" s="64"/>
      <c r="H19" s="64"/>
      <c r="I19" s="64"/>
      <c r="J19" s="64"/>
      <c r="K19" s="64"/>
      <c r="L19" s="64"/>
      <c r="M19" s="64"/>
    </row>
    <row r="20" spans="1:13" ht="15.95" customHeight="1" x14ac:dyDescent="0.25">
      <c r="A20" t="s">
        <v>134</v>
      </c>
      <c r="B20" t="str">
        <f>tblIndexPowerpoint7[[#This Row],[Content 1]]&amp;" "&amp;tblIndexPowerpoint7[[#This Row],[Content 2]]&amp;" "&amp;tblIndexPowerpoint7[[#This Row],[Content 3]]&amp;" "&amp;tblIndexPowerpoint7[[#This Row],[Layout]]</f>
        <v>PP_16   Vertical</v>
      </c>
      <c r="C20" s="65" t="s">
        <v>330</v>
      </c>
      <c r="D20" s="65"/>
      <c r="E20" s="65"/>
      <c r="F20" s="87" t="s">
        <v>136</v>
      </c>
      <c r="G20" s="64"/>
      <c r="H20" s="64"/>
      <c r="I20" s="64"/>
      <c r="J20" s="64"/>
      <c r="K20" s="64"/>
      <c r="L20" s="64"/>
      <c r="M20" s="64"/>
    </row>
    <row r="21" spans="1:13" ht="15.95" customHeight="1" x14ac:dyDescent="0.25">
      <c r="A21" t="s">
        <v>134</v>
      </c>
      <c r="B21" t="str">
        <f>tblIndexPowerpoint7[[#This Row],[Content 1]]&amp;" "&amp;tblIndexPowerpoint7[[#This Row],[Content 2]]&amp;" "&amp;tblIndexPowerpoint7[[#This Row],[Content 3]]&amp;" "&amp;tblIndexPowerpoint7[[#This Row],[Layout]]</f>
        <v>PP_17   Vertical</v>
      </c>
      <c r="C21" s="65" t="s">
        <v>179</v>
      </c>
      <c r="D21" s="65"/>
      <c r="E21" s="65"/>
      <c r="F21" s="87" t="s">
        <v>136</v>
      </c>
      <c r="G21" s="64"/>
      <c r="H21" s="64"/>
      <c r="I21" s="64"/>
      <c r="J21" s="64"/>
      <c r="K21" s="64"/>
      <c r="L21" s="64"/>
      <c r="M21" s="64"/>
    </row>
    <row r="22" spans="1:13" ht="15.95" customHeight="1" x14ac:dyDescent="0.25">
      <c r="A22" t="s">
        <v>134</v>
      </c>
      <c r="B22" t="str">
        <f>tblIndexPowerpoint7[[#This Row],[Content 1]]&amp;" "&amp;tblIndexPowerpoint7[[#This Row],[Content 2]]&amp;" "&amp;tblIndexPowerpoint7[[#This Row],[Content 3]]&amp;" "&amp;tblIndexPowerpoint7[[#This Row],[Layout]]</f>
        <v>PP_05 PP_06  Vertical</v>
      </c>
      <c r="C22" s="65" t="s">
        <v>113</v>
      </c>
      <c r="D22" s="65" t="s">
        <v>115</v>
      </c>
      <c r="E22" s="65"/>
      <c r="F22" s="87" t="s">
        <v>136</v>
      </c>
      <c r="G22" s="64"/>
      <c r="H22" s="64"/>
      <c r="I22" s="64"/>
      <c r="J22" s="64"/>
      <c r="K22" s="64"/>
      <c r="L22" s="64"/>
      <c r="M22" s="64"/>
    </row>
    <row r="23" spans="1:13" ht="15.95" customHeight="1" x14ac:dyDescent="0.25">
      <c r="A23" t="s">
        <v>134</v>
      </c>
      <c r="B23" t="str">
        <f>tblIndexPowerpoint7[[#This Row],[Content 1]]&amp;" "&amp;tblIndexPowerpoint7[[#This Row],[Content 2]]&amp;" "&amp;tblIndexPowerpoint7[[#This Row],[Content 3]]&amp;" "&amp;tblIndexPowerpoint7[[#This Row],[Layout]]</f>
        <v>PP_15 PP_07  Vertical</v>
      </c>
      <c r="C23" s="65" t="s">
        <v>329</v>
      </c>
      <c r="D23" s="65" t="s">
        <v>117</v>
      </c>
      <c r="E23" s="87"/>
      <c r="F23" s="87" t="s">
        <v>136</v>
      </c>
      <c r="G23" s="64"/>
      <c r="H23" s="64"/>
      <c r="I23" s="64"/>
      <c r="J23" s="64"/>
      <c r="K23" s="64"/>
      <c r="L23" s="64"/>
      <c r="M23" s="64"/>
    </row>
    <row r="24" spans="1:13" ht="15.95" customHeight="1" x14ac:dyDescent="0.25">
      <c r="A24" t="s">
        <v>134</v>
      </c>
      <c r="B24" t="str">
        <f>tblIndexPowerpoint7[[#This Row],[Content 1]]&amp;" "&amp;tblIndexPowerpoint7[[#This Row],[Content 2]]&amp;" "&amp;tblIndexPowerpoint7[[#This Row],[Content 3]]&amp;" "&amp;tblIndexPowerpoint7[[#This Row],[Layout]]</f>
        <v>PP_16 PP_02  Horizontal</v>
      </c>
      <c r="C24" s="65" t="s">
        <v>330</v>
      </c>
      <c r="D24" s="65" t="s">
        <v>106</v>
      </c>
      <c r="E24" s="87"/>
      <c r="F24" s="87" t="s">
        <v>137</v>
      </c>
      <c r="G24" s="64"/>
      <c r="H24" s="64"/>
      <c r="I24" s="64"/>
      <c r="J24" s="64"/>
      <c r="K24" s="64"/>
      <c r="L24" s="64"/>
      <c r="M24" s="64"/>
    </row>
    <row r="25" spans="1:13" ht="15.95" customHeight="1" x14ac:dyDescent="0.25">
      <c r="A25" t="s">
        <v>134</v>
      </c>
      <c r="B25" t="str">
        <f>tblIndexPowerpoint7[[#This Row],[Content 1]]&amp;" "&amp;tblIndexPowerpoint7[[#This Row],[Content 2]]&amp;" "&amp;tblIndexPowerpoint7[[#This Row],[Content 3]]&amp;" "&amp;tblIndexPowerpoint7[[#This Row],[Layout]]</f>
        <v>PP_17 PP_03  Horizontal</v>
      </c>
      <c r="C25" s="65" t="s">
        <v>179</v>
      </c>
      <c r="D25" s="65" t="s">
        <v>108</v>
      </c>
      <c r="E25" s="87"/>
      <c r="F25" s="87" t="s">
        <v>137</v>
      </c>
      <c r="G25" s="64"/>
      <c r="H25" s="64"/>
      <c r="I25" s="64"/>
      <c r="J25" s="64"/>
      <c r="K25" s="64"/>
      <c r="L25" s="64"/>
      <c r="M25" s="64"/>
    </row>
    <row r="26" spans="1:13" ht="15.95" customHeight="1" x14ac:dyDescent="0.25">
      <c r="A26" t="s">
        <v>134</v>
      </c>
      <c r="B26" t="str">
        <f>tblIndexPowerpoint7[[#This Row],[Content 1]]&amp;" "&amp;tblIndexPowerpoint7[[#This Row],[Content 2]]&amp;" "&amp;tblIndexPowerpoint7[[#This Row],[Content 3]]&amp;" "&amp;tblIndexPowerpoint7[[#This Row],[Layout]]</f>
        <v>PP_03 PP_04  Horizontal</v>
      </c>
      <c r="C26" s="65" t="s">
        <v>108</v>
      </c>
      <c r="D26" s="65" t="s">
        <v>111</v>
      </c>
      <c r="E26" s="87"/>
      <c r="F26" s="87" t="s">
        <v>137</v>
      </c>
      <c r="G26" s="64"/>
      <c r="H26" s="64"/>
      <c r="I26" s="64"/>
      <c r="J26" s="64"/>
      <c r="K26" s="64"/>
      <c r="L26" s="64"/>
      <c r="M26" s="64"/>
    </row>
    <row r="27" spans="1:13" ht="15.95" customHeight="1" x14ac:dyDescent="0.25">
      <c r="A27" t="s">
        <v>134</v>
      </c>
      <c r="B27" t="str">
        <f>tblIndexPowerpoint7[[#This Row],[Content 1]]&amp;" "&amp;tblIndexPowerpoint7[[#This Row],[Content 2]]&amp;" "&amp;tblIndexPowerpoint7[[#This Row],[Content 3]]&amp;" "&amp;tblIndexPowerpoint7[[#This Row],[Layout]]</f>
        <v>PP_05 PP_06  Horizontal</v>
      </c>
      <c r="C27" s="65" t="s">
        <v>113</v>
      </c>
      <c r="D27" s="65" t="s">
        <v>115</v>
      </c>
      <c r="E27" s="87"/>
      <c r="F27" s="87" t="s">
        <v>137</v>
      </c>
      <c r="G27" s="64"/>
      <c r="H27" s="64"/>
      <c r="I27" s="64"/>
      <c r="J27" s="64"/>
      <c r="K27" s="64"/>
      <c r="L27" s="64"/>
      <c r="M27" s="64"/>
    </row>
    <row r="28" spans="1:13" ht="15.95" customHeight="1" x14ac:dyDescent="0.25">
      <c r="A28" t="s">
        <v>134</v>
      </c>
      <c r="B28" t="str">
        <f>tblIndexPowerpoint7[[#This Row],[Content 1]]&amp;" "&amp;tblIndexPowerpoint7[[#This Row],[Content 2]]&amp;" "&amp;tblIndexPowerpoint7[[#This Row],[Content 3]]&amp;" "&amp;tblIndexPowerpoint7[[#This Row],[Layout]]</f>
        <v>PP_17   Horizontal</v>
      </c>
      <c r="C28" s="65" t="s">
        <v>179</v>
      </c>
      <c r="D28" s="65"/>
      <c r="E28" s="87"/>
      <c r="F28" s="87" t="s">
        <v>137</v>
      </c>
      <c r="G28" s="64"/>
      <c r="H28" s="64"/>
      <c r="I28" s="64"/>
      <c r="J28" s="64"/>
      <c r="K28" s="64"/>
      <c r="L28" s="64"/>
      <c r="M28" s="64"/>
    </row>
    <row r="29" spans="1:13" ht="15.95" customHeight="1" x14ac:dyDescent="0.25">
      <c r="A29" t="s">
        <v>134</v>
      </c>
      <c r="B29" t="str">
        <f>tblIndexPowerpoint7[[#This Row],[Content 1]]&amp;" "&amp;tblIndexPowerpoint7[[#This Row],[Content 2]]&amp;" "&amp;tblIndexPowerpoint7[[#This Row],[Content 3]]&amp;" "&amp;tblIndexPowerpoint7[[#This Row],[Layout]]</f>
        <v>PP_01 PP_02 PP_15 Vertical</v>
      </c>
      <c r="C29" s="65" t="s">
        <v>102</v>
      </c>
      <c r="D29" s="65" t="s">
        <v>106</v>
      </c>
      <c r="E29" s="65" t="s">
        <v>329</v>
      </c>
      <c r="F29" s="87" t="s">
        <v>136</v>
      </c>
      <c r="G29" s="64"/>
      <c r="H29" s="64"/>
      <c r="I29" s="64"/>
      <c r="J29" s="64"/>
      <c r="K29" s="64"/>
      <c r="L29" s="64"/>
      <c r="M29" s="64"/>
    </row>
    <row r="30" spans="1:13" ht="15.95" customHeight="1" x14ac:dyDescent="0.25">
      <c r="A30" t="s">
        <v>134</v>
      </c>
      <c r="B30" t="str">
        <f>tblIndexPowerpoint7[[#This Row],[Content 1]]&amp;" "&amp;tblIndexPowerpoint7[[#This Row],[Content 2]]&amp;" "&amp;tblIndexPowerpoint7[[#This Row],[Content 3]]&amp;" "&amp;tblIndexPowerpoint7[[#This Row],[Layout]]</f>
        <v>PP_04 PP_05 PP_16 Vertical</v>
      </c>
      <c r="C30" s="65" t="s">
        <v>111</v>
      </c>
      <c r="D30" s="65" t="s">
        <v>113</v>
      </c>
      <c r="E30" s="65" t="s">
        <v>330</v>
      </c>
      <c r="F30" s="87" t="s">
        <v>136</v>
      </c>
      <c r="G30" s="64"/>
      <c r="H30" s="64"/>
      <c r="I30" s="64"/>
      <c r="J30" s="64"/>
      <c r="K30" s="64"/>
      <c r="L30" s="64"/>
      <c r="M30" s="64"/>
    </row>
    <row r="31" spans="1:13" ht="15.95" customHeight="1" x14ac:dyDescent="0.25">
      <c r="A31" t="s">
        <v>134</v>
      </c>
      <c r="B31" t="str">
        <f>tblIndexPowerpoint7[[#This Row],[Content 1]]&amp;" "&amp;tblIndexPowerpoint7[[#This Row],[Content 2]]&amp;" "&amp;tblIndexPowerpoint7[[#This Row],[Content 3]]&amp;" "&amp;tblIndexPowerpoint7[[#This Row],[Layout]]</f>
        <v>PP_01 PP_02 PP_17 Horizontal</v>
      </c>
      <c r="C31" s="65" t="s">
        <v>102</v>
      </c>
      <c r="D31" s="65" t="s">
        <v>106</v>
      </c>
      <c r="E31" s="65" t="s">
        <v>179</v>
      </c>
      <c r="F31" s="87" t="s">
        <v>137</v>
      </c>
      <c r="G31" s="64"/>
      <c r="H31" s="64"/>
      <c r="I31" s="64"/>
      <c r="J31" s="64"/>
      <c r="K31" s="64"/>
      <c r="L31" s="64"/>
      <c r="M31" s="64"/>
    </row>
    <row r="32" spans="1:13" ht="15.95" customHeight="1" x14ac:dyDescent="0.25">
      <c r="A32" t="s">
        <v>134</v>
      </c>
      <c r="B32" t="str">
        <f>tblIndexPowerpoint7[[#This Row],[Content 1]]&amp;" "&amp;tblIndexPowerpoint7[[#This Row],[Content 2]]&amp;" "&amp;tblIndexPowerpoint7[[#This Row],[Content 3]]&amp;" "&amp;tblIndexPowerpoint7[[#This Row],[Layout]]</f>
        <v>PP_04 PP_05 PP_06 Horizontal</v>
      </c>
      <c r="C32" s="65" t="s">
        <v>111</v>
      </c>
      <c r="D32" s="65" t="s">
        <v>113</v>
      </c>
      <c r="E32" s="65" t="s">
        <v>115</v>
      </c>
      <c r="F32" s="87" t="s">
        <v>137</v>
      </c>
      <c r="G32" s="64"/>
      <c r="H32" s="64"/>
      <c r="I32" s="64"/>
      <c r="J32" s="64"/>
      <c r="K32" s="64"/>
      <c r="L32" s="64"/>
      <c r="M32" s="64"/>
    </row>
    <row r="33" spans="1:13" ht="15.95" customHeight="1" x14ac:dyDescent="0.25">
      <c r="A33" s="56"/>
      <c r="B33" s="56"/>
      <c r="C33" s="86"/>
      <c r="D33" s="86"/>
      <c r="E33" s="86"/>
      <c r="F33" s="88"/>
      <c r="G33" s="64"/>
      <c r="H33" s="64"/>
      <c r="I33" s="64"/>
      <c r="J33" s="64"/>
      <c r="K33" s="64"/>
      <c r="L33" s="64"/>
      <c r="M33" s="64"/>
    </row>
    <row r="34" spans="1:13" ht="15.95" customHeight="1" x14ac:dyDescent="0.25">
      <c r="C34" s="65"/>
      <c r="D34" s="65"/>
      <c r="E34" s="65"/>
      <c r="F34" s="87"/>
      <c r="G34" s="64"/>
      <c r="H34" s="64"/>
      <c r="I34" s="64"/>
      <c r="J34" s="64"/>
      <c r="K34" s="64"/>
      <c r="L34" s="64"/>
      <c r="M34" s="64"/>
    </row>
    <row r="35" spans="1:13" ht="15.95" customHeight="1" x14ac:dyDescent="0.25">
      <c r="C35" s="65"/>
      <c r="D35" s="65"/>
      <c r="E35" s="65"/>
      <c r="F35" s="87"/>
      <c r="G35" s="64"/>
      <c r="H35" s="64"/>
      <c r="I35" s="64"/>
      <c r="J35" s="64"/>
      <c r="K35" s="64"/>
      <c r="L35" s="64"/>
      <c r="M35" s="64"/>
    </row>
    <row r="36" spans="1:13" ht="15.95" customHeight="1" x14ac:dyDescent="0.25">
      <c r="C36" s="65"/>
      <c r="D36" s="65"/>
      <c r="E36" s="65"/>
      <c r="F36" s="87"/>
      <c r="G36" s="64"/>
      <c r="H36" s="64"/>
      <c r="I36" s="64"/>
      <c r="J36" s="64"/>
      <c r="K36" s="64"/>
      <c r="L36" s="64"/>
      <c r="M36" s="64"/>
    </row>
    <row r="37" spans="1:13" ht="15.95" customHeight="1" x14ac:dyDescent="0.25">
      <c r="C37" s="65"/>
      <c r="D37" s="65"/>
      <c r="E37" s="65"/>
      <c r="F37" s="87"/>
      <c r="G37" s="64"/>
      <c r="H37" s="64"/>
      <c r="I37" s="64"/>
      <c r="J37" s="64"/>
      <c r="K37" s="64"/>
      <c r="L37" s="64"/>
      <c r="M37" s="64"/>
    </row>
    <row r="38" spans="1:13" ht="15.95" customHeight="1" x14ac:dyDescent="0.25">
      <c r="C38" s="65"/>
      <c r="D38" s="65"/>
      <c r="E38" s="65"/>
      <c r="F38" s="87"/>
      <c r="G38" s="64"/>
      <c r="H38" s="64"/>
      <c r="I38" s="64"/>
      <c r="J38" s="64"/>
      <c r="K38" s="64"/>
      <c r="L38" s="64"/>
      <c r="M38" s="64"/>
    </row>
    <row r="39" spans="1:13" ht="15.95" customHeight="1" x14ac:dyDescent="0.25">
      <c r="C39" s="65"/>
      <c r="D39" s="65"/>
      <c r="E39" s="65"/>
      <c r="F39" s="87"/>
      <c r="G39" s="64"/>
      <c r="H39" s="64"/>
      <c r="I39" s="64"/>
      <c r="J39" s="64"/>
      <c r="K39" s="64"/>
      <c r="L39" s="64"/>
      <c r="M39" s="64"/>
    </row>
    <row r="40" spans="1:13" ht="15.95" customHeight="1" x14ac:dyDescent="0.25">
      <c r="C40" s="65"/>
      <c r="D40" s="87"/>
      <c r="E40" s="87"/>
      <c r="F40" s="87"/>
      <c r="G40" s="64"/>
      <c r="H40" s="64"/>
      <c r="I40" s="64"/>
      <c r="J40" s="64"/>
      <c r="K40" s="64"/>
      <c r="L40" s="64"/>
      <c r="M40" s="64"/>
    </row>
    <row r="41" spans="1:13" ht="15.95" customHeight="1" x14ac:dyDescent="0.25">
      <c r="C41" s="65"/>
      <c r="D41" s="87"/>
      <c r="E41" s="87"/>
      <c r="F41" s="87"/>
      <c r="G41" s="64"/>
      <c r="H41" s="64"/>
      <c r="I41" s="64"/>
      <c r="J41" s="64"/>
      <c r="K41" s="64"/>
      <c r="L41" s="64"/>
      <c r="M41" s="64"/>
    </row>
    <row r="42" spans="1:13" ht="15.95" customHeight="1" x14ac:dyDescent="0.25">
      <c r="C42" s="65"/>
      <c r="D42" s="87"/>
      <c r="E42" s="87"/>
      <c r="F42" s="87"/>
      <c r="G42" s="64"/>
      <c r="H42" s="64"/>
      <c r="I42" s="64"/>
      <c r="J42" s="64"/>
      <c r="K42" s="64"/>
      <c r="L42" s="64"/>
      <c r="M42" s="64"/>
    </row>
    <row r="43" spans="1:13" ht="15.95" customHeight="1" x14ac:dyDescent="0.25">
      <c r="C43" s="65"/>
      <c r="D43" s="87"/>
      <c r="E43" s="87"/>
      <c r="F43" s="87"/>
      <c r="G43" s="64"/>
      <c r="H43" s="64"/>
      <c r="I43" s="64"/>
      <c r="J43" s="64"/>
      <c r="K43" s="64"/>
      <c r="L43" s="64"/>
      <c r="M43" s="64"/>
    </row>
    <row r="44" spans="1:13" ht="15.95" customHeight="1" x14ac:dyDescent="0.25">
      <c r="C44" s="65"/>
      <c r="D44" s="87"/>
      <c r="E44" s="87"/>
      <c r="F44" s="87"/>
      <c r="G44" s="64"/>
      <c r="H44" s="64"/>
      <c r="I44" s="64"/>
      <c r="J44" s="64"/>
      <c r="K44" s="64"/>
      <c r="L44" s="64"/>
      <c r="M44" s="64"/>
    </row>
    <row r="45" spans="1:13" ht="15.95" customHeight="1" x14ac:dyDescent="0.25">
      <c r="C45" s="65"/>
      <c r="D45" s="87"/>
      <c r="E45" s="87"/>
      <c r="F45" s="87"/>
      <c r="G45" s="64"/>
      <c r="H45" s="64"/>
      <c r="I45" s="64"/>
      <c r="J45" s="64"/>
      <c r="K45" s="64"/>
      <c r="L45" s="64"/>
      <c r="M45" s="64"/>
    </row>
    <row r="46" spans="1:13" ht="15.95" customHeight="1" x14ac:dyDescent="0.25">
      <c r="C46" s="65"/>
      <c r="D46" s="87"/>
      <c r="E46" s="87"/>
      <c r="F46" s="87"/>
      <c r="G46" s="64"/>
      <c r="H46" s="64"/>
      <c r="I46" s="64"/>
      <c r="J46" s="64"/>
      <c r="K46" s="64"/>
      <c r="L46" s="64"/>
      <c r="M46" s="64"/>
    </row>
    <row r="47" spans="1:13" ht="15.95" customHeight="1" x14ac:dyDescent="0.25">
      <c r="C47" s="65"/>
      <c r="D47" s="87"/>
      <c r="E47" s="87"/>
      <c r="F47" s="87"/>
      <c r="G47" s="64"/>
      <c r="H47" s="64"/>
      <c r="I47" s="64"/>
      <c r="J47" s="64"/>
      <c r="K47" s="64"/>
      <c r="L47" s="64"/>
      <c r="M47" s="64"/>
    </row>
    <row r="48" spans="1:13" ht="15.95" customHeight="1" x14ac:dyDescent="0.25">
      <c r="C48" s="65"/>
      <c r="D48" s="87"/>
      <c r="E48" s="87"/>
      <c r="F48" s="87"/>
      <c r="G48" s="64"/>
      <c r="H48" s="64"/>
      <c r="I48" s="64"/>
      <c r="J48" s="64"/>
      <c r="K48" s="64"/>
      <c r="L48" s="64"/>
      <c r="M48" s="64"/>
    </row>
    <row r="49" spans="3:13" ht="15.95" customHeight="1" x14ac:dyDescent="0.25">
      <c r="C49" s="65"/>
      <c r="D49" s="87"/>
      <c r="E49" s="87"/>
      <c r="F49" s="87"/>
      <c r="G49" s="64"/>
      <c r="H49" s="64"/>
      <c r="I49" s="64"/>
      <c r="J49" s="64"/>
      <c r="K49" s="64"/>
      <c r="L49" s="64"/>
      <c r="M49" s="64"/>
    </row>
    <row r="50" spans="3:13" ht="15.95" customHeight="1" x14ac:dyDescent="0.25">
      <c r="C50" s="65"/>
      <c r="D50" s="87"/>
      <c r="E50" s="87"/>
      <c r="F50" s="87"/>
      <c r="G50" s="64"/>
      <c r="H50" s="64"/>
      <c r="I50" s="64"/>
      <c r="J50" s="64"/>
      <c r="K50" s="64"/>
      <c r="L50" s="64"/>
      <c r="M50" s="64"/>
    </row>
    <row r="51" spans="3:13" ht="15.95" customHeight="1" x14ac:dyDescent="0.25">
      <c r="C51" s="65"/>
      <c r="D51" s="87"/>
      <c r="E51" s="87"/>
      <c r="F51" s="87"/>
      <c r="G51" s="64"/>
      <c r="H51" s="64"/>
      <c r="I51" s="64"/>
      <c r="J51" s="64"/>
      <c r="K51" s="64"/>
      <c r="L51" s="64"/>
      <c r="M51" s="64"/>
    </row>
    <row r="52" spans="3:13" ht="15.95" customHeight="1" x14ac:dyDescent="0.25">
      <c r="C52" s="65"/>
      <c r="D52" s="87"/>
      <c r="E52" s="87"/>
      <c r="F52" s="87"/>
      <c r="G52" s="64"/>
      <c r="H52" s="64"/>
      <c r="I52" s="64"/>
      <c r="J52" s="64"/>
      <c r="K52" s="64"/>
      <c r="L52" s="64"/>
      <c r="M52" s="64"/>
    </row>
    <row r="53" spans="3:13" ht="15.95" customHeight="1" x14ac:dyDescent="0.25">
      <c r="C53" s="65"/>
      <c r="D53" s="87"/>
      <c r="E53" s="87"/>
      <c r="F53" s="87"/>
      <c r="G53" s="64"/>
      <c r="H53" s="64"/>
      <c r="I53" s="64"/>
      <c r="J53" s="64"/>
      <c r="K53" s="64"/>
      <c r="L53" s="64"/>
      <c r="M53" s="64"/>
    </row>
    <row r="54" spans="3:13" ht="15.95" customHeight="1" x14ac:dyDescent="0.25">
      <c r="C54" s="65"/>
      <c r="D54" s="87"/>
      <c r="E54" s="87"/>
      <c r="F54" s="87"/>
      <c r="G54" s="64"/>
      <c r="H54" s="64"/>
      <c r="I54" s="64"/>
      <c r="J54" s="64"/>
      <c r="K54" s="64"/>
      <c r="L54" s="64"/>
      <c r="M54" s="64"/>
    </row>
    <row r="55" spans="3:13" ht="15.95" customHeight="1" x14ac:dyDescent="0.25">
      <c r="C55" s="65"/>
      <c r="D55" s="87"/>
      <c r="E55" s="87"/>
      <c r="F55" s="87"/>
      <c r="G55" s="64"/>
      <c r="H55" s="64"/>
      <c r="I55" s="64"/>
      <c r="J55" s="64"/>
      <c r="K55" s="64"/>
      <c r="L55" s="64"/>
      <c r="M55" s="64"/>
    </row>
    <row r="56" spans="3:13" ht="15.95" customHeight="1" x14ac:dyDescent="0.25">
      <c r="C56" s="65"/>
      <c r="D56" s="87"/>
      <c r="E56" s="87"/>
      <c r="F56" s="87"/>
      <c r="G56" s="64"/>
      <c r="H56" s="64"/>
      <c r="I56" s="64"/>
      <c r="J56" s="64"/>
      <c r="K56" s="64"/>
      <c r="L56" s="64"/>
      <c r="M56" s="64"/>
    </row>
    <row r="57" spans="3:13" ht="15.95" customHeight="1" x14ac:dyDescent="0.25">
      <c r="C57" s="65"/>
      <c r="D57" s="87"/>
      <c r="E57" s="87"/>
      <c r="F57" s="87"/>
      <c r="G57" s="64"/>
      <c r="H57" s="64"/>
      <c r="I57" s="64"/>
      <c r="J57" s="64"/>
      <c r="K57" s="64"/>
      <c r="L57" s="64"/>
      <c r="M57" s="64"/>
    </row>
    <row r="58" spans="3:13" ht="15.95" customHeight="1" x14ac:dyDescent="0.25">
      <c r="C58" s="65"/>
      <c r="D58" s="87"/>
      <c r="E58" s="87"/>
      <c r="F58" s="87"/>
      <c r="G58" s="64"/>
      <c r="H58" s="64"/>
      <c r="I58" s="64"/>
      <c r="J58" s="64"/>
      <c r="K58" s="64"/>
      <c r="L58" s="64"/>
      <c r="M58" s="64"/>
    </row>
    <row r="59" spans="3:13" ht="15.95" customHeight="1" x14ac:dyDescent="0.25">
      <c r="C59" s="65"/>
      <c r="D59" s="87"/>
      <c r="E59" s="87"/>
      <c r="F59" s="87"/>
      <c r="G59" s="64"/>
      <c r="H59" s="64"/>
      <c r="I59" s="64"/>
      <c r="J59" s="64"/>
      <c r="K59" s="64"/>
      <c r="L59" s="64"/>
      <c r="M59" s="64"/>
    </row>
    <row r="60" spans="3:13" ht="15.95" customHeight="1" x14ac:dyDescent="0.25">
      <c r="C60" s="65"/>
      <c r="D60" s="87"/>
      <c r="E60" s="87"/>
      <c r="F60" s="87"/>
      <c r="G60" s="64"/>
      <c r="H60" s="64"/>
      <c r="I60" s="64"/>
      <c r="J60" s="64"/>
      <c r="K60" s="64"/>
      <c r="L60" s="64"/>
      <c r="M60" s="64"/>
    </row>
    <row r="61" spans="3:13" ht="15.95" customHeight="1" x14ac:dyDescent="0.25">
      <c r="C61" s="65"/>
      <c r="D61" s="87"/>
      <c r="E61" s="87"/>
      <c r="F61" s="87"/>
      <c r="G61" s="64"/>
      <c r="H61" s="64"/>
      <c r="I61" s="64"/>
      <c r="J61" s="64"/>
      <c r="K61" s="64"/>
      <c r="L61" s="64"/>
      <c r="M61" s="64"/>
    </row>
    <row r="62" spans="3:13" ht="15.95" customHeight="1" x14ac:dyDescent="0.25">
      <c r="C62" s="65"/>
      <c r="D62" s="87"/>
      <c r="E62" s="87"/>
      <c r="F62" s="87"/>
      <c r="G62" s="64"/>
      <c r="H62" s="64"/>
      <c r="I62" s="64"/>
      <c r="J62" s="64"/>
      <c r="K62" s="64"/>
      <c r="L62" s="64"/>
      <c r="M62" s="64"/>
    </row>
    <row r="63" spans="3:13" ht="15.95" customHeight="1" x14ac:dyDescent="0.25">
      <c r="C63" s="65"/>
      <c r="D63" s="87"/>
      <c r="E63" s="87"/>
      <c r="F63" s="87"/>
      <c r="G63" s="64"/>
      <c r="H63" s="64"/>
      <c r="I63" s="64"/>
      <c r="J63" s="64"/>
      <c r="K63" s="64"/>
      <c r="L63" s="64"/>
      <c r="M63" s="64"/>
    </row>
    <row r="64" spans="3:13" ht="15.95" customHeight="1" x14ac:dyDescent="0.25">
      <c r="C64" s="65"/>
      <c r="D64" s="87"/>
      <c r="E64" s="87"/>
      <c r="F64" s="87"/>
      <c r="G64" s="64"/>
      <c r="H64" s="64"/>
      <c r="I64" s="64"/>
      <c r="J64" s="64"/>
      <c r="K64" s="64"/>
      <c r="L64" s="64"/>
      <c r="M64" s="64"/>
    </row>
    <row r="65" spans="3:13" ht="15.95" customHeight="1" x14ac:dyDescent="0.25">
      <c r="C65" s="65"/>
      <c r="D65" s="87"/>
      <c r="E65" s="87"/>
      <c r="F65" s="87"/>
      <c r="G65" s="64"/>
      <c r="H65" s="64"/>
      <c r="I65" s="64"/>
      <c r="J65" s="64"/>
      <c r="K65" s="64"/>
      <c r="L65" s="64"/>
      <c r="M65" s="64"/>
    </row>
    <row r="66" spans="3:13" ht="15.95" customHeight="1" x14ac:dyDescent="0.25">
      <c r="C66" s="65"/>
      <c r="D66" s="87"/>
      <c r="E66" s="87"/>
      <c r="F66" s="87"/>
      <c r="G66" s="64"/>
      <c r="H66" s="64"/>
      <c r="I66" s="64"/>
      <c r="J66" s="64"/>
      <c r="K66" s="64"/>
      <c r="L66" s="64"/>
      <c r="M66" s="64"/>
    </row>
    <row r="67" spans="3:13" ht="15.95" customHeight="1" x14ac:dyDescent="0.25">
      <c r="C67" s="65"/>
      <c r="D67" s="87"/>
      <c r="E67" s="87"/>
      <c r="F67" s="87"/>
      <c r="G67" s="64"/>
      <c r="H67" s="64"/>
      <c r="I67" s="64"/>
      <c r="J67" s="64"/>
      <c r="K67" s="64"/>
      <c r="L67" s="64"/>
      <c r="M67" s="64"/>
    </row>
    <row r="68" spans="3:13" ht="15.95" customHeight="1" x14ac:dyDescent="0.25">
      <c r="C68" s="65"/>
      <c r="D68" s="87"/>
      <c r="E68" s="87"/>
      <c r="F68" s="87"/>
      <c r="G68" s="64"/>
      <c r="H68" s="64"/>
      <c r="I68" s="64"/>
      <c r="J68" s="64"/>
      <c r="K68" s="64"/>
      <c r="L68" s="64"/>
      <c r="M68" s="64"/>
    </row>
    <row r="69" spans="3:13" ht="15.95" customHeight="1" x14ac:dyDescent="0.25">
      <c r="C69" s="65"/>
      <c r="D69" s="87"/>
      <c r="E69" s="87"/>
      <c r="F69" s="87"/>
      <c r="G69" s="64"/>
      <c r="H69" s="64"/>
      <c r="I69" s="64"/>
      <c r="J69" s="64"/>
      <c r="K69" s="64"/>
      <c r="L69" s="64"/>
      <c r="M69" s="64"/>
    </row>
    <row r="70" spans="3:13" ht="15.95" customHeight="1" x14ac:dyDescent="0.25">
      <c r="C70" s="65"/>
      <c r="D70" s="87"/>
      <c r="E70" s="87"/>
      <c r="F70" s="87"/>
      <c r="G70" s="64"/>
      <c r="H70" s="64"/>
      <c r="I70" s="64"/>
      <c r="J70" s="64"/>
      <c r="K70" s="64"/>
      <c r="L70" s="64"/>
      <c r="M70" s="64"/>
    </row>
    <row r="71" spans="3:13" ht="15.95" customHeight="1" x14ac:dyDescent="0.25">
      <c r="C71" s="65"/>
      <c r="D71" s="87"/>
      <c r="E71" s="87"/>
      <c r="F71" s="87"/>
      <c r="G71" s="64"/>
      <c r="H71" s="64"/>
      <c r="I71" s="64"/>
      <c r="J71" s="64"/>
      <c r="K71" s="64"/>
      <c r="L71" s="64"/>
      <c r="M71" s="64"/>
    </row>
    <row r="72" spans="3:13" ht="15.95" customHeight="1" x14ac:dyDescent="0.25">
      <c r="C72" s="65"/>
      <c r="D72" s="87"/>
      <c r="E72" s="87"/>
      <c r="F72" s="87"/>
      <c r="G72" s="64"/>
      <c r="H72" s="64"/>
      <c r="I72" s="64"/>
      <c r="J72" s="64"/>
      <c r="K72" s="64"/>
      <c r="L72" s="64"/>
      <c r="M72" s="64"/>
    </row>
    <row r="73" spans="3:13" ht="15.95" customHeight="1" x14ac:dyDescent="0.25">
      <c r="C73" s="65"/>
      <c r="D73" s="87"/>
      <c r="E73" s="87"/>
      <c r="F73" s="87"/>
      <c r="G73" s="64"/>
      <c r="H73" s="64"/>
      <c r="I73" s="64"/>
      <c r="J73" s="64"/>
      <c r="K73" s="64"/>
      <c r="L73" s="64"/>
      <c r="M73" s="64"/>
    </row>
    <row r="74" spans="3:13" ht="15.95" customHeight="1" x14ac:dyDescent="0.25">
      <c r="C74" s="65"/>
      <c r="D74" s="87"/>
      <c r="E74" s="87"/>
      <c r="F74" s="87"/>
      <c r="G74" s="64"/>
      <c r="H74" s="64"/>
      <c r="I74" s="64"/>
      <c r="J74" s="64"/>
      <c r="K74" s="64"/>
      <c r="L74" s="64"/>
      <c r="M74" s="64"/>
    </row>
    <row r="75" spans="3:13" ht="15.95" customHeight="1" x14ac:dyDescent="0.25">
      <c r="C75" s="65"/>
      <c r="D75" s="87"/>
      <c r="E75" s="87"/>
      <c r="F75" s="87"/>
      <c r="G75" s="64"/>
      <c r="H75" s="64"/>
      <c r="I75" s="64"/>
      <c r="J75" s="64"/>
      <c r="K75" s="64"/>
      <c r="L75" s="64"/>
      <c r="M75" s="64"/>
    </row>
    <row r="76" spans="3:13" ht="15.95" customHeight="1" x14ac:dyDescent="0.25">
      <c r="C76" s="65"/>
      <c r="D76" s="87"/>
      <c r="E76" s="87"/>
      <c r="F76" s="87"/>
      <c r="G76" s="64"/>
      <c r="H76" s="64"/>
      <c r="I76" s="64"/>
      <c r="J76" s="64"/>
      <c r="K76" s="64"/>
      <c r="L76" s="64"/>
      <c r="M76" s="64"/>
    </row>
    <row r="77" spans="3:13" ht="15.95" customHeight="1" x14ac:dyDescent="0.25">
      <c r="C77" s="65"/>
      <c r="D77" s="87"/>
      <c r="E77" s="87"/>
      <c r="F77" s="87"/>
      <c r="G77" s="64"/>
      <c r="H77" s="64"/>
      <c r="I77" s="64"/>
      <c r="J77" s="64"/>
      <c r="K77" s="64"/>
      <c r="L77" s="64"/>
      <c r="M77" s="64"/>
    </row>
    <row r="78" spans="3:13" ht="15.95" customHeight="1" x14ac:dyDescent="0.25">
      <c r="C78" s="65"/>
      <c r="D78" s="87"/>
      <c r="E78" s="87"/>
      <c r="F78" s="87"/>
      <c r="G78" s="64"/>
      <c r="H78" s="64"/>
      <c r="I78" s="64"/>
      <c r="J78" s="64"/>
      <c r="K78" s="64"/>
      <c r="L78" s="64"/>
      <c r="M78" s="64"/>
    </row>
    <row r="79" spans="3:13" ht="15.95" customHeight="1" x14ac:dyDescent="0.25">
      <c r="C79" s="65"/>
      <c r="D79" s="87"/>
      <c r="E79" s="87"/>
      <c r="F79" s="87"/>
      <c r="G79" s="64"/>
      <c r="H79" s="64"/>
      <c r="I79" s="64"/>
      <c r="J79" s="64"/>
      <c r="K79" s="64"/>
      <c r="L79" s="64"/>
      <c r="M79" s="64"/>
    </row>
    <row r="80" spans="3:13" ht="15.95" customHeight="1" x14ac:dyDescent="0.25">
      <c r="C80" s="65"/>
      <c r="D80" s="87"/>
      <c r="E80" s="87"/>
      <c r="F80" s="87"/>
      <c r="G80" s="64"/>
      <c r="H80" s="64"/>
      <c r="I80" s="64"/>
      <c r="J80" s="64"/>
      <c r="K80" s="64"/>
      <c r="L80" s="64"/>
      <c r="M80" s="64"/>
    </row>
    <row r="81" spans="3:13" ht="15.95" customHeight="1" x14ac:dyDescent="0.25">
      <c r="C81" s="65"/>
      <c r="D81" s="87"/>
      <c r="E81" s="87"/>
      <c r="F81" s="87"/>
      <c r="G81" s="64"/>
      <c r="H81" s="64"/>
      <c r="I81" s="64"/>
      <c r="J81" s="64"/>
      <c r="K81" s="64"/>
      <c r="L81" s="64"/>
      <c r="M81" s="64"/>
    </row>
    <row r="82" spans="3:13" ht="15.95" customHeight="1" x14ac:dyDescent="0.25">
      <c r="C82" s="65"/>
      <c r="D82" s="87"/>
      <c r="E82" s="87"/>
      <c r="F82" s="87"/>
      <c r="G82" s="64"/>
      <c r="H82" s="64"/>
      <c r="I82" s="64"/>
      <c r="J82" s="64"/>
      <c r="K82" s="64"/>
      <c r="L82" s="64"/>
      <c r="M82" s="64"/>
    </row>
  </sheetData>
  <mergeCells count="2">
    <mergeCell ref="A1:F2"/>
    <mergeCell ref="K1:L2"/>
  </mergeCells>
  <dataValidations count="2">
    <dataValidation type="list" allowBlank="1" showInputMessage="1" showErrorMessage="1" sqref="F4:F14 F18:F82" xr:uid="{00000000-0002-0000-0800-000000000000}">
      <formula1>"Horizontal,Vertical"</formula1>
    </dataValidation>
    <dataValidation type="list" allowBlank="1" showInputMessage="1" showErrorMessage="1" sqref="K4:K15" xr:uid="{00000000-0002-0000-0800-000001000000}">
      <formula1>"SUPERDETTAGLI,BUDGET,FORECAST,RUNRATE"</formula1>
    </dataValidation>
  </dataValidations>
  <pageMargins left="0.7" right="0.7" top="0.75" bottom="0.75" header="0.3" footer="0.3"/>
  <pageSetup paperSize="9" orientation="portrait"/>
  <drawing r:id="rId1"/>
  <tableParts count="2"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6"/>
  <sheetViews>
    <sheetView workbookViewId="0">
      <selection sqref="A1:B1"/>
    </sheetView>
  </sheetViews>
  <sheetFormatPr defaultRowHeight="15" x14ac:dyDescent="0.25"/>
  <cols>
    <col min="1" max="2" width="30.7109375" customWidth="1"/>
  </cols>
  <sheetData>
    <row r="1" spans="1:2" ht="32.25" customHeight="1" x14ac:dyDescent="0.25">
      <c r="A1" s="145" t="s">
        <v>183</v>
      </c>
      <c r="B1" s="146"/>
    </row>
    <row r="2" spans="1:2" ht="15.75" thickBot="1" x14ac:dyDescent="0.3">
      <c r="A2" s="83" t="s">
        <v>138</v>
      </c>
      <c r="B2" s="84" t="s">
        <v>139</v>
      </c>
    </row>
    <row r="3" spans="1:2" x14ac:dyDescent="0.25">
      <c r="A3" s="81" t="s">
        <v>140</v>
      </c>
      <c r="B3" s="82" t="s">
        <v>141</v>
      </c>
    </row>
    <row r="4" spans="1:2" x14ac:dyDescent="0.25">
      <c r="A4" s="77" t="s">
        <v>142</v>
      </c>
      <c r="B4" s="78" t="s">
        <v>143</v>
      </c>
    </row>
    <row r="5" spans="1:2" x14ac:dyDescent="0.25">
      <c r="A5" s="77" t="s">
        <v>144</v>
      </c>
      <c r="B5" s="78" t="s">
        <v>145</v>
      </c>
    </row>
    <row r="6" spans="1:2" x14ac:dyDescent="0.25">
      <c r="A6" s="77" t="s">
        <v>146</v>
      </c>
      <c r="B6" s="78" t="s">
        <v>147</v>
      </c>
    </row>
    <row r="7" spans="1:2" x14ac:dyDescent="0.25">
      <c r="A7" s="77" t="s">
        <v>148</v>
      </c>
      <c r="B7" s="78" t="s">
        <v>188</v>
      </c>
    </row>
    <row r="8" spans="1:2" x14ac:dyDescent="0.25">
      <c r="A8" s="77" t="s">
        <v>182</v>
      </c>
      <c r="B8" s="78" t="s">
        <v>189</v>
      </c>
    </row>
    <row r="9" spans="1:2" x14ac:dyDescent="0.25">
      <c r="A9" s="77" t="s">
        <v>187</v>
      </c>
      <c r="B9" s="78" t="s">
        <v>190</v>
      </c>
    </row>
    <row r="10" spans="1:2" x14ac:dyDescent="0.25">
      <c r="A10" s="77"/>
      <c r="B10" s="78"/>
    </row>
    <row r="11" spans="1:2" x14ac:dyDescent="0.25">
      <c r="A11" s="77"/>
      <c r="B11" s="78"/>
    </row>
    <row r="12" spans="1:2" x14ac:dyDescent="0.25">
      <c r="A12" s="77"/>
      <c r="B12" s="78"/>
    </row>
    <row r="13" spans="1:2" x14ac:dyDescent="0.25">
      <c r="A13" s="77"/>
      <c r="B13" s="78"/>
    </row>
    <row r="14" spans="1:2" x14ac:dyDescent="0.25">
      <c r="A14" s="77"/>
      <c r="B14" s="78"/>
    </row>
    <row r="15" spans="1:2" x14ac:dyDescent="0.25">
      <c r="A15" s="77"/>
      <c r="B15" s="78"/>
    </row>
    <row r="16" spans="1:2" x14ac:dyDescent="0.25">
      <c r="A16" s="77"/>
      <c r="B16" s="78"/>
    </row>
    <row r="17" spans="1:2" x14ac:dyDescent="0.25">
      <c r="A17" s="77"/>
      <c r="B17" s="78"/>
    </row>
    <row r="18" spans="1:2" x14ac:dyDescent="0.25">
      <c r="A18" s="77"/>
      <c r="B18" s="78"/>
    </row>
    <row r="19" spans="1:2" x14ac:dyDescent="0.25">
      <c r="A19" s="77"/>
      <c r="B19" s="78"/>
    </row>
    <row r="20" spans="1:2" x14ac:dyDescent="0.25">
      <c r="A20" s="77"/>
      <c r="B20" s="78"/>
    </row>
    <row r="21" spans="1:2" x14ac:dyDescent="0.25">
      <c r="A21" s="79"/>
      <c r="B21" s="80"/>
    </row>
    <row r="26" spans="1:2" x14ac:dyDescent="0.25">
      <c r="A26" s="85" t="s">
        <v>149</v>
      </c>
    </row>
  </sheetData>
  <mergeCells count="1">
    <mergeCell ref="A1:B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6"/>
  <sheetViews>
    <sheetView workbookViewId="0">
      <selection sqref="A1:B1"/>
    </sheetView>
  </sheetViews>
  <sheetFormatPr defaultRowHeight="15" x14ac:dyDescent="0.25"/>
  <cols>
    <col min="1" max="2" width="30.7109375" customWidth="1"/>
  </cols>
  <sheetData>
    <row r="1" spans="1:2" ht="32.25" customHeight="1" x14ac:dyDescent="0.25">
      <c r="A1" s="145" t="s">
        <v>150</v>
      </c>
      <c r="B1" s="146"/>
    </row>
    <row r="2" spans="1:2" x14ac:dyDescent="0.25">
      <c r="A2" s="83" t="s">
        <v>138</v>
      </c>
      <c r="B2" s="84" t="s">
        <v>139</v>
      </c>
    </row>
    <row r="3" spans="1:2" x14ac:dyDescent="0.25">
      <c r="A3" s="77" t="s">
        <v>192</v>
      </c>
      <c r="B3" s="78" t="s">
        <v>193</v>
      </c>
    </row>
    <row r="4" spans="1:2" x14ac:dyDescent="0.25">
      <c r="A4" s="81" t="s">
        <v>151</v>
      </c>
      <c r="B4" s="82" t="s">
        <v>152</v>
      </c>
    </row>
    <row r="5" spans="1:2" x14ac:dyDescent="0.25">
      <c r="A5" s="77" t="s">
        <v>153</v>
      </c>
      <c r="B5" s="78" t="s">
        <v>154</v>
      </c>
    </row>
    <row r="6" spans="1:2" x14ac:dyDescent="0.25">
      <c r="A6" s="77" t="s">
        <v>155</v>
      </c>
      <c r="B6" s="78" t="s">
        <v>156</v>
      </c>
    </row>
    <row r="7" spans="1:2" x14ac:dyDescent="0.25">
      <c r="A7" s="77" t="s">
        <v>157</v>
      </c>
      <c r="B7" s="78" t="s">
        <v>158</v>
      </c>
    </row>
    <row r="8" spans="1:2" x14ac:dyDescent="0.25">
      <c r="A8" s="77" t="s">
        <v>159</v>
      </c>
      <c r="B8" s="78" t="s">
        <v>185</v>
      </c>
    </row>
    <row r="9" spans="1:2" x14ac:dyDescent="0.25">
      <c r="A9" s="108" t="s">
        <v>184</v>
      </c>
      <c r="B9" s="78" t="s">
        <v>186</v>
      </c>
    </row>
    <row r="10" spans="1:2" x14ac:dyDescent="0.25">
      <c r="A10" s="77"/>
      <c r="B10" s="78"/>
    </row>
    <row r="11" spans="1:2" x14ac:dyDescent="0.25">
      <c r="A11" s="77"/>
      <c r="B11" s="78"/>
    </row>
    <row r="12" spans="1:2" x14ac:dyDescent="0.25">
      <c r="A12" s="77"/>
      <c r="B12" s="78"/>
    </row>
    <row r="13" spans="1:2" x14ac:dyDescent="0.25">
      <c r="A13" s="77"/>
      <c r="B13" s="78"/>
    </row>
    <row r="14" spans="1:2" x14ac:dyDescent="0.25">
      <c r="A14" s="77"/>
      <c r="B14" s="78"/>
    </row>
    <row r="15" spans="1:2" x14ac:dyDescent="0.25">
      <c r="A15" s="77"/>
      <c r="B15" s="78"/>
    </row>
    <row r="16" spans="1:2" x14ac:dyDescent="0.25">
      <c r="A16" s="77"/>
      <c r="B16" s="78"/>
    </row>
    <row r="17" spans="1:2" x14ac:dyDescent="0.25">
      <c r="A17" s="77"/>
      <c r="B17" s="78"/>
    </row>
    <row r="18" spans="1:2" x14ac:dyDescent="0.25">
      <c r="A18" s="77"/>
      <c r="B18" s="78"/>
    </row>
    <row r="19" spans="1:2" x14ac:dyDescent="0.25">
      <c r="A19" s="77"/>
      <c r="B19" s="78"/>
    </row>
    <row r="20" spans="1:2" x14ac:dyDescent="0.25">
      <c r="A20" s="77"/>
      <c r="B20" s="78"/>
    </row>
    <row r="21" spans="1:2" x14ac:dyDescent="0.25">
      <c r="A21" s="79"/>
      <c r="B21" s="80"/>
    </row>
    <row r="26" spans="1:2" x14ac:dyDescent="0.25">
      <c r="A26" s="85" t="s">
        <v>149</v>
      </c>
    </row>
  </sheetData>
  <mergeCells count="1">
    <mergeCell ref="A1:B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30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16" ht="15.75" x14ac:dyDescent="0.25">
      <c r="A1" s="147" t="s">
        <v>160</v>
      </c>
      <c r="B1" s="147"/>
      <c r="C1" s="55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7"/>
    </row>
    <row r="2" spans="1:16" x14ac:dyDescent="0.25">
      <c r="A2" s="54" t="s">
        <v>161</v>
      </c>
      <c r="B2" s="76" t="s">
        <v>162</v>
      </c>
      <c r="C2" s="58"/>
      <c r="P2" s="59"/>
    </row>
    <row r="3" spans="1:16" x14ac:dyDescent="0.25">
      <c r="A3" s="73"/>
      <c r="B3" s="70"/>
      <c r="C3" s="58"/>
      <c r="P3" s="59"/>
    </row>
    <row r="4" spans="1:16" x14ac:dyDescent="0.25">
      <c r="A4" s="74"/>
      <c r="B4" s="75"/>
      <c r="C4" s="58"/>
      <c r="P4" s="59"/>
    </row>
    <row r="5" spans="1:16" x14ac:dyDescent="0.25">
      <c r="A5" s="73"/>
      <c r="B5" s="70"/>
      <c r="C5" s="58"/>
      <c r="P5" s="59"/>
    </row>
    <row r="6" spans="1:16" x14ac:dyDescent="0.25">
      <c r="A6" s="73"/>
      <c r="B6" s="70"/>
      <c r="C6" s="58"/>
      <c r="P6" s="59"/>
    </row>
    <row r="7" spans="1:16" x14ac:dyDescent="0.25">
      <c r="C7" s="58"/>
      <c r="P7" s="59"/>
    </row>
    <row r="8" spans="1:16" x14ac:dyDescent="0.25">
      <c r="C8" s="58"/>
      <c r="P8" s="59"/>
    </row>
    <row r="9" spans="1:16" x14ac:dyDescent="0.25">
      <c r="C9" s="58"/>
      <c r="P9" s="59"/>
    </row>
    <row r="10" spans="1:16" x14ac:dyDescent="0.25">
      <c r="C10" s="58"/>
      <c r="P10" s="59"/>
    </row>
    <row r="11" spans="1:16" x14ac:dyDescent="0.25">
      <c r="C11" s="58"/>
      <c r="P11" s="59"/>
    </row>
    <row r="12" spans="1:16" x14ac:dyDescent="0.25">
      <c r="C12" s="58"/>
      <c r="P12" s="59"/>
    </row>
    <row r="13" spans="1:16" x14ac:dyDescent="0.25">
      <c r="C13" s="58"/>
      <c r="P13" s="59"/>
    </row>
    <row r="14" spans="1:16" x14ac:dyDescent="0.25">
      <c r="C14" s="58"/>
      <c r="P14" s="59"/>
    </row>
    <row r="15" spans="1:16" x14ac:dyDescent="0.25">
      <c r="C15" s="58"/>
      <c r="P15" s="59"/>
    </row>
    <row r="16" spans="1:16" x14ac:dyDescent="0.25">
      <c r="C16" s="58"/>
      <c r="P16" s="59"/>
    </row>
    <row r="17" spans="3:16" x14ac:dyDescent="0.25">
      <c r="C17" s="58"/>
      <c r="P17" s="59"/>
    </row>
    <row r="18" spans="3:16" x14ac:dyDescent="0.25">
      <c r="C18" s="58"/>
      <c r="P18" s="59"/>
    </row>
    <row r="19" spans="3:16" x14ac:dyDescent="0.25">
      <c r="C19" s="58"/>
      <c r="P19" s="59"/>
    </row>
    <row r="20" spans="3:16" x14ac:dyDescent="0.25">
      <c r="C20" s="58"/>
      <c r="P20" s="59"/>
    </row>
    <row r="21" spans="3:16" x14ac:dyDescent="0.25">
      <c r="C21" s="58"/>
      <c r="P21" s="59"/>
    </row>
    <row r="22" spans="3:16" x14ac:dyDescent="0.25">
      <c r="C22" s="58"/>
      <c r="P22" s="59"/>
    </row>
    <row r="23" spans="3:16" x14ac:dyDescent="0.25">
      <c r="C23" s="58"/>
      <c r="P23" s="59"/>
    </row>
    <row r="24" spans="3:16" x14ac:dyDescent="0.25">
      <c r="C24" s="58"/>
      <c r="P24" s="59"/>
    </row>
    <row r="25" spans="3:16" x14ac:dyDescent="0.25">
      <c r="C25" s="58"/>
      <c r="P25" s="59"/>
    </row>
    <row r="26" spans="3:16" x14ac:dyDescent="0.25">
      <c r="C26" s="58"/>
      <c r="P26" s="59"/>
    </row>
    <row r="27" spans="3:16" x14ac:dyDescent="0.25">
      <c r="C27" s="58"/>
      <c r="P27" s="59"/>
    </row>
    <row r="28" spans="3:16" x14ac:dyDescent="0.25">
      <c r="C28" s="58"/>
      <c r="P28" s="59"/>
    </row>
    <row r="29" spans="3:16" x14ac:dyDescent="0.25">
      <c r="C29" s="58"/>
      <c r="P29" s="59"/>
    </row>
    <row r="30" spans="3:16" x14ac:dyDescent="0.25">
      <c r="C30" s="61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3"/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39"/>
  <sheetViews>
    <sheetView zoomScaleNormal="100" workbookViewId="0">
      <selection sqref="A1:B1"/>
    </sheetView>
  </sheetViews>
  <sheetFormatPr defaultRowHeight="15" x14ac:dyDescent="0.25"/>
  <cols>
    <col min="1" max="3" width="15.7109375" customWidth="1"/>
    <col min="4" max="4" width="25.140625" bestFit="1" customWidth="1"/>
  </cols>
  <sheetData>
    <row r="1" spans="1:3" ht="15.75" x14ac:dyDescent="0.25">
      <c r="A1" s="152" t="s">
        <v>160</v>
      </c>
      <c r="B1" s="153"/>
      <c r="C1" s="107"/>
    </row>
    <row r="2" spans="1:3" x14ac:dyDescent="0.25">
      <c r="A2" s="105" t="s">
        <v>161</v>
      </c>
      <c r="B2" s="106" t="s">
        <v>163</v>
      </c>
      <c r="C2" s="87"/>
    </row>
    <row r="3" spans="1:3" x14ac:dyDescent="0.25">
      <c r="A3" s="70"/>
      <c r="B3" s="70"/>
      <c r="C3" s="70"/>
    </row>
    <row r="4" spans="1:3" x14ac:dyDescent="0.25">
      <c r="A4" s="70" t="s">
        <v>101</v>
      </c>
      <c r="B4" s="70"/>
      <c r="C4" s="70"/>
    </row>
    <row r="5" spans="1:3" x14ac:dyDescent="0.25">
      <c r="A5" s="70"/>
      <c r="B5" s="70"/>
      <c r="C5" s="70"/>
    </row>
    <row r="6" spans="1:3" x14ac:dyDescent="0.25">
      <c r="A6" s="70"/>
      <c r="B6" s="70"/>
      <c r="C6" s="70"/>
    </row>
    <row r="22" spans="4:16" x14ac:dyDescent="0.25">
      <c r="E22" s="148">
        <v>2023</v>
      </c>
      <c r="F22" s="149"/>
      <c r="G22" s="148">
        <v>2024</v>
      </c>
      <c r="H22" s="149"/>
      <c r="I22" s="154">
        <v>2025</v>
      </c>
      <c r="J22" s="155"/>
      <c r="K22" s="156">
        <v>2025</v>
      </c>
      <c r="L22" s="157"/>
      <c r="M22" s="148">
        <v>2025</v>
      </c>
      <c r="N22" s="149"/>
      <c r="O22" s="150" t="s">
        <v>164</v>
      </c>
      <c r="P22" s="151"/>
    </row>
    <row r="23" spans="4:16" ht="30" x14ac:dyDescent="0.25">
      <c r="D23" s="89"/>
      <c r="E23" s="2" t="s">
        <v>73</v>
      </c>
      <c r="F23" s="2" t="s">
        <v>165</v>
      </c>
      <c r="G23" s="2" t="s">
        <v>73</v>
      </c>
      <c r="H23" s="2" t="s">
        <v>165</v>
      </c>
      <c r="I23" s="2" t="s">
        <v>73</v>
      </c>
      <c r="J23" s="2" t="s">
        <v>165</v>
      </c>
      <c r="K23" s="2" t="s">
        <v>73</v>
      </c>
      <c r="L23" s="2" t="s">
        <v>165</v>
      </c>
      <c r="M23" s="2" t="s">
        <v>73</v>
      </c>
      <c r="N23" s="2" t="s">
        <v>165</v>
      </c>
      <c r="O23" s="2" t="s">
        <v>73</v>
      </c>
      <c r="P23" s="2" t="s">
        <v>165</v>
      </c>
    </row>
    <row r="24" spans="4:16" x14ac:dyDescent="0.25">
      <c r="D24" s="90" t="s">
        <v>35</v>
      </c>
      <c r="E24" s="3">
        <f>SUMIFS(tabSuperdettagli[ORE_],tabSuperdettagli[da considerare?_],"sì",tabSuperdettagli[Anno_],$E$22,tabSuperdettagli[BussinessArea Cluster],$D24)/1000</f>
        <v>0</v>
      </c>
      <c r="F24" s="4"/>
      <c r="G24" s="4">
        <f>SUMIFS(tabSuperdettagli[ORE_],tabSuperdettagli[da considerare?_],"sì",tabSuperdettagli[Anno_],G$22,tabSuperdettagli[BussinessArea Cluster],$D24)/1000</f>
        <v>0</v>
      </c>
      <c r="H24" s="4"/>
      <c r="I24" s="4">
        <f>SUMIFS(tblBudget[BDG_],tblBudget[da considerare?_],"sì",tblBudget[BusinessArea_],$D24)/1000</f>
        <v>0</v>
      </c>
      <c r="J24" s="4"/>
      <c r="K24" s="4">
        <v>0.51300000000000001</v>
      </c>
      <c r="L24" s="4"/>
      <c r="M24" s="4">
        <f>SUMIFS(tabSuperdettagli[ORE_],tabSuperdettagli[da considerare?_],"sì",tabSuperdettagli[Anno_],M$22,tabSuperdettagli[BussinessArea Cluster],$D24)/1000</f>
        <v>0</v>
      </c>
      <c r="N24" s="4"/>
      <c r="O24" s="4">
        <f>SUMIFS(tblForecast[FORECAST Totale_],tblForecast[da considerare?],"sì",tblForecast[Business],D24)/1000</f>
        <v>0</v>
      </c>
      <c r="P24" s="5"/>
    </row>
    <row r="25" spans="4:16" x14ac:dyDescent="0.25">
      <c r="D25" s="91" t="s">
        <v>166</v>
      </c>
      <c r="E25" s="6">
        <f>SUMIFS(tabSuperdettagli[ORE_],tabSuperdettagli[da considerare?_],"sì",tabSuperdettagli[Anno_],$E$22,tabSuperdettagli[BussinessArea Cluster],$D25)/1000</f>
        <v>0</v>
      </c>
      <c r="F25" s="7"/>
      <c r="G25" s="7">
        <f>SUMIFS(tabSuperdettagli[ORE_],tabSuperdettagli[da considerare?_],"sì",tabSuperdettagli[Anno_],G$22,tabSuperdettagli[BussinessArea Cluster],$D25)/1000</f>
        <v>0</v>
      </c>
      <c r="H25" s="7"/>
      <c r="I25" s="7">
        <f>SUMIFS(tblBudget[BDG_],tblBudget[da considerare?_],"sì",tblBudget[BusinessArea_],$D25)/1000</f>
        <v>0</v>
      </c>
      <c r="J25" s="7"/>
      <c r="K25" s="7">
        <f t="shared" ref="K25:K29" si="0">M25/cell_perc_RR</f>
        <v>0</v>
      </c>
      <c r="L25" s="7"/>
      <c r="M25" s="7">
        <f>SUMIFS(tabSuperdettagli[ORE_],tabSuperdettagli[da considerare?_],"sì",tabSuperdettagli[Anno_],M$22,tabSuperdettagli[BussinessArea Cluster],$D25)/1000</f>
        <v>0</v>
      </c>
      <c r="N25" s="7"/>
      <c r="O25" s="7">
        <f>SUMIFS(tblForecast[FORECAST Totale_],tblForecast[da considerare?],"sì",tblForecast[Business],D25)/1000</f>
        <v>0</v>
      </c>
      <c r="P25" s="8"/>
    </row>
    <row r="26" spans="4:16" x14ac:dyDescent="0.25">
      <c r="D26" s="92" t="s">
        <v>167</v>
      </c>
      <c r="E26" s="9">
        <f>SUMIFS(tabSuperdettagli[ORE_],tabSuperdettagli[da considerare?_],"sì",tabSuperdettagli[Anno_],$E$22,tabSuperdettagli[BussinessArea Cluster],$D26)/1000</f>
        <v>0</v>
      </c>
      <c r="F26" s="10"/>
      <c r="G26" s="10">
        <f>SUMIFS(tabSuperdettagli[ORE_],tabSuperdettagli[da considerare?_],"sì",tabSuperdettagli[Anno_],G$22,tabSuperdettagli[BussinessArea Cluster],$D26)/1000</f>
        <v>0</v>
      </c>
      <c r="H26" s="10"/>
      <c r="I26" s="10">
        <f>SUMIFS(tblBudget[BDG_],tblBudget[da considerare?_],"sì",tblBudget[BusinessArea_],$D26)/1000</f>
        <v>0</v>
      </c>
      <c r="J26" s="10"/>
      <c r="K26" s="10">
        <f t="shared" si="0"/>
        <v>0</v>
      </c>
      <c r="L26" s="10"/>
      <c r="M26" s="10">
        <f>SUMIFS(tabSuperdettagli[ORE_],tabSuperdettagli[da considerare?_],"sì",tabSuperdettagli[Anno_],M$22,tabSuperdettagli[BussinessArea Cluster],$D26)/1000</f>
        <v>0</v>
      </c>
      <c r="N26" s="10"/>
      <c r="O26" s="10">
        <f>SUMIFS(tblForecast[FORECAST Totale_],tblForecast[da considerare?],"sì",tblForecast[Business],D26)/1000</f>
        <v>0</v>
      </c>
      <c r="P26" s="11"/>
    </row>
    <row r="27" spans="4:16" x14ac:dyDescent="0.25">
      <c r="D27" s="93" t="s">
        <v>168</v>
      </c>
      <c r="E27" s="12">
        <f>SUMIFS(tabSuperdettagli[ORE_],tabSuperdettagli[da considerare?_],"sì",tabSuperdettagli[Anno_],E$22,tabSuperdettagli[BussinessArea Cluster],$D27)/1000</f>
        <v>0</v>
      </c>
      <c r="F27" s="13"/>
      <c r="G27" s="13">
        <f>SUMIFS(tabSuperdettagli[ORE_],tabSuperdettagli[da considerare?_],"sì",tabSuperdettagli[Anno_],G$22,tabSuperdettagli[BussinessArea Cluster],$D27)/1000</f>
        <v>0</v>
      </c>
      <c r="H27" s="13"/>
      <c r="I27" s="13">
        <f>SUMIFS(tblBudget[BDG_],tblBudget[da considerare?_],"sì",tblBudget[BusinessArea_],$D27)/1000</f>
        <v>0</v>
      </c>
      <c r="J27" s="13"/>
      <c r="K27" s="13">
        <f t="shared" si="0"/>
        <v>0</v>
      </c>
      <c r="L27" s="13"/>
      <c r="M27" s="13">
        <f>SUMIFS(tabSuperdettagli[ORE_],tabSuperdettagli[da considerare?_],"sì",tabSuperdettagli[Anno_],M$22,tabSuperdettagli[BussinessArea Cluster],$D27)/1000</f>
        <v>0</v>
      </c>
      <c r="N27" s="13"/>
      <c r="O27" s="13">
        <f>SUMIFS(tblForecast[FORECAST Totale_],tblForecast[da considerare?],"sì",tblForecast[Business],D27)/1000</f>
        <v>0</v>
      </c>
      <c r="P27" s="14"/>
    </row>
    <row r="28" spans="4:16" x14ac:dyDescent="0.25">
      <c r="D28" s="94" t="s">
        <v>169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6"/>
    </row>
    <row r="29" spans="4:16" x14ac:dyDescent="0.25">
      <c r="D29" s="95" t="s">
        <v>170</v>
      </c>
      <c r="E29" s="17">
        <f>SUM(E$24:E$28)</f>
        <v>0</v>
      </c>
      <c r="F29" s="17"/>
      <c r="G29" s="17">
        <f>SUM(G$24:G$28)</f>
        <v>0</v>
      </c>
      <c r="H29" s="17"/>
      <c r="I29" s="17">
        <f>SUM(I$24:I$28)</f>
        <v>0</v>
      </c>
      <c r="J29" s="17"/>
      <c r="K29" s="17">
        <f t="shared" si="0"/>
        <v>0</v>
      </c>
      <c r="L29" s="17"/>
      <c r="M29" s="17">
        <f>SUM(M$24:M$28)</f>
        <v>0</v>
      </c>
      <c r="N29" s="17"/>
      <c r="O29" s="17">
        <f>SUM(O24:O28)</f>
        <v>0</v>
      </c>
      <c r="P29" s="18"/>
    </row>
    <row r="30" spans="4:16" x14ac:dyDescent="0.25">
      <c r="E30" s="60"/>
      <c r="F30" s="60"/>
      <c r="G30" s="60"/>
      <c r="H30" s="60"/>
      <c r="I30" s="60"/>
      <c r="J30" s="60"/>
      <c r="K30" s="60"/>
      <c r="L30" s="60"/>
      <c r="M30" s="60"/>
      <c r="N30" s="60"/>
    </row>
    <row r="31" spans="4:16" x14ac:dyDescent="0.25">
      <c r="D31" s="96" t="s">
        <v>85</v>
      </c>
      <c r="E31" s="19"/>
      <c r="F31" s="20">
        <f>SUMIFS(tabSuperdettagli[ORE_],tabSuperdettagli[da considerare?_],"sì",tabSuperdettagli[Anno_],E$22,tabSuperdettagli[ProjType Cluster2],$D31)/1000</f>
        <v>0</v>
      </c>
      <c r="G31" s="20"/>
      <c r="H31" s="20">
        <f>SUMIFS(tabSuperdettagli[ORE_],tabSuperdettagli[da considerare?_],"sì",tabSuperdettagli[Anno_],G$22,tabSuperdettagli[ProjType Cluster2],$D31)/1000</f>
        <v>0</v>
      </c>
      <c r="I31" s="21"/>
      <c r="J31" s="20">
        <f>SUMIFS(tblBudget[BDG_],tblBudget[da considerare?_],"sì",tblBudget[ProjType Cluster 2_],$D31)/1000</f>
        <v>0</v>
      </c>
      <c r="K31" s="20"/>
      <c r="L31" s="20">
        <f t="shared" ref="L31:L39" si="1">N31/cell_perc_RR</f>
        <v>0</v>
      </c>
      <c r="M31" s="20"/>
      <c r="N31" s="20">
        <f>SUMIFS(tabSuperdettagli[ORE_],tabSuperdettagli[da considerare?_],"sì",tabSuperdettagli[Anno_],M$22,tabSuperdettagli[ProjType Cluster2],$D31)/1000</f>
        <v>0</v>
      </c>
      <c r="O31" s="21"/>
      <c r="P31" s="22">
        <f>SUMIFS(tblForecast[FORECAST Totale_],tblForecast[da considerare?],"sì",tblForecast[Proj type cluster 2],D31)/1000</f>
        <v>0</v>
      </c>
    </row>
    <row r="32" spans="4:16" x14ac:dyDescent="0.25">
      <c r="D32" s="97" t="s">
        <v>171</v>
      </c>
      <c r="E32" s="23"/>
      <c r="F32" s="24">
        <f>SUMIFS(tabSuperdettagli[ORE_],tabSuperdettagli[da considerare?_],"sì",tabSuperdettagli[Anno_],E$22,tabSuperdettagli[ProjType Cluster2],$D32)/1000</f>
        <v>0</v>
      </c>
      <c r="G32" s="24"/>
      <c r="H32" s="24">
        <f>SUMIFS(tabSuperdettagli[ORE_],tabSuperdettagli[da considerare?_],"sì",tabSuperdettagli[Anno_],G$22,tabSuperdettagli[ProjType Cluster2],$D32)/1000</f>
        <v>0</v>
      </c>
      <c r="I32" s="25"/>
      <c r="J32" s="24">
        <f>SUMIFS(tblBudget[BDG_],tblBudget[da considerare?_],"sì",tblBudget[ProjType Cluster 2_],$D32)/1000</f>
        <v>0</v>
      </c>
      <c r="K32" s="24"/>
      <c r="L32" s="24">
        <f>N32/cell_perc_RR</f>
        <v>0</v>
      </c>
      <c r="M32" s="24"/>
      <c r="N32" s="24">
        <f>SUMIFS(tabSuperdettagli[ORE_],tabSuperdettagli[da considerare?_],"sì",tabSuperdettagli[Anno_],M$22,tabSuperdettagli[ProjType Cluster2],$D32)/1000</f>
        <v>0</v>
      </c>
      <c r="O32" s="25"/>
      <c r="P32" s="26">
        <f>SUMIFS(tblForecast[FORECAST Totale_],tblForecast[da considerare?],"sì",tblForecast[Proj type cluster 2],D32)/1000</f>
        <v>0</v>
      </c>
    </row>
    <row r="33" spans="4:16" x14ac:dyDescent="0.25">
      <c r="D33" s="98" t="s">
        <v>172</v>
      </c>
      <c r="E33" s="27"/>
      <c r="F33" s="28">
        <f>SUMIFS(tabSuperdettagli[ORE_],tabSuperdettagli[da considerare?_],"sì",tabSuperdettagli[Anno_],E$22,tabSuperdettagli[ProjType Cluster],$D33)/1000</f>
        <v>0</v>
      </c>
      <c r="G33" s="28"/>
      <c r="H33" s="28">
        <f>SUMIFS(tabSuperdettagli[ORE_],tabSuperdettagli[da considerare?_],"sì",tabSuperdettagli[Anno_],G$22,tabSuperdettagli[ProjType Cluster],$D33)/1000</f>
        <v>0</v>
      </c>
      <c r="I33" s="29"/>
      <c r="J33" s="28">
        <f>SUMIFS(tblBudget[BDG_],tblBudget[da considerare?_],"sì",tblBudget[ProjType Cluster 1_],$D33)/1000</f>
        <v>0</v>
      </c>
      <c r="K33" s="28"/>
      <c r="L33" s="28">
        <f t="shared" si="1"/>
        <v>0</v>
      </c>
      <c r="M33" s="28"/>
      <c r="N33" s="28">
        <f>SUMIFS(tabSuperdettagli[ORE_],tabSuperdettagli[da considerare?_],"sì",tabSuperdettagli[Anno_],M$22,tabSuperdettagli[ProjType Cluster],$D33)/1000</f>
        <v>0</v>
      </c>
      <c r="O33" s="29"/>
      <c r="P33" s="30">
        <f>SUMIFS(tblForecast[FORECAST Totale_],tblForecast[da considerare?],"sì",tblForecast[Proj type cluster 1],D33)/1000</f>
        <v>0</v>
      </c>
    </row>
    <row r="34" spans="4:16" x14ac:dyDescent="0.25">
      <c r="D34" s="99" t="s">
        <v>86</v>
      </c>
      <c r="E34" s="31"/>
      <c r="F34" s="32">
        <f>SUMIFS(tabSuperdettagli[ORE_],tabSuperdettagli[da considerare?_],"sì",tabSuperdettagli[Anno_],E$22,tabSuperdettagli[ProjType Cluster],$D34)/1000</f>
        <v>0</v>
      </c>
      <c r="G34" s="32"/>
      <c r="H34" s="32">
        <f>SUMIFS(tabSuperdettagli[ORE_],tabSuperdettagli[da considerare?_],"sì",tabSuperdettagli[Anno_],G$22,tabSuperdettagli[ProjType Cluster],$D34)/1000</f>
        <v>0</v>
      </c>
      <c r="I34" s="33"/>
      <c r="J34" s="32">
        <f>SUMIFS(tblBudget[BDG_],tblBudget[da considerare?_],"sì",tblBudget[ProjType Cluster 1_],$D34)/1000</f>
        <v>0</v>
      </c>
      <c r="K34" s="32"/>
      <c r="L34" s="32">
        <f t="shared" si="1"/>
        <v>0</v>
      </c>
      <c r="M34" s="32"/>
      <c r="N34" s="32">
        <f>SUMIFS(tabSuperdettagli[ORE_],tabSuperdettagli[da considerare?_],"sì",tabSuperdettagli[Anno_],M$22,tabSuperdettagli[ProjType Cluster],$D34)/1000</f>
        <v>0</v>
      </c>
      <c r="O34" s="33"/>
      <c r="P34" s="34">
        <f>SUMIFS(tblForecast[FORECAST Totale_],tblForecast[da considerare?],"sì",tblForecast[Proj type cluster 1],D34)/1000</f>
        <v>0</v>
      </c>
    </row>
    <row r="35" spans="4:16" x14ac:dyDescent="0.25">
      <c r="D35" s="100" t="s">
        <v>173</v>
      </c>
      <c r="E35" s="35"/>
      <c r="F35" s="36">
        <f>SUMIFS(tabSuperdettagli[ORE_],tabSuperdettagli[da considerare?_],"sì",tabSuperdettagli[Anno_],E$22,tabSuperdettagli[ProjType Cluster],$D35)/1000</f>
        <v>0</v>
      </c>
      <c r="G35" s="36"/>
      <c r="H35" s="36">
        <f>SUMIFS(tabSuperdettagli[ORE_],tabSuperdettagli[da considerare?_],"sì",tabSuperdettagli[Anno_],G$22,tabSuperdettagli[ProjType Cluster],$D35)/1000</f>
        <v>0</v>
      </c>
      <c r="I35" s="37"/>
      <c r="J35" s="36">
        <f>SUMIFS(tblBudget[BDG_],tblBudget[da considerare?_],"sì",tblBudget[ProjType Cluster 1_],$D35)/1000</f>
        <v>0</v>
      </c>
      <c r="K35" s="36"/>
      <c r="L35" s="36">
        <f t="shared" si="1"/>
        <v>0</v>
      </c>
      <c r="M35" s="36"/>
      <c r="N35" s="36">
        <f>SUMIFS(tabSuperdettagli[ORE_],tabSuperdettagli[da considerare?_],"sì",tabSuperdettagli[Anno_],M$22,tabSuperdettagli[ProjType Cluster],$D35)/1000</f>
        <v>0</v>
      </c>
      <c r="O35" s="37"/>
      <c r="P35" s="38">
        <f>SUMIFS(tblForecast[FORECAST Totale_],tblForecast[da considerare?],"sì",tblForecast[Proj type cluster 1],D35)/1000</f>
        <v>0</v>
      </c>
    </row>
    <row r="36" spans="4:16" x14ac:dyDescent="0.25">
      <c r="D36" s="101" t="s">
        <v>174</v>
      </c>
      <c r="E36" s="39"/>
      <c r="F36" s="40">
        <f>SUMIFS(tabSuperdettagli[ORE_],tabSuperdettagli[da considerare?_],"sì",tabSuperdettagli[Anno_],E$22,tabSuperdettagli[ProjType Cluster],$D36)/1000</f>
        <v>0</v>
      </c>
      <c r="G36" s="40"/>
      <c r="H36" s="40">
        <f>SUMIFS(tabSuperdettagli[ORE_],tabSuperdettagli[da considerare?_],"sì",tabSuperdettagli[Anno_],G$22,tabSuperdettagli[ProjType Cluster],$D36)/1000</f>
        <v>0</v>
      </c>
      <c r="I36" s="41"/>
      <c r="J36" s="40">
        <f>SUMIFS(tblBudget[BDG_],tblBudget[da considerare?_],"sì",tblBudget[ProjType Cluster 1_],$D36)/1000</f>
        <v>0</v>
      </c>
      <c r="K36" s="40"/>
      <c r="L36" s="40">
        <f t="shared" si="1"/>
        <v>0</v>
      </c>
      <c r="M36" s="40"/>
      <c r="N36" s="40">
        <f>SUMIFS(tabSuperdettagli[ORE_],tabSuperdettagli[da considerare?_],"sì",tabSuperdettagli[Anno_],M$22,tabSuperdettagli[ProjType Cluster],$D36)/1000</f>
        <v>0</v>
      </c>
      <c r="O36" s="41"/>
      <c r="P36" s="42">
        <f>SUMIFS(tblForecast[FORECAST Totale_],tblForecast[da considerare?],"sì",tblForecast[Proj type cluster 1],D36)/1000</f>
        <v>0</v>
      </c>
    </row>
    <row r="37" spans="4:16" x14ac:dyDescent="0.25">
      <c r="D37" s="102" t="s">
        <v>175</v>
      </c>
      <c r="E37" s="43"/>
      <c r="F37" s="44">
        <f>SUMIFS(tabSuperdettagli[ORE_],tabSuperdettagli[da considerare?_],"sì",tabSuperdettagli[Anno_],E$22,tabSuperdettagli[ProjType Cluster],$D37)/1000</f>
        <v>0</v>
      </c>
      <c r="G37" s="44"/>
      <c r="H37" s="44">
        <f>SUMIFS(tabSuperdettagli[ORE_],tabSuperdettagli[da considerare?_],"sì",tabSuperdettagli[Anno_],G$22,tabSuperdettagli[ProjType Cluster],$D37)/1000</f>
        <v>0</v>
      </c>
      <c r="I37" s="45"/>
      <c r="J37" s="44">
        <f>SUMIFS(tblBudget[BDG_],tblBudget[da considerare?_],"sì",tblBudget[ProjType Cluster 1_],$D37)/1000</f>
        <v>0</v>
      </c>
      <c r="K37" s="44"/>
      <c r="L37" s="44">
        <f t="shared" si="1"/>
        <v>0</v>
      </c>
      <c r="M37" s="44"/>
      <c r="N37" s="44">
        <f>SUMIFS(tabSuperdettagli[ORE_],tabSuperdettagli[da considerare?_],"sì",tabSuperdettagli[Anno_],M$22,tabSuperdettagli[ProjType Cluster],$D37)/1000</f>
        <v>0</v>
      </c>
      <c r="O37" s="45"/>
      <c r="P37" s="46">
        <f>SUMIFS(tblForecast[FORECAST Totale_],tblForecast[da considerare?],"sì",tblForecast[Proj type cluster 1],D37)/1000</f>
        <v>0</v>
      </c>
    </row>
    <row r="38" spans="4:16" x14ac:dyDescent="0.25">
      <c r="D38" s="103" t="s">
        <v>176</v>
      </c>
      <c r="E38" s="47"/>
      <c r="F38" s="48">
        <f>ROUND(SUMIFS(tabSuperdettagli[ORE_],tabSuperdettagli[da considerare?_],"sì",tabSuperdettagli[Anno_],E$22)/1000-SUM(F31:F37),0)</f>
        <v>0</v>
      </c>
      <c r="G38" s="48"/>
      <c r="H38" s="48">
        <f>ROUND(SUMIFS(tabSuperdettagli[ORE_],tabSuperdettagli[da considerare?_],"sì",tabSuperdettagli[Anno_],G$28)/1000-SUM(H31:H37),0)</f>
        <v>0</v>
      </c>
      <c r="I38" s="49"/>
      <c r="J38" s="48">
        <f>ROUND(SUMIFS(tblBudget[BDG_],tblBudget[da considerare?_],"sì")/1000-SUM(J$31:J$37),0)</f>
        <v>0</v>
      </c>
      <c r="K38" s="48"/>
      <c r="L38" s="48">
        <f t="shared" si="1"/>
        <v>0</v>
      </c>
      <c r="M38" s="48"/>
      <c r="N38" s="48">
        <f>ROUND(SUMIFS(tabSuperdettagli[ORE_],tabSuperdettagli[da considerare?_],"sì",tabSuperdettagli[Anno_],M$28)/1000-SUM(N31:N37),0)</f>
        <v>0</v>
      </c>
      <c r="O38" s="49"/>
      <c r="P38" s="50">
        <f>SUMIFS(tblForecast[FORECAST Totale_],tblForecast[da considerare?],"sì")/1000-SUM(P31:P37)</f>
        <v>0.08</v>
      </c>
    </row>
    <row r="39" spans="4:16" x14ac:dyDescent="0.25">
      <c r="D39" s="104" t="s">
        <v>177</v>
      </c>
      <c r="E39" s="52"/>
      <c r="F39" s="52">
        <f>SUM(F31:F38)</f>
        <v>0</v>
      </c>
      <c r="G39" s="52"/>
      <c r="H39" s="52">
        <f>SUM(H31:H38)</f>
        <v>0</v>
      </c>
      <c r="I39" s="52"/>
      <c r="J39" s="52">
        <f>SUM(J31:J38)</f>
        <v>0</v>
      </c>
      <c r="K39" s="52"/>
      <c r="L39" s="52">
        <f t="shared" si="1"/>
        <v>0</v>
      </c>
      <c r="M39" s="52"/>
      <c r="N39" s="52">
        <f>SUM(N31:N38)</f>
        <v>0</v>
      </c>
      <c r="O39" s="51"/>
      <c r="P39" s="52">
        <f>SUM(P31:P38)</f>
        <v>0.08</v>
      </c>
    </row>
  </sheetData>
  <mergeCells count="7">
    <mergeCell ref="M22:N22"/>
    <mergeCell ref="O22:P22"/>
    <mergeCell ref="A1:B1"/>
    <mergeCell ref="E22:F22"/>
    <mergeCell ref="G22:H22"/>
    <mergeCell ref="I22:J22"/>
    <mergeCell ref="K22:L22"/>
  </mergeCells>
  <pageMargins left="0.7" right="0.7" top="0.75" bottom="0.75" header="0.3" footer="0.3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33"/>
  <sheetViews>
    <sheetView zoomScaleNormal="100" workbookViewId="0">
      <selection sqref="A1:B1"/>
    </sheetView>
  </sheetViews>
  <sheetFormatPr defaultRowHeight="15" x14ac:dyDescent="0.25"/>
  <cols>
    <col min="1" max="2" width="15.7109375" customWidth="1"/>
    <col min="4" max="4" width="19.42578125" bestFit="1" customWidth="1"/>
    <col min="5" max="5" width="12.140625" bestFit="1" customWidth="1"/>
    <col min="6" max="6" width="11.85546875" bestFit="1" customWidth="1"/>
    <col min="7" max="7" width="11.5703125" bestFit="1" customWidth="1"/>
    <col min="8" max="8" width="12" bestFit="1" customWidth="1"/>
    <col min="9" max="9" width="11.42578125" bestFit="1" customWidth="1"/>
    <col min="10" max="10" width="12.28515625" bestFit="1" customWidth="1"/>
    <col min="11" max="12" width="11.28515625" bestFit="1" customWidth="1"/>
    <col min="13" max="13" width="11.7109375" bestFit="1" customWidth="1"/>
    <col min="14" max="14" width="11.28515625" bestFit="1" customWidth="1"/>
    <col min="15" max="15" width="11.140625" bestFit="1" customWidth="1"/>
    <col min="16" max="16" width="11.85546875" bestFit="1" customWidth="1"/>
    <col min="17" max="17" width="11.140625" bestFit="1" customWidth="1"/>
    <col min="18" max="18" width="16.7109375" bestFit="1" customWidth="1"/>
    <col min="19" max="19" width="16.28515625" bestFit="1" customWidth="1"/>
    <col min="20" max="20" width="16.140625" bestFit="1" customWidth="1"/>
    <col min="21" max="21" width="16.85546875" bestFit="1" customWidth="1"/>
    <col min="22" max="22" width="16.140625" bestFit="1" customWidth="1"/>
  </cols>
  <sheetData>
    <row r="1" spans="1:17" ht="15.75" x14ac:dyDescent="0.25">
      <c r="A1" s="152" t="s">
        <v>160</v>
      </c>
      <c r="B1" s="153"/>
      <c r="D1" s="109" t="s">
        <v>2</v>
      </c>
      <c r="E1" t="s">
        <v>268</v>
      </c>
    </row>
    <row r="2" spans="1:17" ht="15.75" thickBot="1" x14ac:dyDescent="0.3">
      <c r="A2" s="105" t="s">
        <v>161</v>
      </c>
      <c r="B2" s="106" t="s">
        <v>307</v>
      </c>
      <c r="D2" s="109" t="s">
        <v>48</v>
      </c>
      <c r="E2" t="s">
        <v>268</v>
      </c>
    </row>
    <row r="4" spans="1:17" x14ac:dyDescent="0.25">
      <c r="A4" t="s">
        <v>105</v>
      </c>
      <c r="D4" s="109" t="s">
        <v>213</v>
      </c>
      <c r="E4" t="s">
        <v>291</v>
      </c>
      <c r="F4" t="s">
        <v>269</v>
      </c>
      <c r="G4" t="s">
        <v>270</v>
      </c>
      <c r="H4" t="s">
        <v>271</v>
      </c>
      <c r="I4" t="s">
        <v>272</v>
      </c>
      <c r="J4" t="s">
        <v>273</v>
      </c>
      <c r="K4" t="s">
        <v>274</v>
      </c>
      <c r="L4" t="s">
        <v>275</v>
      </c>
      <c r="M4" t="s">
        <v>276</v>
      </c>
      <c r="N4" t="s">
        <v>277</v>
      </c>
      <c r="O4" t="s">
        <v>278</v>
      </c>
      <c r="P4" t="s">
        <v>279</v>
      </c>
      <c r="Q4" t="s">
        <v>280</v>
      </c>
    </row>
    <row r="5" spans="1:17" x14ac:dyDescent="0.25">
      <c r="D5" s="70" t="s">
        <v>298</v>
      </c>
      <c r="E5" s="158">
        <v>143530</v>
      </c>
      <c r="F5" s="158">
        <v>14146</v>
      </c>
      <c r="G5" s="158">
        <v>14192</v>
      </c>
      <c r="H5" s="158">
        <v>14238</v>
      </c>
      <c r="I5" s="158">
        <v>14284</v>
      </c>
      <c r="J5" s="158">
        <v>14330</v>
      </c>
      <c r="K5" s="158">
        <v>14376</v>
      </c>
      <c r="L5" s="158">
        <v>14422</v>
      </c>
      <c r="M5" s="158">
        <v>14468</v>
      </c>
      <c r="N5" s="158">
        <v>14514</v>
      </c>
      <c r="O5" s="158">
        <v>14560</v>
      </c>
      <c r="P5" s="158">
        <v>0</v>
      </c>
      <c r="Q5" s="158">
        <v>0</v>
      </c>
    </row>
    <row r="6" spans="1:17" x14ac:dyDescent="0.25">
      <c r="D6" s="110" t="s">
        <v>180</v>
      </c>
      <c r="E6" s="158">
        <v>97760</v>
      </c>
      <c r="F6" s="158">
        <v>9632</v>
      </c>
      <c r="G6" s="158">
        <v>9664</v>
      </c>
      <c r="H6" s="158">
        <v>9696</v>
      </c>
      <c r="I6" s="158">
        <v>9728</v>
      </c>
      <c r="J6" s="158">
        <v>9760</v>
      </c>
      <c r="K6" s="158">
        <v>9792</v>
      </c>
      <c r="L6" s="158">
        <v>9824</v>
      </c>
      <c r="M6" s="158">
        <v>9856</v>
      </c>
      <c r="N6" s="158">
        <v>9888</v>
      </c>
      <c r="O6" s="158">
        <v>9920</v>
      </c>
      <c r="P6" s="158">
        <v>0</v>
      </c>
      <c r="Q6" s="158">
        <v>0</v>
      </c>
    </row>
    <row r="7" spans="1:17" x14ac:dyDescent="0.25">
      <c r="D7" s="110" t="s">
        <v>292</v>
      </c>
      <c r="E7" s="158">
        <v>45770</v>
      </c>
      <c r="F7" s="158">
        <v>4514</v>
      </c>
      <c r="G7" s="158">
        <v>4528</v>
      </c>
      <c r="H7" s="158">
        <v>4542</v>
      </c>
      <c r="I7" s="158">
        <v>4556</v>
      </c>
      <c r="J7" s="158">
        <v>4570</v>
      </c>
      <c r="K7" s="158">
        <v>4584</v>
      </c>
      <c r="L7" s="158">
        <v>4598</v>
      </c>
      <c r="M7" s="158">
        <v>4612</v>
      </c>
      <c r="N7" s="158">
        <v>4626</v>
      </c>
      <c r="O7" s="158">
        <v>4640</v>
      </c>
      <c r="P7" s="158">
        <v>0</v>
      </c>
      <c r="Q7" s="158">
        <v>0</v>
      </c>
    </row>
    <row r="8" spans="1:17" x14ac:dyDescent="0.25">
      <c r="D8" s="70" t="s">
        <v>299</v>
      </c>
      <c r="E8" s="158">
        <v>33605</v>
      </c>
      <c r="F8" s="158">
        <v>3311</v>
      </c>
      <c r="G8" s="158">
        <v>3322</v>
      </c>
      <c r="H8" s="158">
        <v>3333</v>
      </c>
      <c r="I8" s="158">
        <v>3344</v>
      </c>
      <c r="J8" s="158">
        <v>3355</v>
      </c>
      <c r="K8" s="158">
        <v>3366</v>
      </c>
      <c r="L8" s="158">
        <v>3377</v>
      </c>
      <c r="M8" s="158">
        <v>3388</v>
      </c>
      <c r="N8" s="158">
        <v>3399</v>
      </c>
      <c r="O8" s="158">
        <v>3410</v>
      </c>
      <c r="P8" s="158">
        <v>0</v>
      </c>
      <c r="Q8" s="158">
        <v>0</v>
      </c>
    </row>
    <row r="9" spans="1:17" x14ac:dyDescent="0.25">
      <c r="D9" s="110" t="s">
        <v>180</v>
      </c>
      <c r="E9" s="158">
        <v>13275</v>
      </c>
      <c r="F9" s="158">
        <v>1305</v>
      </c>
      <c r="G9" s="158">
        <v>1310</v>
      </c>
      <c r="H9" s="158">
        <v>1315</v>
      </c>
      <c r="I9" s="158">
        <v>1320</v>
      </c>
      <c r="J9" s="158">
        <v>1325</v>
      </c>
      <c r="K9" s="158">
        <v>1330</v>
      </c>
      <c r="L9" s="158">
        <v>1335</v>
      </c>
      <c r="M9" s="158">
        <v>1340</v>
      </c>
      <c r="N9" s="158">
        <v>1345</v>
      </c>
      <c r="O9" s="158">
        <v>1350</v>
      </c>
      <c r="P9" s="158">
        <v>0</v>
      </c>
      <c r="Q9" s="158">
        <v>0</v>
      </c>
    </row>
    <row r="10" spans="1:17" x14ac:dyDescent="0.25">
      <c r="D10" s="110" t="s">
        <v>292</v>
      </c>
      <c r="E10" s="158">
        <v>20330</v>
      </c>
      <c r="F10" s="158">
        <v>2006</v>
      </c>
      <c r="G10" s="158">
        <v>2012</v>
      </c>
      <c r="H10" s="158">
        <v>2018</v>
      </c>
      <c r="I10" s="158">
        <v>2024</v>
      </c>
      <c r="J10" s="158">
        <v>2030</v>
      </c>
      <c r="K10" s="158">
        <v>2036</v>
      </c>
      <c r="L10" s="158">
        <v>2042</v>
      </c>
      <c r="M10" s="158">
        <v>2048</v>
      </c>
      <c r="N10" s="158">
        <v>2054</v>
      </c>
      <c r="O10" s="158">
        <v>2060</v>
      </c>
      <c r="P10" s="158">
        <v>0</v>
      </c>
      <c r="Q10" s="158">
        <v>0</v>
      </c>
    </row>
    <row r="11" spans="1:17" x14ac:dyDescent="0.25">
      <c r="D11" s="70" t="s">
        <v>301</v>
      </c>
      <c r="E11" s="158">
        <v>22550</v>
      </c>
      <c r="F11" s="158">
        <v>2210</v>
      </c>
      <c r="G11" s="158">
        <v>2220</v>
      </c>
      <c r="H11" s="158">
        <v>2230</v>
      </c>
      <c r="I11" s="158">
        <v>2240</v>
      </c>
      <c r="J11" s="158">
        <v>2250</v>
      </c>
      <c r="K11" s="158">
        <v>2260</v>
      </c>
      <c r="L11" s="158">
        <v>2270</v>
      </c>
      <c r="M11" s="158">
        <v>2280</v>
      </c>
      <c r="N11" s="158">
        <v>2290</v>
      </c>
      <c r="O11" s="158">
        <v>2300</v>
      </c>
      <c r="P11" s="158">
        <v>0</v>
      </c>
      <c r="Q11" s="158">
        <v>0</v>
      </c>
    </row>
    <row r="12" spans="1:17" x14ac:dyDescent="0.25">
      <c r="D12" s="110" t="s">
        <v>180</v>
      </c>
      <c r="E12" s="158">
        <v>14330</v>
      </c>
      <c r="F12" s="158">
        <v>1406</v>
      </c>
      <c r="G12" s="158">
        <v>1412</v>
      </c>
      <c r="H12" s="158">
        <v>1418</v>
      </c>
      <c r="I12" s="158">
        <v>1424</v>
      </c>
      <c r="J12" s="158">
        <v>1430</v>
      </c>
      <c r="K12" s="158">
        <v>1436</v>
      </c>
      <c r="L12" s="158">
        <v>1442</v>
      </c>
      <c r="M12" s="158">
        <v>1448</v>
      </c>
      <c r="N12" s="158">
        <v>1454</v>
      </c>
      <c r="O12" s="158">
        <v>1460</v>
      </c>
      <c r="P12" s="158">
        <v>0</v>
      </c>
      <c r="Q12" s="158">
        <v>0</v>
      </c>
    </row>
    <row r="13" spans="1:17" x14ac:dyDescent="0.25">
      <c r="D13" s="110" t="s">
        <v>292</v>
      </c>
      <c r="E13" s="158">
        <v>8220</v>
      </c>
      <c r="F13" s="158">
        <v>804</v>
      </c>
      <c r="G13" s="158">
        <v>808</v>
      </c>
      <c r="H13" s="158">
        <v>812</v>
      </c>
      <c r="I13" s="158">
        <v>816</v>
      </c>
      <c r="J13" s="158">
        <v>820</v>
      </c>
      <c r="K13" s="158">
        <v>824</v>
      </c>
      <c r="L13" s="158">
        <v>828</v>
      </c>
      <c r="M13" s="158">
        <v>832</v>
      </c>
      <c r="N13" s="158">
        <v>836</v>
      </c>
      <c r="O13" s="158">
        <v>840</v>
      </c>
      <c r="P13" s="158">
        <v>0</v>
      </c>
      <c r="Q13" s="158">
        <v>0</v>
      </c>
    </row>
    <row r="14" spans="1:17" x14ac:dyDescent="0.25">
      <c r="D14" s="70" t="s">
        <v>300</v>
      </c>
      <c r="E14" s="158">
        <v>18550</v>
      </c>
      <c r="F14" s="158">
        <v>1810</v>
      </c>
      <c r="G14" s="158">
        <v>1820</v>
      </c>
      <c r="H14" s="158">
        <v>1830</v>
      </c>
      <c r="I14" s="158">
        <v>1840</v>
      </c>
      <c r="J14" s="158">
        <v>1850</v>
      </c>
      <c r="K14" s="158">
        <v>1860</v>
      </c>
      <c r="L14" s="158">
        <v>1870</v>
      </c>
      <c r="M14" s="158">
        <v>1880</v>
      </c>
      <c r="N14" s="158">
        <v>1890</v>
      </c>
      <c r="O14" s="158">
        <v>1900</v>
      </c>
      <c r="P14" s="158">
        <v>0</v>
      </c>
      <c r="Q14" s="158">
        <v>0</v>
      </c>
    </row>
    <row r="15" spans="1:17" x14ac:dyDescent="0.25">
      <c r="D15" s="110" t="s">
        <v>180</v>
      </c>
      <c r="E15" s="158">
        <v>2055</v>
      </c>
      <c r="F15" s="158">
        <v>201</v>
      </c>
      <c r="G15" s="158">
        <v>202</v>
      </c>
      <c r="H15" s="158">
        <v>203</v>
      </c>
      <c r="I15" s="158">
        <v>204</v>
      </c>
      <c r="J15" s="158">
        <v>205</v>
      </c>
      <c r="K15" s="158">
        <v>206</v>
      </c>
      <c r="L15" s="158">
        <v>207</v>
      </c>
      <c r="M15" s="158">
        <v>208</v>
      </c>
      <c r="N15" s="158">
        <v>209</v>
      </c>
      <c r="O15" s="158">
        <v>210</v>
      </c>
      <c r="P15" s="158">
        <v>0</v>
      </c>
      <c r="Q15" s="158">
        <v>0</v>
      </c>
    </row>
    <row r="16" spans="1:17" x14ac:dyDescent="0.25">
      <c r="D16" s="110" t="s">
        <v>292</v>
      </c>
      <c r="E16" s="158">
        <v>16495</v>
      </c>
      <c r="F16" s="158">
        <v>1609</v>
      </c>
      <c r="G16" s="158">
        <v>1618</v>
      </c>
      <c r="H16" s="158">
        <v>1627</v>
      </c>
      <c r="I16" s="158">
        <v>1636</v>
      </c>
      <c r="J16" s="158">
        <v>1645</v>
      </c>
      <c r="K16" s="158">
        <v>1654</v>
      </c>
      <c r="L16" s="158">
        <v>1663</v>
      </c>
      <c r="M16" s="158">
        <v>1672</v>
      </c>
      <c r="N16" s="158">
        <v>1681</v>
      </c>
      <c r="O16" s="158">
        <v>1690</v>
      </c>
      <c r="P16" s="158">
        <v>0</v>
      </c>
      <c r="Q16" s="158">
        <v>0</v>
      </c>
    </row>
    <row r="17" spans="4:17" x14ac:dyDescent="0.25">
      <c r="D17" s="70" t="s">
        <v>303</v>
      </c>
      <c r="E17" s="158">
        <v>13275</v>
      </c>
      <c r="F17" s="158">
        <v>1305</v>
      </c>
      <c r="G17" s="158">
        <v>1310</v>
      </c>
      <c r="H17" s="158">
        <v>1315</v>
      </c>
      <c r="I17" s="158">
        <v>1320</v>
      </c>
      <c r="J17" s="158">
        <v>1325</v>
      </c>
      <c r="K17" s="158">
        <v>1330</v>
      </c>
      <c r="L17" s="158">
        <v>1335</v>
      </c>
      <c r="M17" s="158">
        <v>1340</v>
      </c>
      <c r="N17" s="158">
        <v>1345</v>
      </c>
      <c r="O17" s="158">
        <v>1350</v>
      </c>
      <c r="P17" s="158">
        <v>0</v>
      </c>
      <c r="Q17" s="158">
        <v>0</v>
      </c>
    </row>
    <row r="18" spans="4:17" x14ac:dyDescent="0.25">
      <c r="D18" s="110" t="s">
        <v>180</v>
      </c>
      <c r="E18" s="158">
        <v>4165</v>
      </c>
      <c r="F18" s="158">
        <v>403</v>
      </c>
      <c r="G18" s="158">
        <v>406</v>
      </c>
      <c r="H18" s="158">
        <v>409</v>
      </c>
      <c r="I18" s="158">
        <v>412</v>
      </c>
      <c r="J18" s="158">
        <v>415</v>
      </c>
      <c r="K18" s="158">
        <v>418</v>
      </c>
      <c r="L18" s="158">
        <v>421</v>
      </c>
      <c r="M18" s="158">
        <v>424</v>
      </c>
      <c r="N18" s="158">
        <v>427</v>
      </c>
      <c r="O18" s="158">
        <v>430</v>
      </c>
      <c r="P18" s="158">
        <v>0</v>
      </c>
      <c r="Q18" s="158">
        <v>0</v>
      </c>
    </row>
    <row r="19" spans="4:17" x14ac:dyDescent="0.25">
      <c r="D19" s="110" t="s">
        <v>292</v>
      </c>
      <c r="E19" s="158">
        <v>9110</v>
      </c>
      <c r="F19" s="158">
        <v>902</v>
      </c>
      <c r="G19" s="158">
        <v>904</v>
      </c>
      <c r="H19" s="158">
        <v>906</v>
      </c>
      <c r="I19" s="158">
        <v>908</v>
      </c>
      <c r="J19" s="158">
        <v>910</v>
      </c>
      <c r="K19" s="158">
        <v>912</v>
      </c>
      <c r="L19" s="158">
        <v>914</v>
      </c>
      <c r="M19" s="158">
        <v>916</v>
      </c>
      <c r="N19" s="158">
        <v>918</v>
      </c>
      <c r="O19" s="158">
        <v>920</v>
      </c>
      <c r="P19" s="158">
        <v>0</v>
      </c>
      <c r="Q19" s="158">
        <v>0</v>
      </c>
    </row>
    <row r="20" spans="4:17" x14ac:dyDescent="0.25">
      <c r="D20" s="70" t="s">
        <v>302</v>
      </c>
      <c r="E20" s="158">
        <v>16275</v>
      </c>
      <c r="F20" s="158">
        <v>1605</v>
      </c>
      <c r="G20" s="158">
        <v>1610</v>
      </c>
      <c r="H20" s="158">
        <v>1615</v>
      </c>
      <c r="I20" s="158">
        <v>1620</v>
      </c>
      <c r="J20" s="158">
        <v>1625</v>
      </c>
      <c r="K20" s="158">
        <v>1630</v>
      </c>
      <c r="L20" s="158">
        <v>1635</v>
      </c>
      <c r="M20" s="158">
        <v>1640</v>
      </c>
      <c r="N20" s="158">
        <v>1645</v>
      </c>
      <c r="O20" s="158">
        <v>1650</v>
      </c>
      <c r="P20" s="158">
        <v>0</v>
      </c>
      <c r="Q20" s="158">
        <v>0</v>
      </c>
    </row>
    <row r="21" spans="4:17" x14ac:dyDescent="0.25">
      <c r="D21" s="110" t="s">
        <v>180</v>
      </c>
      <c r="E21" s="158">
        <v>7165</v>
      </c>
      <c r="F21" s="158">
        <v>703</v>
      </c>
      <c r="G21" s="158">
        <v>706</v>
      </c>
      <c r="H21" s="158">
        <v>709</v>
      </c>
      <c r="I21" s="158">
        <v>712</v>
      </c>
      <c r="J21" s="158">
        <v>715</v>
      </c>
      <c r="K21" s="158">
        <v>718</v>
      </c>
      <c r="L21" s="158">
        <v>721</v>
      </c>
      <c r="M21" s="158">
        <v>724</v>
      </c>
      <c r="N21" s="158">
        <v>727</v>
      </c>
      <c r="O21" s="158">
        <v>730</v>
      </c>
      <c r="P21" s="158">
        <v>0</v>
      </c>
      <c r="Q21" s="158">
        <v>0</v>
      </c>
    </row>
    <row r="22" spans="4:17" x14ac:dyDescent="0.25">
      <c r="D22" s="110" t="s">
        <v>292</v>
      </c>
      <c r="E22" s="158">
        <v>9110</v>
      </c>
      <c r="F22" s="158">
        <v>902</v>
      </c>
      <c r="G22" s="158">
        <v>904</v>
      </c>
      <c r="H22" s="158">
        <v>906</v>
      </c>
      <c r="I22" s="158">
        <v>908</v>
      </c>
      <c r="J22" s="158">
        <v>910</v>
      </c>
      <c r="K22" s="158">
        <v>912</v>
      </c>
      <c r="L22" s="158">
        <v>914</v>
      </c>
      <c r="M22" s="158">
        <v>916</v>
      </c>
      <c r="N22" s="158">
        <v>918</v>
      </c>
      <c r="O22" s="158">
        <v>920</v>
      </c>
      <c r="P22" s="158">
        <v>0</v>
      </c>
      <c r="Q22" s="158">
        <v>0</v>
      </c>
    </row>
    <row r="23" spans="4:17" x14ac:dyDescent="0.25">
      <c r="D23" s="70" t="s">
        <v>294</v>
      </c>
      <c r="E23" s="158">
        <v>1055</v>
      </c>
      <c r="F23" s="158">
        <v>101</v>
      </c>
      <c r="G23" s="158">
        <v>102</v>
      </c>
      <c r="H23" s="158">
        <v>103</v>
      </c>
      <c r="I23" s="158">
        <v>104</v>
      </c>
      <c r="J23" s="158">
        <v>105</v>
      </c>
      <c r="K23" s="158">
        <v>106</v>
      </c>
      <c r="L23" s="158">
        <v>107</v>
      </c>
      <c r="M23" s="158">
        <v>108</v>
      </c>
      <c r="N23" s="158">
        <v>109</v>
      </c>
      <c r="O23" s="158">
        <v>110</v>
      </c>
      <c r="P23" s="158">
        <v>0</v>
      </c>
      <c r="Q23" s="158">
        <v>0</v>
      </c>
    </row>
    <row r="24" spans="4:17" x14ac:dyDescent="0.25">
      <c r="D24" s="110" t="s">
        <v>180</v>
      </c>
      <c r="E24" s="158">
        <v>1055</v>
      </c>
      <c r="F24" s="158">
        <v>101</v>
      </c>
      <c r="G24" s="158">
        <v>102</v>
      </c>
      <c r="H24" s="158">
        <v>103</v>
      </c>
      <c r="I24" s="158">
        <v>104</v>
      </c>
      <c r="J24" s="158">
        <v>105</v>
      </c>
      <c r="K24" s="158">
        <v>106</v>
      </c>
      <c r="L24" s="158">
        <v>107</v>
      </c>
      <c r="M24" s="158">
        <v>108</v>
      </c>
      <c r="N24" s="158">
        <v>109</v>
      </c>
      <c r="O24" s="158">
        <v>110</v>
      </c>
      <c r="P24" s="158">
        <v>0</v>
      </c>
      <c r="Q24" s="158">
        <v>0</v>
      </c>
    </row>
    <row r="25" spans="4:17" x14ac:dyDescent="0.25">
      <c r="D25" s="70" t="s">
        <v>293</v>
      </c>
      <c r="E25" s="158">
        <v>21495</v>
      </c>
      <c r="F25" s="158">
        <v>2109</v>
      </c>
      <c r="G25" s="158">
        <v>2118</v>
      </c>
      <c r="H25" s="158">
        <v>2127</v>
      </c>
      <c r="I25" s="158">
        <v>2136</v>
      </c>
      <c r="J25" s="158">
        <v>2145</v>
      </c>
      <c r="K25" s="158">
        <v>2154</v>
      </c>
      <c r="L25" s="158">
        <v>2163</v>
      </c>
      <c r="M25" s="158">
        <v>2172</v>
      </c>
      <c r="N25" s="158">
        <v>2181</v>
      </c>
      <c r="O25" s="158">
        <v>2190</v>
      </c>
      <c r="P25" s="158">
        <v>0</v>
      </c>
      <c r="Q25" s="158">
        <v>0</v>
      </c>
    </row>
    <row r="26" spans="4:17" x14ac:dyDescent="0.25">
      <c r="D26" s="110" t="s">
        <v>180</v>
      </c>
      <c r="E26" s="158">
        <v>8110</v>
      </c>
      <c r="F26" s="158">
        <v>802</v>
      </c>
      <c r="G26" s="158">
        <v>804</v>
      </c>
      <c r="H26" s="158">
        <v>806</v>
      </c>
      <c r="I26" s="158">
        <v>808</v>
      </c>
      <c r="J26" s="158">
        <v>810</v>
      </c>
      <c r="K26" s="158">
        <v>812</v>
      </c>
      <c r="L26" s="158">
        <v>814</v>
      </c>
      <c r="M26" s="158">
        <v>816</v>
      </c>
      <c r="N26" s="158">
        <v>818</v>
      </c>
      <c r="O26" s="158">
        <v>820</v>
      </c>
      <c r="P26" s="158">
        <v>0</v>
      </c>
      <c r="Q26" s="158">
        <v>0</v>
      </c>
    </row>
    <row r="27" spans="4:17" x14ac:dyDescent="0.25">
      <c r="D27" s="110" t="s">
        <v>292</v>
      </c>
      <c r="E27" s="158">
        <v>13385</v>
      </c>
      <c r="F27" s="158">
        <v>1307</v>
      </c>
      <c r="G27" s="158">
        <v>1314</v>
      </c>
      <c r="H27" s="158">
        <v>1321</v>
      </c>
      <c r="I27" s="158">
        <v>1328</v>
      </c>
      <c r="J27" s="158">
        <v>1335</v>
      </c>
      <c r="K27" s="158">
        <v>1342</v>
      </c>
      <c r="L27" s="158">
        <v>1349</v>
      </c>
      <c r="M27" s="158">
        <v>1356</v>
      </c>
      <c r="N27" s="158">
        <v>1363</v>
      </c>
      <c r="O27" s="158">
        <v>1370</v>
      </c>
      <c r="P27" s="158">
        <v>0</v>
      </c>
      <c r="Q27" s="158">
        <v>0</v>
      </c>
    </row>
    <row r="28" spans="4:17" x14ac:dyDescent="0.25">
      <c r="D28" s="70" t="s">
        <v>296</v>
      </c>
      <c r="E28" s="158">
        <v>8110</v>
      </c>
      <c r="F28" s="158">
        <v>802</v>
      </c>
      <c r="G28" s="158">
        <v>804</v>
      </c>
      <c r="H28" s="158">
        <v>806</v>
      </c>
      <c r="I28" s="158">
        <v>808</v>
      </c>
      <c r="J28" s="158">
        <v>810</v>
      </c>
      <c r="K28" s="158">
        <v>812</v>
      </c>
      <c r="L28" s="158">
        <v>814</v>
      </c>
      <c r="M28" s="158">
        <v>816</v>
      </c>
      <c r="N28" s="158">
        <v>818</v>
      </c>
      <c r="O28" s="158">
        <v>820</v>
      </c>
      <c r="P28" s="158">
        <v>0</v>
      </c>
      <c r="Q28" s="158">
        <v>0</v>
      </c>
    </row>
    <row r="29" spans="4:17" x14ac:dyDescent="0.25">
      <c r="D29" s="110" t="s">
        <v>180</v>
      </c>
      <c r="E29" s="158">
        <v>3055</v>
      </c>
      <c r="F29" s="158">
        <v>301</v>
      </c>
      <c r="G29" s="158">
        <v>302</v>
      </c>
      <c r="H29" s="158">
        <v>303</v>
      </c>
      <c r="I29" s="158">
        <v>304</v>
      </c>
      <c r="J29" s="158">
        <v>305</v>
      </c>
      <c r="K29" s="158">
        <v>306</v>
      </c>
      <c r="L29" s="158">
        <v>307</v>
      </c>
      <c r="M29" s="158">
        <v>308</v>
      </c>
      <c r="N29" s="158">
        <v>309</v>
      </c>
      <c r="O29" s="158">
        <v>310</v>
      </c>
      <c r="P29" s="158">
        <v>0</v>
      </c>
      <c r="Q29" s="158">
        <v>0</v>
      </c>
    </row>
    <row r="30" spans="4:17" x14ac:dyDescent="0.25">
      <c r="D30" s="110" t="s">
        <v>292</v>
      </c>
      <c r="E30" s="158">
        <v>5055</v>
      </c>
      <c r="F30" s="158">
        <v>501</v>
      </c>
      <c r="G30" s="158">
        <v>502</v>
      </c>
      <c r="H30" s="158">
        <v>503</v>
      </c>
      <c r="I30" s="158">
        <v>504</v>
      </c>
      <c r="J30" s="158">
        <v>505</v>
      </c>
      <c r="K30" s="158">
        <v>506</v>
      </c>
      <c r="L30" s="158">
        <v>507</v>
      </c>
      <c r="M30" s="158">
        <v>508</v>
      </c>
      <c r="N30" s="158">
        <v>509</v>
      </c>
      <c r="O30" s="158">
        <v>510</v>
      </c>
      <c r="P30" s="158">
        <v>0</v>
      </c>
      <c r="Q30" s="158">
        <v>0</v>
      </c>
    </row>
    <row r="31" spans="4:17" x14ac:dyDescent="0.25">
      <c r="D31" s="70" t="s">
        <v>295</v>
      </c>
      <c r="E31" s="158">
        <v>1055</v>
      </c>
      <c r="F31" s="158">
        <v>101</v>
      </c>
      <c r="G31" s="158">
        <v>102</v>
      </c>
      <c r="H31" s="158">
        <v>103</v>
      </c>
      <c r="I31" s="158">
        <v>104</v>
      </c>
      <c r="J31" s="158">
        <v>105</v>
      </c>
      <c r="K31" s="158">
        <v>106</v>
      </c>
      <c r="L31" s="158">
        <v>107</v>
      </c>
      <c r="M31" s="158">
        <v>108</v>
      </c>
      <c r="N31" s="158">
        <v>109</v>
      </c>
      <c r="O31" s="158">
        <v>110</v>
      </c>
      <c r="P31" s="158">
        <v>0</v>
      </c>
      <c r="Q31" s="158">
        <v>0</v>
      </c>
    </row>
    <row r="32" spans="4:17" x14ac:dyDescent="0.25">
      <c r="D32" s="110" t="s">
        <v>292</v>
      </c>
      <c r="E32" s="158">
        <v>1055</v>
      </c>
      <c r="F32" s="158">
        <v>101</v>
      </c>
      <c r="G32" s="158">
        <v>102</v>
      </c>
      <c r="H32" s="158">
        <v>103</v>
      </c>
      <c r="I32" s="158">
        <v>104</v>
      </c>
      <c r="J32" s="158">
        <v>105</v>
      </c>
      <c r="K32" s="158">
        <v>106</v>
      </c>
      <c r="L32" s="158">
        <v>107</v>
      </c>
      <c r="M32" s="158">
        <v>108</v>
      </c>
      <c r="N32" s="158">
        <v>109</v>
      </c>
      <c r="O32" s="158">
        <v>110</v>
      </c>
      <c r="P32" s="158">
        <v>0</v>
      </c>
      <c r="Q32" s="158">
        <v>0</v>
      </c>
    </row>
    <row r="33" spans="4:17" x14ac:dyDescent="0.25">
      <c r="D33" s="70" t="s">
        <v>214</v>
      </c>
      <c r="E33" s="158">
        <v>279500</v>
      </c>
      <c r="F33" s="158">
        <v>27500</v>
      </c>
      <c r="G33" s="158">
        <v>27600</v>
      </c>
      <c r="H33" s="158">
        <v>27700</v>
      </c>
      <c r="I33" s="158">
        <v>27800</v>
      </c>
      <c r="J33" s="158">
        <v>27900</v>
      </c>
      <c r="K33" s="158">
        <v>28000</v>
      </c>
      <c r="L33" s="158">
        <v>28100</v>
      </c>
      <c r="M33" s="158">
        <v>28200</v>
      </c>
      <c r="N33" s="158">
        <v>28300</v>
      </c>
      <c r="O33" s="158">
        <v>28400</v>
      </c>
      <c r="P33" s="158">
        <v>0</v>
      </c>
      <c r="Q33" s="158">
        <v>0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12"/>
  <sheetViews>
    <sheetView zoomScaleNormal="100" workbookViewId="0">
      <selection activeCell="B2" sqref="B2"/>
    </sheetView>
  </sheetViews>
  <sheetFormatPr defaultRowHeight="15" x14ac:dyDescent="0.25"/>
  <cols>
    <col min="1" max="2" width="15.7109375" customWidth="1"/>
  </cols>
  <sheetData>
    <row r="1" spans="1:12" ht="15.75" x14ac:dyDescent="0.25">
      <c r="A1" s="152" t="s">
        <v>160</v>
      </c>
      <c r="B1" s="153"/>
    </row>
    <row r="2" spans="1:12" x14ac:dyDescent="0.25">
      <c r="A2" s="105" t="s">
        <v>161</v>
      </c>
      <c r="B2" s="106" t="s">
        <v>309</v>
      </c>
    </row>
    <row r="3" spans="1:12" ht="31.5" x14ac:dyDescent="0.5">
      <c r="D3" s="126" t="str">
        <f>A4</f>
        <v>Progetti per Engineering unit e project type</v>
      </c>
      <c r="E3" s="123"/>
      <c r="F3" s="123"/>
      <c r="G3" s="123"/>
      <c r="H3" s="123"/>
      <c r="I3" s="123"/>
      <c r="J3" s="123"/>
      <c r="K3" s="123"/>
      <c r="L3" s="123"/>
    </row>
    <row r="4" spans="1:12" x14ac:dyDescent="0.25">
      <c r="A4" t="s">
        <v>107</v>
      </c>
    </row>
    <row r="7" spans="1:12" x14ac:dyDescent="0.25">
      <c r="D7" s="124"/>
      <c r="E7" s="124"/>
      <c r="F7" s="124"/>
      <c r="G7" s="124"/>
      <c r="H7" s="124"/>
      <c r="I7" s="124"/>
      <c r="J7" s="124"/>
      <c r="K7" s="124"/>
      <c r="L7" s="124"/>
    </row>
    <row r="8" spans="1:12" x14ac:dyDescent="0.25">
      <c r="D8" s="125"/>
      <c r="E8" s="124"/>
      <c r="F8" s="124"/>
      <c r="G8" s="125"/>
      <c r="H8" s="124"/>
      <c r="I8" s="125"/>
      <c r="J8" s="124"/>
      <c r="K8" s="125"/>
      <c r="L8" s="124"/>
    </row>
    <row r="9" spans="1:12" x14ac:dyDescent="0.25">
      <c r="D9" s="125"/>
      <c r="E9" s="125"/>
      <c r="F9" s="124"/>
      <c r="G9" s="125"/>
      <c r="H9" s="124"/>
      <c r="I9" s="125"/>
      <c r="J9" s="124"/>
      <c r="K9" s="125"/>
      <c r="L9" s="124"/>
    </row>
    <row r="10" spans="1:12" x14ac:dyDescent="0.25">
      <c r="D10" s="125"/>
      <c r="E10" s="125"/>
      <c r="F10" s="124"/>
      <c r="G10" s="125"/>
      <c r="H10" s="125"/>
      <c r="I10" s="125"/>
      <c r="J10" s="125"/>
      <c r="K10" s="125"/>
      <c r="L10" s="124"/>
    </row>
    <row r="11" spans="1:12" x14ac:dyDescent="0.25">
      <c r="D11" s="125"/>
      <c r="E11" s="125"/>
      <c r="F11" s="125"/>
      <c r="G11" s="125"/>
      <c r="H11" s="125"/>
      <c r="I11" s="125"/>
      <c r="J11" s="125"/>
      <c r="K11" s="125"/>
      <c r="L11" s="125"/>
    </row>
    <row r="12" spans="1:12" x14ac:dyDescent="0.25">
      <c r="D12" s="125"/>
      <c r="E12" s="125"/>
      <c r="F12" s="125"/>
      <c r="G12" s="125"/>
      <c r="H12" s="125"/>
      <c r="I12" s="125"/>
      <c r="J12" s="125"/>
      <c r="K12" s="125"/>
      <c r="L12" s="125"/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8"/>
  <sheetViews>
    <sheetView zoomScaleNormal="100" workbookViewId="0">
      <selection sqref="A1:B1"/>
    </sheetView>
  </sheetViews>
  <sheetFormatPr defaultRowHeight="15" x14ac:dyDescent="0.25"/>
  <cols>
    <col min="1" max="2" width="15.7109375" customWidth="1"/>
    <col min="4" max="4" width="16.140625" bestFit="1" customWidth="1"/>
    <col min="5" max="10" width="17.5703125" bestFit="1" customWidth="1"/>
    <col min="11" max="11" width="14.7109375" bestFit="1" customWidth="1"/>
    <col min="12" max="13" width="14.5703125" bestFit="1" customWidth="1"/>
    <col min="14" max="14" width="14.7109375" bestFit="1" customWidth="1"/>
    <col min="15" max="15" width="11.28515625" bestFit="1" customWidth="1"/>
  </cols>
  <sheetData>
    <row r="1" spans="1:15" ht="15.75" x14ac:dyDescent="0.25">
      <c r="A1" s="152" t="s">
        <v>160</v>
      </c>
      <c r="B1" s="153"/>
      <c r="D1" s="109" t="s">
        <v>2</v>
      </c>
      <c r="E1" t="s">
        <v>268</v>
      </c>
    </row>
    <row r="2" spans="1:15" x14ac:dyDescent="0.25">
      <c r="A2" s="105" t="s">
        <v>161</v>
      </c>
      <c r="B2" s="106" t="s">
        <v>308</v>
      </c>
      <c r="D2" s="109" t="s">
        <v>48</v>
      </c>
      <c r="E2" t="s">
        <v>268</v>
      </c>
    </row>
    <row r="4" spans="1:15" x14ac:dyDescent="0.25">
      <c r="A4" t="s">
        <v>110</v>
      </c>
      <c r="D4" s="109" t="s">
        <v>291</v>
      </c>
      <c r="E4" s="109" t="s">
        <v>306</v>
      </c>
    </row>
    <row r="5" spans="1:15" x14ac:dyDescent="0.25">
      <c r="D5" s="109" t="s">
        <v>213</v>
      </c>
      <c r="E5" t="s">
        <v>298</v>
      </c>
      <c r="F5" t="s">
        <v>299</v>
      </c>
      <c r="G5" t="s">
        <v>300</v>
      </c>
      <c r="H5" t="s">
        <v>301</v>
      </c>
      <c r="I5" t="s">
        <v>302</v>
      </c>
      <c r="J5" t="s">
        <v>303</v>
      </c>
      <c r="K5" t="s">
        <v>293</v>
      </c>
      <c r="L5" t="s">
        <v>294</v>
      </c>
      <c r="M5" t="s">
        <v>295</v>
      </c>
      <c r="N5" t="s">
        <v>296</v>
      </c>
      <c r="O5" t="s">
        <v>214</v>
      </c>
    </row>
    <row r="6" spans="1:15" x14ac:dyDescent="0.25">
      <c r="D6" s="70" t="s">
        <v>305</v>
      </c>
      <c r="E6" s="158">
        <v>143530</v>
      </c>
      <c r="F6" s="158">
        <v>33605</v>
      </c>
      <c r="G6" s="158">
        <v>18550</v>
      </c>
      <c r="H6" s="158">
        <v>22550</v>
      </c>
      <c r="I6" s="158">
        <v>16275</v>
      </c>
      <c r="J6" s="158">
        <v>13275</v>
      </c>
      <c r="K6" s="158">
        <v>21495</v>
      </c>
      <c r="L6" s="158">
        <v>1055</v>
      </c>
      <c r="M6" s="158">
        <v>1055</v>
      </c>
      <c r="N6" s="158">
        <v>8110</v>
      </c>
      <c r="O6" s="158">
        <v>279500</v>
      </c>
    </row>
    <row r="7" spans="1:15" x14ac:dyDescent="0.25">
      <c r="D7" s="110"/>
      <c r="E7" s="158">
        <v>143530</v>
      </c>
      <c r="F7" s="158">
        <v>33605</v>
      </c>
      <c r="G7" s="158">
        <v>18550</v>
      </c>
      <c r="H7" s="158">
        <v>22550</v>
      </c>
      <c r="I7" s="158">
        <v>16275</v>
      </c>
      <c r="J7" s="158">
        <v>13275</v>
      </c>
      <c r="K7" s="158">
        <v>21495</v>
      </c>
      <c r="L7" s="158">
        <v>1055</v>
      </c>
      <c r="M7" s="158">
        <v>1055</v>
      </c>
      <c r="N7" s="158">
        <v>8110</v>
      </c>
      <c r="O7" s="158">
        <v>279500</v>
      </c>
    </row>
    <row r="8" spans="1:15" x14ac:dyDescent="0.25">
      <c r="D8" s="70" t="s">
        <v>214</v>
      </c>
      <c r="E8" s="158">
        <v>143530</v>
      </c>
      <c r="F8" s="158">
        <v>33605</v>
      </c>
      <c r="G8" s="158">
        <v>18550</v>
      </c>
      <c r="H8" s="158">
        <v>22550</v>
      </c>
      <c r="I8" s="158">
        <v>16275</v>
      </c>
      <c r="J8" s="158">
        <v>13275</v>
      </c>
      <c r="K8" s="158">
        <v>21495</v>
      </c>
      <c r="L8" s="158">
        <v>1055</v>
      </c>
      <c r="M8" s="158">
        <v>1055</v>
      </c>
      <c r="N8" s="158">
        <v>8110</v>
      </c>
      <c r="O8" s="158">
        <v>279500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9"/>
  <sheetViews>
    <sheetView zoomScaleNormal="100" workbookViewId="0">
      <selection sqref="A1:B1"/>
    </sheetView>
  </sheetViews>
  <sheetFormatPr defaultRowHeight="15" x14ac:dyDescent="0.25"/>
  <cols>
    <col min="1" max="2" width="15.7109375" customWidth="1"/>
    <col min="4" max="4" width="26.85546875" bestFit="1" customWidth="1"/>
    <col min="5" max="5" width="12.140625" bestFit="1" customWidth="1"/>
    <col min="6" max="6" width="11.28515625" bestFit="1" customWidth="1"/>
  </cols>
  <sheetData>
    <row r="1" spans="1:5" ht="15.75" x14ac:dyDescent="0.25">
      <c r="A1" s="152" t="s">
        <v>160</v>
      </c>
      <c r="B1" s="153"/>
      <c r="D1" s="109" t="s">
        <v>2</v>
      </c>
      <c r="E1" t="s">
        <v>268</v>
      </c>
    </row>
    <row r="2" spans="1:5" x14ac:dyDescent="0.25">
      <c r="A2" s="105" t="s">
        <v>161</v>
      </c>
      <c r="B2" s="106" t="s">
        <v>318</v>
      </c>
      <c r="D2" s="109" t="s">
        <v>48</v>
      </c>
      <c r="E2" t="s">
        <v>268</v>
      </c>
    </row>
    <row r="4" spans="1:5" x14ac:dyDescent="0.25">
      <c r="A4" t="s">
        <v>112</v>
      </c>
      <c r="D4" s="109" t="s">
        <v>213</v>
      </c>
      <c r="E4" t="s">
        <v>291</v>
      </c>
    </row>
    <row r="5" spans="1:5" x14ac:dyDescent="0.25">
      <c r="D5" s="70" t="s">
        <v>311</v>
      </c>
      <c r="E5" s="158">
        <v>279500</v>
      </c>
    </row>
    <row r="6" spans="1:5" x14ac:dyDescent="0.25">
      <c r="D6" s="110" t="s">
        <v>74</v>
      </c>
      <c r="E6" s="158">
        <v>279500</v>
      </c>
    </row>
    <row r="7" spans="1:5" x14ac:dyDescent="0.25">
      <c r="D7" s="127" t="s">
        <v>74</v>
      </c>
      <c r="E7" s="158">
        <v>279500</v>
      </c>
    </row>
    <row r="8" spans="1:5" x14ac:dyDescent="0.25">
      <c r="D8" s="128" t="s">
        <v>74</v>
      </c>
      <c r="E8" s="158">
        <v>279500</v>
      </c>
    </row>
    <row r="9" spans="1:5" x14ac:dyDescent="0.25">
      <c r="D9" s="129" t="s">
        <v>298</v>
      </c>
      <c r="E9" s="158">
        <v>143530</v>
      </c>
    </row>
    <row r="10" spans="1:5" x14ac:dyDescent="0.25">
      <c r="D10" s="129" t="s">
        <v>299</v>
      </c>
      <c r="E10" s="158">
        <v>33605</v>
      </c>
    </row>
    <row r="11" spans="1:5" x14ac:dyDescent="0.25">
      <c r="D11" s="129" t="s">
        <v>300</v>
      </c>
      <c r="E11" s="158">
        <v>18550</v>
      </c>
    </row>
    <row r="12" spans="1:5" x14ac:dyDescent="0.25">
      <c r="D12" s="129" t="s">
        <v>301</v>
      </c>
      <c r="E12" s="158">
        <v>22550</v>
      </c>
    </row>
    <row r="13" spans="1:5" x14ac:dyDescent="0.25">
      <c r="D13" s="129" t="s">
        <v>302</v>
      </c>
      <c r="E13" s="158">
        <v>16275</v>
      </c>
    </row>
    <row r="14" spans="1:5" x14ac:dyDescent="0.25">
      <c r="D14" s="129" t="s">
        <v>303</v>
      </c>
      <c r="E14" s="158">
        <v>13275</v>
      </c>
    </row>
    <row r="15" spans="1:5" x14ac:dyDescent="0.25">
      <c r="D15" s="129" t="s">
        <v>293</v>
      </c>
      <c r="E15" s="158">
        <v>21495</v>
      </c>
    </row>
    <row r="16" spans="1:5" x14ac:dyDescent="0.25">
      <c r="D16" s="129" t="s">
        <v>294</v>
      </c>
      <c r="E16" s="158">
        <v>1055</v>
      </c>
    </row>
    <row r="17" spans="4:5" x14ac:dyDescent="0.25">
      <c r="D17" s="129" t="s">
        <v>295</v>
      </c>
      <c r="E17" s="158">
        <v>1055</v>
      </c>
    </row>
    <row r="18" spans="4:5" x14ac:dyDescent="0.25">
      <c r="D18" s="129" t="s">
        <v>296</v>
      </c>
      <c r="E18" s="158">
        <v>8110</v>
      </c>
    </row>
    <row r="19" spans="4:5" x14ac:dyDescent="0.25">
      <c r="D19" s="70" t="s">
        <v>214</v>
      </c>
      <c r="E19" s="158">
        <v>279500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8"/>
  <sheetViews>
    <sheetView zoomScaleNormal="100" workbookViewId="0">
      <selection sqref="A1:B1"/>
    </sheetView>
  </sheetViews>
  <sheetFormatPr defaultRowHeight="15" x14ac:dyDescent="0.25"/>
  <cols>
    <col min="1" max="2" width="15.7109375" customWidth="1"/>
    <col min="4" max="4" width="49.5703125" bestFit="1" customWidth="1"/>
    <col min="5" max="5" width="13.42578125" bestFit="1" customWidth="1"/>
  </cols>
  <sheetData>
    <row r="1" spans="1:5" ht="15.75" x14ac:dyDescent="0.25">
      <c r="A1" s="152" t="s">
        <v>160</v>
      </c>
      <c r="B1" s="153"/>
      <c r="D1" s="109" t="s">
        <v>2</v>
      </c>
      <c r="E1" t="s">
        <v>268</v>
      </c>
    </row>
    <row r="2" spans="1:5" x14ac:dyDescent="0.25">
      <c r="A2" s="105" t="s">
        <v>161</v>
      </c>
      <c r="B2" s="106" t="s">
        <v>319</v>
      </c>
      <c r="D2" s="109" t="s">
        <v>49</v>
      </c>
      <c r="E2" t="s">
        <v>268</v>
      </c>
    </row>
    <row r="4" spans="1:5" x14ac:dyDescent="0.25">
      <c r="A4" t="s">
        <v>114</v>
      </c>
      <c r="D4" s="109" t="s">
        <v>213</v>
      </c>
      <c r="E4" t="s">
        <v>310</v>
      </c>
    </row>
    <row r="5" spans="1:5" x14ac:dyDescent="0.25">
      <c r="D5" s="70" t="s">
        <v>74</v>
      </c>
      <c r="E5" s="158">
        <v>201950</v>
      </c>
    </row>
    <row r="6" spans="1:5" x14ac:dyDescent="0.25">
      <c r="D6" s="110" t="s">
        <v>74</v>
      </c>
      <c r="E6" s="158">
        <v>201950</v>
      </c>
    </row>
    <row r="7" spans="1:5" x14ac:dyDescent="0.25">
      <c r="D7" s="127"/>
      <c r="E7" s="158">
        <v>201950</v>
      </c>
    </row>
    <row r="8" spans="1:5" x14ac:dyDescent="0.25">
      <c r="D8" s="70" t="s">
        <v>214</v>
      </c>
      <c r="E8" s="158">
        <v>201950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27"/>
  <sheetViews>
    <sheetView zoomScaleNormal="100" workbookViewId="0">
      <selection sqref="A1:B1"/>
    </sheetView>
  </sheetViews>
  <sheetFormatPr defaultRowHeight="15" x14ac:dyDescent="0.25"/>
  <cols>
    <col min="1" max="2" width="15.7109375" customWidth="1"/>
    <col min="4" max="4" width="49.5703125" bestFit="1" customWidth="1"/>
    <col min="5" max="5" width="13.42578125" bestFit="1" customWidth="1"/>
    <col min="6" max="6" width="12.140625" bestFit="1" customWidth="1"/>
  </cols>
  <sheetData>
    <row r="1" spans="1:6" ht="15.75" x14ac:dyDescent="0.25">
      <c r="A1" s="152" t="s">
        <v>160</v>
      </c>
      <c r="B1" s="153"/>
      <c r="D1" s="109" t="s">
        <v>2</v>
      </c>
      <c r="E1" t="s">
        <v>268</v>
      </c>
    </row>
    <row r="2" spans="1:6" x14ac:dyDescent="0.25">
      <c r="A2" s="105" t="s">
        <v>161</v>
      </c>
      <c r="B2" s="106" t="s">
        <v>320</v>
      </c>
      <c r="D2" s="109" t="s">
        <v>49</v>
      </c>
      <c r="E2" t="s">
        <v>268</v>
      </c>
    </row>
    <row r="4" spans="1:6" x14ac:dyDescent="0.25">
      <c r="A4" t="s">
        <v>116</v>
      </c>
      <c r="D4" s="109" t="s">
        <v>213</v>
      </c>
      <c r="E4" t="s">
        <v>310</v>
      </c>
      <c r="F4" t="s">
        <v>291</v>
      </c>
    </row>
    <row r="5" spans="1:6" x14ac:dyDescent="0.25">
      <c r="D5" s="70" t="s">
        <v>74</v>
      </c>
      <c r="E5" s="158">
        <v>201950</v>
      </c>
      <c r="F5" s="158">
        <v>279500</v>
      </c>
    </row>
    <row r="6" spans="1:6" x14ac:dyDescent="0.25">
      <c r="D6" s="110" t="s">
        <v>74</v>
      </c>
      <c r="E6" s="158">
        <v>201950</v>
      </c>
      <c r="F6" s="158">
        <v>279500</v>
      </c>
    </row>
    <row r="7" spans="1:6" x14ac:dyDescent="0.25">
      <c r="D7" s="127" t="s">
        <v>298</v>
      </c>
      <c r="E7" s="158">
        <v>92889</v>
      </c>
      <c r="F7" s="158">
        <v>143530</v>
      </c>
    </row>
    <row r="8" spans="1:6" x14ac:dyDescent="0.25">
      <c r="D8" s="128" t="s">
        <v>305</v>
      </c>
      <c r="E8" s="158">
        <v>92889</v>
      </c>
      <c r="F8" s="158">
        <v>143530</v>
      </c>
    </row>
    <row r="9" spans="1:6" x14ac:dyDescent="0.25">
      <c r="D9" s="127" t="s">
        <v>299</v>
      </c>
      <c r="E9" s="158">
        <v>22225</v>
      </c>
      <c r="F9" s="158">
        <v>33605</v>
      </c>
    </row>
    <row r="10" spans="1:6" x14ac:dyDescent="0.25">
      <c r="D10" s="128" t="s">
        <v>305</v>
      </c>
      <c r="E10" s="158">
        <v>22225</v>
      </c>
      <c r="F10" s="158">
        <v>33605</v>
      </c>
    </row>
    <row r="11" spans="1:6" x14ac:dyDescent="0.25">
      <c r="D11" s="127" t="s">
        <v>300</v>
      </c>
      <c r="E11" s="158">
        <v>20193</v>
      </c>
      <c r="F11" s="158">
        <v>18550</v>
      </c>
    </row>
    <row r="12" spans="1:6" x14ac:dyDescent="0.25">
      <c r="D12" s="128" t="s">
        <v>305</v>
      </c>
      <c r="E12" s="158">
        <v>20193</v>
      </c>
      <c r="F12" s="158">
        <v>18550</v>
      </c>
    </row>
    <row r="13" spans="1:6" x14ac:dyDescent="0.25">
      <c r="D13" s="127" t="s">
        <v>301</v>
      </c>
      <c r="E13" s="158">
        <v>20191</v>
      </c>
      <c r="F13" s="158">
        <v>22550</v>
      </c>
    </row>
    <row r="14" spans="1:6" x14ac:dyDescent="0.25">
      <c r="D14" s="128" t="s">
        <v>305</v>
      </c>
      <c r="E14" s="158">
        <v>20191</v>
      </c>
      <c r="F14" s="158">
        <v>22550</v>
      </c>
    </row>
    <row r="15" spans="1:6" x14ac:dyDescent="0.25">
      <c r="D15" s="127" t="s">
        <v>302</v>
      </c>
      <c r="E15" s="158">
        <v>10103</v>
      </c>
      <c r="F15" s="158">
        <v>16275</v>
      </c>
    </row>
    <row r="16" spans="1:6" x14ac:dyDescent="0.25">
      <c r="D16" s="128" t="s">
        <v>305</v>
      </c>
      <c r="E16" s="158">
        <v>10103</v>
      </c>
      <c r="F16" s="158">
        <v>16275</v>
      </c>
    </row>
    <row r="17" spans="4:6" x14ac:dyDescent="0.25">
      <c r="D17" s="127" t="s">
        <v>303</v>
      </c>
      <c r="E17" s="158">
        <v>10092</v>
      </c>
      <c r="F17" s="158">
        <v>13275</v>
      </c>
    </row>
    <row r="18" spans="4:6" x14ac:dyDescent="0.25">
      <c r="D18" s="128" t="s">
        <v>305</v>
      </c>
      <c r="E18" s="158">
        <v>10092</v>
      </c>
      <c r="F18" s="158">
        <v>13275</v>
      </c>
    </row>
    <row r="19" spans="4:6" x14ac:dyDescent="0.25">
      <c r="D19" s="127" t="s">
        <v>293</v>
      </c>
      <c r="E19" s="158">
        <v>18174</v>
      </c>
      <c r="F19" s="158">
        <v>21495</v>
      </c>
    </row>
    <row r="20" spans="4:6" x14ac:dyDescent="0.25">
      <c r="D20" s="128" t="s">
        <v>305</v>
      </c>
      <c r="E20" s="158">
        <v>18174</v>
      </c>
      <c r="F20" s="158">
        <v>21495</v>
      </c>
    </row>
    <row r="21" spans="4:6" x14ac:dyDescent="0.25">
      <c r="D21" s="127" t="s">
        <v>294</v>
      </c>
      <c r="E21" s="158">
        <v>2016</v>
      </c>
      <c r="F21" s="158">
        <v>1055</v>
      </c>
    </row>
    <row r="22" spans="4:6" x14ac:dyDescent="0.25">
      <c r="D22" s="128" t="s">
        <v>305</v>
      </c>
      <c r="E22" s="158">
        <v>2016</v>
      </c>
      <c r="F22" s="158">
        <v>1055</v>
      </c>
    </row>
    <row r="23" spans="4:6" x14ac:dyDescent="0.25">
      <c r="D23" s="127" t="s">
        <v>295</v>
      </c>
      <c r="E23" s="158">
        <v>2023</v>
      </c>
      <c r="F23" s="158">
        <v>1055</v>
      </c>
    </row>
    <row r="24" spans="4:6" x14ac:dyDescent="0.25">
      <c r="D24" s="128" t="s">
        <v>305</v>
      </c>
      <c r="E24" s="158">
        <v>2023</v>
      </c>
      <c r="F24" s="158">
        <v>1055</v>
      </c>
    </row>
    <row r="25" spans="4:6" x14ac:dyDescent="0.25">
      <c r="D25" s="127" t="s">
        <v>296</v>
      </c>
      <c r="E25" s="158">
        <v>4044</v>
      </c>
      <c r="F25" s="158">
        <v>8110</v>
      </c>
    </row>
    <row r="26" spans="4:6" x14ac:dyDescent="0.25">
      <c r="D26" s="128" t="s">
        <v>305</v>
      </c>
      <c r="E26" s="158">
        <v>4044</v>
      </c>
      <c r="F26" s="158">
        <v>8110</v>
      </c>
    </row>
    <row r="27" spans="4:6" x14ac:dyDescent="0.25">
      <c r="D27" s="70" t="s">
        <v>214</v>
      </c>
      <c r="E27" s="158">
        <v>201950</v>
      </c>
      <c r="F27" s="158">
        <v>279500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9"/>
  <sheetViews>
    <sheetView zoomScaleNormal="100" workbookViewId="0">
      <selection activeCell="D1" sqref="D1"/>
    </sheetView>
  </sheetViews>
  <sheetFormatPr defaultRowHeight="15" x14ac:dyDescent="0.25"/>
  <cols>
    <col min="1" max="2" width="15.7109375" customWidth="1"/>
    <col min="4" max="4" width="49.5703125" bestFit="1" customWidth="1"/>
    <col min="5" max="5" width="13.42578125" bestFit="1" customWidth="1"/>
    <col min="6" max="6" width="20" bestFit="1" customWidth="1"/>
  </cols>
  <sheetData>
    <row r="1" spans="1:6" ht="15.75" x14ac:dyDescent="0.25">
      <c r="A1" s="152" t="s">
        <v>160</v>
      </c>
      <c r="B1" s="153"/>
      <c r="D1" s="109" t="s">
        <v>2</v>
      </c>
      <c r="E1" t="s">
        <v>268</v>
      </c>
    </row>
    <row r="2" spans="1:6" x14ac:dyDescent="0.25">
      <c r="A2" s="105" t="s">
        <v>161</v>
      </c>
      <c r="B2" s="106" t="s">
        <v>304</v>
      </c>
      <c r="D2" s="109" t="s">
        <v>49</v>
      </c>
      <c r="E2" t="s">
        <v>268</v>
      </c>
    </row>
    <row r="4" spans="1:6" x14ac:dyDescent="0.25">
      <c r="A4" t="s">
        <v>120</v>
      </c>
      <c r="D4" s="109" t="s">
        <v>213</v>
      </c>
      <c r="E4" t="s">
        <v>310</v>
      </c>
      <c r="F4" t="s">
        <v>312</v>
      </c>
    </row>
    <row r="5" spans="1:6" x14ac:dyDescent="0.25">
      <c r="D5" s="70" t="s">
        <v>74</v>
      </c>
      <c r="E5" s="158">
        <v>201950</v>
      </c>
      <c r="F5" s="158">
        <v>100</v>
      </c>
    </row>
    <row r="6" spans="1:6" x14ac:dyDescent="0.25">
      <c r="D6" s="110" t="s">
        <v>74</v>
      </c>
      <c r="E6" s="158">
        <v>201950</v>
      </c>
      <c r="F6" s="158">
        <v>100</v>
      </c>
    </row>
    <row r="7" spans="1:6" x14ac:dyDescent="0.25">
      <c r="D7" s="127" t="s">
        <v>74</v>
      </c>
      <c r="E7" s="158">
        <v>201950</v>
      </c>
      <c r="F7" s="158">
        <v>100</v>
      </c>
    </row>
    <row r="8" spans="1:6" x14ac:dyDescent="0.25">
      <c r="D8" s="128" t="s">
        <v>305</v>
      </c>
      <c r="E8" s="158">
        <v>201950</v>
      </c>
      <c r="F8" s="158">
        <v>100</v>
      </c>
    </row>
    <row r="9" spans="1:6" x14ac:dyDescent="0.25">
      <c r="D9" s="70" t="s">
        <v>214</v>
      </c>
      <c r="E9" s="158">
        <v>201950</v>
      </c>
      <c r="F9" s="158">
        <v>100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26"/>
  <sheetViews>
    <sheetView zoomScaleNormal="100" workbookViewId="0">
      <selection sqref="A1:B1"/>
    </sheetView>
  </sheetViews>
  <sheetFormatPr defaultRowHeight="15" x14ac:dyDescent="0.25"/>
  <cols>
    <col min="1" max="2" width="15.7109375" customWidth="1"/>
    <col min="4" max="4" width="21.28515625" bestFit="1" customWidth="1"/>
    <col min="5" max="5" width="12.140625" bestFit="1" customWidth="1"/>
    <col min="6" max="7" width="11.85546875" bestFit="1" customWidth="1"/>
  </cols>
  <sheetData>
    <row r="1" spans="1:6" ht="15.75" x14ac:dyDescent="0.25">
      <c r="A1" s="152" t="s">
        <v>160</v>
      </c>
      <c r="B1" s="153"/>
      <c r="D1" s="109" t="s">
        <v>2</v>
      </c>
      <c r="E1" t="s">
        <v>268</v>
      </c>
    </row>
    <row r="2" spans="1:6" x14ac:dyDescent="0.25">
      <c r="A2" s="105" t="s">
        <v>161</v>
      </c>
      <c r="B2" s="106" t="s">
        <v>304</v>
      </c>
      <c r="D2" s="109" t="s">
        <v>48</v>
      </c>
      <c r="E2" t="s">
        <v>268</v>
      </c>
    </row>
    <row r="4" spans="1:6" x14ac:dyDescent="0.25">
      <c r="A4" t="s">
        <v>122</v>
      </c>
      <c r="D4" s="109" t="s">
        <v>213</v>
      </c>
      <c r="E4" t="s">
        <v>291</v>
      </c>
      <c r="F4" t="s">
        <v>269</v>
      </c>
    </row>
    <row r="5" spans="1:6" x14ac:dyDescent="0.25">
      <c r="D5" s="70" t="s">
        <v>305</v>
      </c>
      <c r="E5" s="158">
        <v>279500</v>
      </c>
      <c r="F5" s="158">
        <v>27500</v>
      </c>
    </row>
    <row r="6" spans="1:6" x14ac:dyDescent="0.25">
      <c r="D6" s="110" t="s">
        <v>298</v>
      </c>
      <c r="E6" s="158">
        <v>143530</v>
      </c>
      <c r="F6" s="158">
        <v>14146</v>
      </c>
    </row>
    <row r="7" spans="1:6" x14ac:dyDescent="0.25">
      <c r="D7" s="127"/>
      <c r="E7" s="158">
        <v>143530</v>
      </c>
      <c r="F7" s="158">
        <v>14146</v>
      </c>
    </row>
    <row r="8" spans="1:6" x14ac:dyDescent="0.25">
      <c r="D8" s="110" t="s">
        <v>299</v>
      </c>
      <c r="E8" s="158">
        <v>33605</v>
      </c>
      <c r="F8" s="158">
        <v>3311</v>
      </c>
    </row>
    <row r="9" spans="1:6" x14ac:dyDescent="0.25">
      <c r="D9" s="127"/>
      <c r="E9" s="158">
        <v>33605</v>
      </c>
      <c r="F9" s="158">
        <v>3311</v>
      </c>
    </row>
    <row r="10" spans="1:6" x14ac:dyDescent="0.25">
      <c r="D10" s="110" t="s">
        <v>300</v>
      </c>
      <c r="E10" s="158">
        <v>18550</v>
      </c>
      <c r="F10" s="158">
        <v>1810</v>
      </c>
    </row>
    <row r="11" spans="1:6" x14ac:dyDescent="0.25">
      <c r="D11" s="127"/>
      <c r="E11" s="158">
        <v>18550</v>
      </c>
      <c r="F11" s="158">
        <v>1810</v>
      </c>
    </row>
    <row r="12" spans="1:6" x14ac:dyDescent="0.25">
      <c r="D12" s="110" t="s">
        <v>301</v>
      </c>
      <c r="E12" s="158">
        <v>22550</v>
      </c>
      <c r="F12" s="158">
        <v>2210</v>
      </c>
    </row>
    <row r="13" spans="1:6" x14ac:dyDescent="0.25">
      <c r="D13" s="127"/>
      <c r="E13" s="158">
        <v>22550</v>
      </c>
      <c r="F13" s="158">
        <v>2210</v>
      </c>
    </row>
    <row r="14" spans="1:6" x14ac:dyDescent="0.25">
      <c r="D14" s="110" t="s">
        <v>302</v>
      </c>
      <c r="E14" s="158">
        <v>16275</v>
      </c>
      <c r="F14" s="158">
        <v>1605</v>
      </c>
    </row>
    <row r="15" spans="1:6" x14ac:dyDescent="0.25">
      <c r="D15" s="127"/>
      <c r="E15" s="158">
        <v>16275</v>
      </c>
      <c r="F15" s="158">
        <v>1605</v>
      </c>
    </row>
    <row r="16" spans="1:6" x14ac:dyDescent="0.25">
      <c r="D16" s="110" t="s">
        <v>303</v>
      </c>
      <c r="E16" s="158">
        <v>13275</v>
      </c>
      <c r="F16" s="158">
        <v>1305</v>
      </c>
    </row>
    <row r="17" spans="4:6" x14ac:dyDescent="0.25">
      <c r="D17" s="127"/>
      <c r="E17" s="158">
        <v>13275</v>
      </c>
      <c r="F17" s="158">
        <v>1305</v>
      </c>
    </row>
    <row r="18" spans="4:6" x14ac:dyDescent="0.25">
      <c r="D18" s="110" t="s">
        <v>293</v>
      </c>
      <c r="E18" s="158">
        <v>21495</v>
      </c>
      <c r="F18" s="158">
        <v>2109</v>
      </c>
    </row>
    <row r="19" spans="4:6" x14ac:dyDescent="0.25">
      <c r="D19" s="127"/>
      <c r="E19" s="158">
        <v>21495</v>
      </c>
      <c r="F19" s="158">
        <v>2109</v>
      </c>
    </row>
    <row r="20" spans="4:6" x14ac:dyDescent="0.25">
      <c r="D20" s="110" t="s">
        <v>294</v>
      </c>
      <c r="E20" s="158">
        <v>1055</v>
      </c>
      <c r="F20" s="158">
        <v>101</v>
      </c>
    </row>
    <row r="21" spans="4:6" x14ac:dyDescent="0.25">
      <c r="D21" s="127"/>
      <c r="E21" s="158">
        <v>1055</v>
      </c>
      <c r="F21" s="158">
        <v>101</v>
      </c>
    </row>
    <row r="22" spans="4:6" x14ac:dyDescent="0.25">
      <c r="D22" s="110" t="s">
        <v>295</v>
      </c>
      <c r="E22" s="158">
        <v>1055</v>
      </c>
      <c r="F22" s="158">
        <v>101</v>
      </c>
    </row>
    <row r="23" spans="4:6" x14ac:dyDescent="0.25">
      <c r="D23" s="127"/>
      <c r="E23" s="158">
        <v>1055</v>
      </c>
      <c r="F23" s="158">
        <v>101</v>
      </c>
    </row>
    <row r="24" spans="4:6" x14ac:dyDescent="0.25">
      <c r="D24" s="110" t="s">
        <v>296</v>
      </c>
      <c r="E24" s="158">
        <v>8110</v>
      </c>
      <c r="F24" s="158">
        <v>802</v>
      </c>
    </row>
    <row r="25" spans="4:6" x14ac:dyDescent="0.25">
      <c r="D25" s="127"/>
      <c r="E25" s="158">
        <v>8110</v>
      </c>
      <c r="F25" s="158">
        <v>802</v>
      </c>
    </row>
    <row r="26" spans="4:6" x14ac:dyDescent="0.25">
      <c r="D26" s="70" t="s">
        <v>214</v>
      </c>
      <c r="E26" s="158">
        <v>279500</v>
      </c>
      <c r="F26" s="158">
        <v>27500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9"/>
  <sheetViews>
    <sheetView zoomScaleNormal="100" workbookViewId="0">
      <selection sqref="A1:B1"/>
    </sheetView>
  </sheetViews>
  <sheetFormatPr defaultRowHeight="15" x14ac:dyDescent="0.25"/>
  <cols>
    <col min="1" max="2" width="15.7109375" customWidth="1"/>
    <col min="4" max="4" width="18.140625" bestFit="1" customWidth="1"/>
    <col min="5" max="5" width="16.28515625" bestFit="1" customWidth="1"/>
    <col min="6" max="6" width="12.140625" bestFit="1" customWidth="1"/>
    <col min="7" max="7" width="11.28515625" bestFit="1" customWidth="1"/>
  </cols>
  <sheetData>
    <row r="1" spans="1:7" ht="15.75" x14ac:dyDescent="0.25">
      <c r="A1" s="152" t="s">
        <v>160</v>
      </c>
      <c r="B1" s="153"/>
      <c r="D1" s="109" t="s">
        <v>2</v>
      </c>
      <c r="E1" t="s">
        <v>268</v>
      </c>
    </row>
    <row r="2" spans="1:7" x14ac:dyDescent="0.25">
      <c r="A2" s="105" t="s">
        <v>161</v>
      </c>
      <c r="B2" s="106" t="s">
        <v>321</v>
      </c>
      <c r="D2" s="109" t="s">
        <v>48</v>
      </c>
      <c r="E2" t="s">
        <v>268</v>
      </c>
    </row>
    <row r="4" spans="1:7" x14ac:dyDescent="0.25">
      <c r="A4" t="s">
        <v>124</v>
      </c>
      <c r="D4" s="109" t="s">
        <v>313</v>
      </c>
      <c r="E4" s="109" t="s">
        <v>306</v>
      </c>
    </row>
    <row r="5" spans="1:7" x14ac:dyDescent="0.25">
      <c r="E5" t="s">
        <v>305</v>
      </c>
      <c r="F5" t="s">
        <v>314</v>
      </c>
      <c r="G5" t="s">
        <v>214</v>
      </c>
    </row>
    <row r="6" spans="1:7" x14ac:dyDescent="0.25">
      <c r="D6" s="109" t="s">
        <v>213</v>
      </c>
      <c r="E6" t="s">
        <v>311</v>
      </c>
    </row>
    <row r="7" spans="1:7" x14ac:dyDescent="0.25">
      <c r="D7" s="70" t="s">
        <v>74</v>
      </c>
      <c r="E7" s="158">
        <v>100</v>
      </c>
      <c r="F7" s="158">
        <v>100</v>
      </c>
      <c r="G7" s="158">
        <v>100</v>
      </c>
    </row>
    <row r="8" spans="1:7" x14ac:dyDescent="0.25">
      <c r="D8" s="110"/>
      <c r="E8" s="158">
        <v>100</v>
      </c>
      <c r="F8" s="158">
        <v>100</v>
      </c>
      <c r="G8" s="158">
        <v>100</v>
      </c>
    </row>
    <row r="9" spans="1:7" x14ac:dyDescent="0.25">
      <c r="D9" s="70" t="s">
        <v>214</v>
      </c>
      <c r="E9" s="158">
        <v>100</v>
      </c>
      <c r="F9" s="158">
        <v>100</v>
      </c>
      <c r="G9" s="158">
        <v>100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15"/>
  <sheetViews>
    <sheetView zoomScaleNormal="100" workbookViewId="0">
      <selection sqref="A1:B1"/>
    </sheetView>
  </sheetViews>
  <sheetFormatPr defaultRowHeight="15" x14ac:dyDescent="0.25"/>
  <cols>
    <col min="1" max="2" width="15.7109375" customWidth="1"/>
    <col min="4" max="4" width="16.140625" bestFit="1" customWidth="1"/>
    <col min="5" max="6" width="23.5703125" bestFit="1" customWidth="1"/>
  </cols>
  <sheetData>
    <row r="1" spans="1:5" ht="15.75" x14ac:dyDescent="0.25">
      <c r="A1" s="152" t="s">
        <v>160</v>
      </c>
      <c r="B1" s="153"/>
      <c r="D1" s="109" t="s">
        <v>2</v>
      </c>
      <c r="E1" t="s">
        <v>268</v>
      </c>
    </row>
    <row r="2" spans="1:5" x14ac:dyDescent="0.25">
      <c r="A2" s="105" t="s">
        <v>161</v>
      </c>
      <c r="B2" s="106" t="s">
        <v>322</v>
      </c>
      <c r="D2" s="109" t="s">
        <v>48</v>
      </c>
      <c r="E2" t="s">
        <v>268</v>
      </c>
    </row>
    <row r="3" spans="1:5" x14ac:dyDescent="0.25">
      <c r="D3" s="109" t="s">
        <v>4</v>
      </c>
      <c r="E3" t="s">
        <v>268</v>
      </c>
    </row>
    <row r="4" spans="1:5" x14ac:dyDescent="0.25">
      <c r="A4" t="s">
        <v>126</v>
      </c>
    </row>
    <row r="5" spans="1:5" x14ac:dyDescent="0.25">
      <c r="D5" s="109" t="s">
        <v>213</v>
      </c>
      <c r="E5" t="s">
        <v>315</v>
      </c>
    </row>
    <row r="6" spans="1:5" x14ac:dyDescent="0.25">
      <c r="D6" s="70" t="s">
        <v>292</v>
      </c>
      <c r="E6" s="158">
        <v>13014</v>
      </c>
    </row>
    <row r="7" spans="1:5" x14ac:dyDescent="0.25">
      <c r="D7" s="110" t="s">
        <v>74</v>
      </c>
      <c r="E7" s="158">
        <v>13014</v>
      </c>
    </row>
    <row r="8" spans="1:5" x14ac:dyDescent="0.25">
      <c r="D8" s="127" t="s">
        <v>311</v>
      </c>
      <c r="E8" s="158">
        <v>13014</v>
      </c>
    </row>
    <row r="9" spans="1:5" x14ac:dyDescent="0.25">
      <c r="D9" s="128" t="s">
        <v>305</v>
      </c>
      <c r="E9" s="158">
        <v>13014</v>
      </c>
    </row>
    <row r="10" spans="1:5" x14ac:dyDescent="0.25">
      <c r="D10" s="70" t="s">
        <v>180</v>
      </c>
      <c r="E10" s="158">
        <v>15286</v>
      </c>
    </row>
    <row r="11" spans="1:5" x14ac:dyDescent="0.25">
      <c r="D11" s="110" t="s">
        <v>74</v>
      </c>
      <c r="E11" s="158">
        <v>15286</v>
      </c>
    </row>
    <row r="12" spans="1:5" x14ac:dyDescent="0.25">
      <c r="D12" s="127" t="s">
        <v>311</v>
      </c>
      <c r="E12" s="158">
        <v>15286</v>
      </c>
    </row>
    <row r="13" spans="1:5" x14ac:dyDescent="0.25">
      <c r="D13" s="128"/>
      <c r="E13" s="158">
        <v>9</v>
      </c>
    </row>
    <row r="14" spans="1:5" x14ac:dyDescent="0.25">
      <c r="D14" s="128" t="s">
        <v>305</v>
      </c>
      <c r="E14" s="158">
        <v>15277</v>
      </c>
    </row>
    <row r="15" spans="1:5" x14ac:dyDescent="0.25">
      <c r="D15" s="70" t="s">
        <v>214</v>
      </c>
      <c r="E15" s="158">
        <v>28300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T17"/>
  <sheetViews>
    <sheetView zoomScaleNormal="100" workbookViewId="0">
      <selection sqref="A1:B1"/>
    </sheetView>
  </sheetViews>
  <sheetFormatPr defaultRowHeight="15" x14ac:dyDescent="0.25"/>
  <cols>
    <col min="1" max="2" width="15.7109375" customWidth="1"/>
    <col min="4" max="4" width="17.42578125" bestFit="1" customWidth="1"/>
    <col min="5" max="5" width="16.28515625" bestFit="1" customWidth="1"/>
    <col min="6" max="11" width="5" bestFit="1" customWidth="1"/>
    <col min="12" max="12" width="11.5703125" bestFit="1" customWidth="1"/>
    <col min="13" max="18" width="5" bestFit="1" customWidth="1"/>
    <col min="19" max="19" width="16.85546875" bestFit="1" customWidth="1"/>
    <col min="20" max="20" width="16.5703125" bestFit="1" customWidth="1"/>
  </cols>
  <sheetData>
    <row r="1" spans="1:20" ht="15.75" x14ac:dyDescent="0.25">
      <c r="A1" s="152" t="s">
        <v>160</v>
      </c>
      <c r="B1" s="153"/>
      <c r="D1" s="109" t="s">
        <v>2</v>
      </c>
      <c r="E1" t="s">
        <v>268</v>
      </c>
    </row>
    <row r="2" spans="1:20" x14ac:dyDescent="0.25">
      <c r="A2" s="105" t="s">
        <v>161</v>
      </c>
      <c r="B2" s="106" t="s">
        <v>323</v>
      </c>
      <c r="D2" s="109" t="s">
        <v>51</v>
      </c>
      <c r="E2" t="s">
        <v>268</v>
      </c>
    </row>
    <row r="4" spans="1:20" x14ac:dyDescent="0.25">
      <c r="A4" t="s">
        <v>128</v>
      </c>
      <c r="E4" s="109" t="s">
        <v>306</v>
      </c>
    </row>
    <row r="5" spans="1:20" x14ac:dyDescent="0.25">
      <c r="E5" t="s">
        <v>269</v>
      </c>
      <c r="L5" t="s">
        <v>270</v>
      </c>
      <c r="S5" t="s">
        <v>316</v>
      </c>
      <c r="T5" t="s">
        <v>317</v>
      </c>
    </row>
    <row r="6" spans="1:20" x14ac:dyDescent="0.25">
      <c r="D6" s="109" t="s">
        <v>213</v>
      </c>
      <c r="E6">
        <v>55</v>
      </c>
      <c r="F6">
        <v>1055</v>
      </c>
      <c r="G6">
        <v>2055</v>
      </c>
      <c r="H6">
        <v>3055</v>
      </c>
      <c r="I6">
        <v>4055</v>
      </c>
      <c r="J6">
        <v>5055</v>
      </c>
      <c r="K6">
        <v>6055</v>
      </c>
      <c r="L6">
        <v>55</v>
      </c>
      <c r="M6">
        <v>1055</v>
      </c>
      <c r="N6">
        <v>2055</v>
      </c>
      <c r="O6">
        <v>3055</v>
      </c>
      <c r="P6">
        <v>4055</v>
      </c>
      <c r="Q6">
        <v>5055</v>
      </c>
      <c r="R6">
        <v>6055</v>
      </c>
    </row>
    <row r="7" spans="1:20" x14ac:dyDescent="0.25">
      <c r="D7" s="70" t="s">
        <v>298</v>
      </c>
      <c r="E7" s="158">
        <v>8</v>
      </c>
      <c r="F7" s="158">
        <v>505</v>
      </c>
      <c r="G7" s="158">
        <v>603</v>
      </c>
      <c r="H7" s="158">
        <v>2709</v>
      </c>
      <c r="I7" s="158">
        <v>3208</v>
      </c>
      <c r="J7" s="158">
        <v>3507</v>
      </c>
      <c r="K7" s="158">
        <v>3606</v>
      </c>
      <c r="L7" s="158">
        <v>16</v>
      </c>
      <c r="M7" s="158">
        <v>510</v>
      </c>
      <c r="N7" s="158">
        <v>606</v>
      </c>
      <c r="O7" s="158">
        <v>2718</v>
      </c>
      <c r="P7" s="158">
        <v>3216</v>
      </c>
      <c r="Q7" s="158">
        <v>3514</v>
      </c>
      <c r="R7" s="158">
        <v>3612</v>
      </c>
      <c r="S7" s="158">
        <v>14146</v>
      </c>
      <c r="T7" s="158">
        <v>14192</v>
      </c>
    </row>
    <row r="8" spans="1:20" x14ac:dyDescent="0.25">
      <c r="D8" s="70" t="s">
        <v>299</v>
      </c>
      <c r="E8" s="158">
        <v>1</v>
      </c>
      <c r="F8" s="158">
        <v>101</v>
      </c>
      <c r="G8" s="158">
        <v>804</v>
      </c>
      <c r="H8" s="158"/>
      <c r="I8" s="158">
        <v>802</v>
      </c>
      <c r="J8" s="158">
        <v>1002</v>
      </c>
      <c r="K8" s="158">
        <v>601</v>
      </c>
      <c r="L8" s="158">
        <v>2</v>
      </c>
      <c r="M8" s="158">
        <v>102</v>
      </c>
      <c r="N8" s="158">
        <v>808</v>
      </c>
      <c r="O8" s="158"/>
      <c r="P8" s="158">
        <v>804</v>
      </c>
      <c r="Q8" s="158">
        <v>1004</v>
      </c>
      <c r="R8" s="158">
        <v>602</v>
      </c>
      <c r="S8" s="158">
        <v>3311</v>
      </c>
      <c r="T8" s="158">
        <v>3322</v>
      </c>
    </row>
    <row r="9" spans="1:20" x14ac:dyDescent="0.25">
      <c r="D9" s="70" t="s">
        <v>300</v>
      </c>
      <c r="E9" s="158">
        <v>1</v>
      </c>
      <c r="F9" s="158">
        <v>202</v>
      </c>
      <c r="G9" s="158">
        <v>1005</v>
      </c>
      <c r="H9" s="158">
        <v>602</v>
      </c>
      <c r="I9" s="158"/>
      <c r="J9" s="158"/>
      <c r="K9" s="158"/>
      <c r="L9" s="158">
        <v>2</v>
      </c>
      <c r="M9" s="158">
        <v>204</v>
      </c>
      <c r="N9" s="158">
        <v>1010</v>
      </c>
      <c r="O9" s="158">
        <v>604</v>
      </c>
      <c r="P9" s="158"/>
      <c r="Q9" s="158"/>
      <c r="R9" s="158"/>
      <c r="S9" s="158">
        <v>1810</v>
      </c>
      <c r="T9" s="158">
        <v>1820</v>
      </c>
    </row>
    <row r="10" spans="1:20" x14ac:dyDescent="0.25">
      <c r="D10" s="70" t="s">
        <v>301</v>
      </c>
      <c r="E10" s="158">
        <v>1</v>
      </c>
      <c r="F10" s="158">
        <v>404</v>
      </c>
      <c r="G10" s="158">
        <v>402</v>
      </c>
      <c r="H10" s="158">
        <v>301</v>
      </c>
      <c r="I10" s="158"/>
      <c r="J10" s="158">
        <v>501</v>
      </c>
      <c r="K10" s="158">
        <v>601</v>
      </c>
      <c r="L10" s="158">
        <v>2</v>
      </c>
      <c r="M10" s="158">
        <v>408</v>
      </c>
      <c r="N10" s="158">
        <v>404</v>
      </c>
      <c r="O10" s="158">
        <v>302</v>
      </c>
      <c r="P10" s="158"/>
      <c r="Q10" s="158">
        <v>502</v>
      </c>
      <c r="R10" s="158">
        <v>602</v>
      </c>
      <c r="S10" s="158">
        <v>2210</v>
      </c>
      <c r="T10" s="158">
        <v>2220</v>
      </c>
    </row>
    <row r="11" spans="1:20" x14ac:dyDescent="0.25">
      <c r="D11" s="70" t="s">
        <v>302</v>
      </c>
      <c r="E11" s="158">
        <v>1</v>
      </c>
      <c r="F11" s="158"/>
      <c r="G11" s="158"/>
      <c r="H11" s="158">
        <v>602</v>
      </c>
      <c r="I11" s="158">
        <v>401</v>
      </c>
      <c r="J11" s="158"/>
      <c r="K11" s="158">
        <v>601</v>
      </c>
      <c r="L11" s="158">
        <v>2</v>
      </c>
      <c r="M11" s="158"/>
      <c r="N11" s="158"/>
      <c r="O11" s="158">
        <v>604</v>
      </c>
      <c r="P11" s="158">
        <v>402</v>
      </c>
      <c r="Q11" s="158"/>
      <c r="R11" s="158">
        <v>602</v>
      </c>
      <c r="S11" s="158">
        <v>1605</v>
      </c>
      <c r="T11" s="158">
        <v>1610</v>
      </c>
    </row>
    <row r="12" spans="1:20" x14ac:dyDescent="0.25">
      <c r="D12" s="70" t="s">
        <v>303</v>
      </c>
      <c r="E12" s="158">
        <v>2</v>
      </c>
      <c r="F12" s="158"/>
      <c r="G12" s="158"/>
      <c r="H12" s="158"/>
      <c r="I12" s="158">
        <v>802</v>
      </c>
      <c r="J12" s="158">
        <v>501</v>
      </c>
      <c r="K12" s="158"/>
      <c r="L12" s="158">
        <v>4</v>
      </c>
      <c r="M12" s="158"/>
      <c r="N12" s="158"/>
      <c r="O12" s="158"/>
      <c r="P12" s="158">
        <v>804</v>
      </c>
      <c r="Q12" s="158">
        <v>502</v>
      </c>
      <c r="R12" s="158"/>
      <c r="S12" s="158">
        <v>1305</v>
      </c>
      <c r="T12" s="158">
        <v>1310</v>
      </c>
    </row>
    <row r="13" spans="1:20" x14ac:dyDescent="0.25">
      <c r="D13" s="70" t="s">
        <v>293</v>
      </c>
      <c r="E13" s="158">
        <v>2</v>
      </c>
      <c r="F13" s="158">
        <v>202</v>
      </c>
      <c r="G13" s="158">
        <v>402</v>
      </c>
      <c r="H13" s="158"/>
      <c r="I13" s="158">
        <v>401</v>
      </c>
      <c r="J13" s="158">
        <v>501</v>
      </c>
      <c r="K13" s="158">
        <v>601</v>
      </c>
      <c r="L13" s="158">
        <v>4</v>
      </c>
      <c r="M13" s="158">
        <v>204</v>
      </c>
      <c r="N13" s="158">
        <v>404</v>
      </c>
      <c r="O13" s="158"/>
      <c r="P13" s="158">
        <v>402</v>
      </c>
      <c r="Q13" s="158">
        <v>502</v>
      </c>
      <c r="R13" s="158">
        <v>602</v>
      </c>
      <c r="S13" s="158">
        <v>2109</v>
      </c>
      <c r="T13" s="158">
        <v>2118</v>
      </c>
    </row>
    <row r="14" spans="1:20" x14ac:dyDescent="0.25">
      <c r="D14" s="70" t="s">
        <v>294</v>
      </c>
      <c r="E14" s="158"/>
      <c r="F14" s="158">
        <v>101</v>
      </c>
      <c r="G14" s="158"/>
      <c r="H14" s="158"/>
      <c r="I14" s="158"/>
      <c r="J14" s="158"/>
      <c r="K14" s="158"/>
      <c r="L14" s="158"/>
      <c r="M14" s="158">
        <v>102</v>
      </c>
      <c r="N14" s="158"/>
      <c r="O14" s="158"/>
      <c r="P14" s="158"/>
      <c r="Q14" s="158"/>
      <c r="R14" s="158"/>
      <c r="S14" s="158">
        <v>101</v>
      </c>
      <c r="T14" s="158">
        <v>102</v>
      </c>
    </row>
    <row r="15" spans="1:20" x14ac:dyDescent="0.25">
      <c r="D15" s="70" t="s">
        <v>295</v>
      </c>
      <c r="E15" s="158"/>
      <c r="F15" s="158">
        <v>101</v>
      </c>
      <c r="G15" s="158"/>
      <c r="H15" s="158"/>
      <c r="I15" s="158"/>
      <c r="J15" s="158"/>
      <c r="K15" s="158"/>
      <c r="L15" s="158"/>
      <c r="M15" s="158">
        <v>102</v>
      </c>
      <c r="N15" s="158"/>
      <c r="O15" s="158"/>
      <c r="P15" s="158"/>
      <c r="Q15" s="158"/>
      <c r="R15" s="158"/>
      <c r="S15" s="158">
        <v>101</v>
      </c>
      <c r="T15" s="158">
        <v>102</v>
      </c>
    </row>
    <row r="16" spans="1:20" x14ac:dyDescent="0.25">
      <c r="D16" s="70" t="s">
        <v>296</v>
      </c>
      <c r="E16" s="158"/>
      <c r="F16" s="158"/>
      <c r="G16" s="158"/>
      <c r="H16" s="158">
        <v>301</v>
      </c>
      <c r="I16" s="158"/>
      <c r="J16" s="158">
        <v>501</v>
      </c>
      <c r="K16" s="158"/>
      <c r="L16" s="158"/>
      <c r="M16" s="158"/>
      <c r="N16" s="158"/>
      <c r="O16" s="158">
        <v>302</v>
      </c>
      <c r="P16" s="158"/>
      <c r="Q16" s="158">
        <v>502</v>
      </c>
      <c r="R16" s="158"/>
      <c r="S16" s="158">
        <v>802</v>
      </c>
      <c r="T16" s="158">
        <v>804</v>
      </c>
    </row>
    <row r="17" spans="4:20" x14ac:dyDescent="0.25">
      <c r="D17" s="70" t="s">
        <v>214</v>
      </c>
      <c r="E17" s="158">
        <v>16</v>
      </c>
      <c r="F17" s="158">
        <v>1616</v>
      </c>
      <c r="G17" s="158">
        <v>3216</v>
      </c>
      <c r="H17" s="158">
        <v>4515</v>
      </c>
      <c r="I17" s="158">
        <v>5614</v>
      </c>
      <c r="J17" s="158">
        <v>6513</v>
      </c>
      <c r="K17" s="158">
        <v>6010</v>
      </c>
      <c r="L17" s="158">
        <v>32</v>
      </c>
      <c r="M17" s="158">
        <v>1632</v>
      </c>
      <c r="N17" s="158">
        <v>3232</v>
      </c>
      <c r="O17" s="158">
        <v>4530</v>
      </c>
      <c r="P17" s="158">
        <v>5628</v>
      </c>
      <c r="Q17" s="158">
        <v>6526</v>
      </c>
      <c r="R17" s="158">
        <v>6020</v>
      </c>
      <c r="S17" s="158">
        <v>27500</v>
      </c>
      <c r="T17" s="158">
        <v>27600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15"/>
  <sheetViews>
    <sheetView zoomScaleNormal="100" workbookViewId="0">
      <selection sqref="A1:B1"/>
    </sheetView>
  </sheetViews>
  <sheetFormatPr defaultRowHeight="15" x14ac:dyDescent="0.25"/>
  <cols>
    <col min="1" max="2" width="15.7109375" customWidth="1"/>
    <col min="4" max="4" width="16.140625" bestFit="1" customWidth="1"/>
    <col min="5" max="5" width="23.5703125" bestFit="1" customWidth="1"/>
  </cols>
  <sheetData>
    <row r="1" spans="1:5" ht="15.75" x14ac:dyDescent="0.25">
      <c r="A1" s="152" t="s">
        <v>160</v>
      </c>
      <c r="B1" s="153"/>
      <c r="D1" s="109" t="s">
        <v>2</v>
      </c>
      <c r="E1" t="s">
        <v>268</v>
      </c>
    </row>
    <row r="2" spans="1:5" x14ac:dyDescent="0.25">
      <c r="A2" s="105" t="s">
        <v>161</v>
      </c>
      <c r="B2" s="106" t="s">
        <v>324</v>
      </c>
      <c r="D2" s="109" t="s">
        <v>51</v>
      </c>
      <c r="E2" t="s">
        <v>268</v>
      </c>
    </row>
    <row r="4" spans="1:5" x14ac:dyDescent="0.25">
      <c r="A4" t="s">
        <v>130</v>
      </c>
      <c r="D4" s="109" t="s">
        <v>213</v>
      </c>
      <c r="E4" t="s">
        <v>315</v>
      </c>
    </row>
    <row r="5" spans="1:5" x14ac:dyDescent="0.25">
      <c r="D5" s="70" t="s">
        <v>74</v>
      </c>
      <c r="E5" s="158">
        <v>9</v>
      </c>
    </row>
    <row r="6" spans="1:5" x14ac:dyDescent="0.25">
      <c r="D6" s="110" t="s">
        <v>74</v>
      </c>
      <c r="E6" s="158">
        <v>9</v>
      </c>
    </row>
    <row r="7" spans="1:5" x14ac:dyDescent="0.25">
      <c r="D7" s="127" t="s">
        <v>311</v>
      </c>
      <c r="E7" s="158">
        <v>9</v>
      </c>
    </row>
    <row r="8" spans="1:5" x14ac:dyDescent="0.25">
      <c r="D8" s="128" t="s">
        <v>74</v>
      </c>
      <c r="E8" s="158">
        <v>9</v>
      </c>
    </row>
    <row r="9" spans="1:5" x14ac:dyDescent="0.25">
      <c r="D9" s="129"/>
      <c r="E9" s="158">
        <v>9</v>
      </c>
    </row>
    <row r="10" spans="1:5" x14ac:dyDescent="0.25">
      <c r="D10" s="70" t="s">
        <v>305</v>
      </c>
      <c r="E10" s="158">
        <v>28291</v>
      </c>
    </row>
    <row r="11" spans="1:5" x14ac:dyDescent="0.25">
      <c r="D11" s="110" t="s">
        <v>74</v>
      </c>
      <c r="E11" s="158">
        <v>28291</v>
      </c>
    </row>
    <row r="12" spans="1:5" x14ac:dyDescent="0.25">
      <c r="D12" s="127" t="s">
        <v>311</v>
      </c>
      <c r="E12" s="158">
        <v>28291</v>
      </c>
    </row>
    <row r="13" spans="1:5" x14ac:dyDescent="0.25">
      <c r="D13" s="128" t="s">
        <v>74</v>
      </c>
      <c r="E13" s="158">
        <v>28291</v>
      </c>
    </row>
    <row r="14" spans="1:5" x14ac:dyDescent="0.25">
      <c r="D14" s="129"/>
      <c r="E14" s="158">
        <v>28291</v>
      </c>
    </row>
    <row r="15" spans="1:5" x14ac:dyDescent="0.25">
      <c r="D15" s="70" t="s">
        <v>214</v>
      </c>
      <c r="E15" s="158">
        <v>28300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15"/>
  <sheetViews>
    <sheetView zoomScaleNormal="100" workbookViewId="0">
      <selection activeCell="B2" sqref="B2"/>
    </sheetView>
  </sheetViews>
  <sheetFormatPr defaultRowHeight="15" x14ac:dyDescent="0.25"/>
  <cols>
    <col min="1" max="2" width="15.7109375" customWidth="1"/>
    <col min="4" max="4" width="16.140625" bestFit="1" customWidth="1"/>
    <col min="5" max="5" width="23.5703125" bestFit="1" customWidth="1"/>
  </cols>
  <sheetData>
    <row r="1" spans="1:5" ht="15.75" x14ac:dyDescent="0.25">
      <c r="A1" s="152" t="s">
        <v>160</v>
      </c>
      <c r="B1" s="153"/>
      <c r="D1" s="109" t="s">
        <v>2</v>
      </c>
      <c r="E1" t="s">
        <v>268</v>
      </c>
    </row>
    <row r="2" spans="1:5" x14ac:dyDescent="0.25">
      <c r="A2" s="105" t="s">
        <v>161</v>
      </c>
      <c r="B2" s="106" t="s">
        <v>331</v>
      </c>
      <c r="D2" s="109" t="s">
        <v>51</v>
      </c>
      <c r="E2" t="s">
        <v>268</v>
      </c>
    </row>
    <row r="4" spans="1:5" x14ac:dyDescent="0.25">
      <c r="A4" t="s">
        <v>132</v>
      </c>
      <c r="D4" s="109" t="s">
        <v>213</v>
      </c>
      <c r="E4" t="s">
        <v>315</v>
      </c>
    </row>
    <row r="5" spans="1:5" x14ac:dyDescent="0.25">
      <c r="D5" s="70" t="s">
        <v>74</v>
      </c>
      <c r="E5" s="158">
        <v>9</v>
      </c>
    </row>
    <row r="6" spans="1:5" x14ac:dyDescent="0.25">
      <c r="D6" s="110" t="s">
        <v>74</v>
      </c>
      <c r="E6" s="158">
        <v>9</v>
      </c>
    </row>
    <row r="7" spans="1:5" x14ac:dyDescent="0.25">
      <c r="D7" s="127" t="s">
        <v>311</v>
      </c>
      <c r="E7" s="158">
        <v>9</v>
      </c>
    </row>
    <row r="8" spans="1:5" x14ac:dyDescent="0.25">
      <c r="D8" s="128" t="s">
        <v>74</v>
      </c>
      <c r="E8" s="158">
        <v>9</v>
      </c>
    </row>
    <row r="9" spans="1:5" x14ac:dyDescent="0.25">
      <c r="D9" s="129"/>
      <c r="E9" s="158">
        <v>9</v>
      </c>
    </row>
    <row r="10" spans="1:5" x14ac:dyDescent="0.25">
      <c r="D10" s="70" t="s">
        <v>305</v>
      </c>
      <c r="E10" s="158">
        <v>28291</v>
      </c>
    </row>
    <row r="11" spans="1:5" x14ac:dyDescent="0.25">
      <c r="D11" s="110" t="s">
        <v>74</v>
      </c>
      <c r="E11" s="158">
        <v>28291</v>
      </c>
    </row>
    <row r="12" spans="1:5" x14ac:dyDescent="0.25">
      <c r="D12" s="127" t="s">
        <v>311</v>
      </c>
      <c r="E12" s="158">
        <v>28291</v>
      </c>
    </row>
    <row r="13" spans="1:5" x14ac:dyDescent="0.25">
      <c r="D13" s="128" t="s">
        <v>74</v>
      </c>
      <c r="E13" s="158">
        <v>28291</v>
      </c>
    </row>
    <row r="14" spans="1:5" x14ac:dyDescent="0.25">
      <c r="D14" s="129"/>
      <c r="E14" s="158">
        <v>28291</v>
      </c>
    </row>
    <row r="15" spans="1:5" x14ac:dyDescent="0.25">
      <c r="D15" s="70" t="s">
        <v>214</v>
      </c>
      <c r="E15" s="158">
        <v>28300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6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6" ht="15.75" x14ac:dyDescent="0.25">
      <c r="A1" s="152" t="s">
        <v>160</v>
      </c>
      <c r="B1" s="153"/>
      <c r="D1" s="123" t="s">
        <v>327</v>
      </c>
      <c r="E1" s="123"/>
      <c r="F1" s="123"/>
    </row>
    <row r="2" spans="1:6" x14ac:dyDescent="0.25">
      <c r="A2" s="105" t="s">
        <v>161</v>
      </c>
      <c r="B2" s="106" t="s">
        <v>326</v>
      </c>
      <c r="D2" s="123"/>
      <c r="E2" s="123"/>
      <c r="F2" s="123"/>
    </row>
    <row r="3" spans="1:6" x14ac:dyDescent="0.25">
      <c r="D3" s="123"/>
      <c r="E3" s="123"/>
      <c r="F3" s="123"/>
    </row>
    <row r="4" spans="1:6" x14ac:dyDescent="0.25">
      <c r="D4" s="123"/>
      <c r="E4" s="123"/>
      <c r="F4" s="123"/>
    </row>
    <row r="5" spans="1:6" x14ac:dyDescent="0.25">
      <c r="D5" s="123"/>
      <c r="E5" s="123"/>
      <c r="F5" s="123"/>
    </row>
    <row r="6" spans="1:6" x14ac:dyDescent="0.25">
      <c r="D6" s="123"/>
      <c r="E6" s="123"/>
      <c r="F6" s="123" t="s">
        <v>325</v>
      </c>
    </row>
  </sheetData>
  <mergeCells count="1">
    <mergeCell ref="A1:B1"/>
  </mergeCells>
  <pageMargins left="0.7" right="0.7" top="0.75" bottom="0.75" header="0.3" footer="0.3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11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9" ht="17.25" thickTop="1" thickBot="1" x14ac:dyDescent="0.3">
      <c r="A1" s="152" t="s">
        <v>160</v>
      </c>
      <c r="B1" s="153"/>
      <c r="D1" s="130"/>
      <c r="E1" s="130"/>
      <c r="F1" s="130"/>
      <c r="G1" s="130"/>
      <c r="H1" s="130"/>
      <c r="I1" s="130"/>
    </row>
    <row r="2" spans="1:9" ht="16.5" thickTop="1" thickBot="1" x14ac:dyDescent="0.3">
      <c r="A2" s="105" t="s">
        <v>161</v>
      </c>
      <c r="B2" s="106" t="s">
        <v>328</v>
      </c>
      <c r="D2" s="130"/>
      <c r="E2" s="130"/>
      <c r="F2" s="130"/>
      <c r="G2" s="130"/>
      <c r="H2" s="130"/>
      <c r="I2" s="130"/>
    </row>
    <row r="3" spans="1:9" ht="16.5" thickTop="1" thickBot="1" x14ac:dyDescent="0.3">
      <c r="D3" s="130"/>
      <c r="E3" s="130"/>
      <c r="F3" s="130"/>
      <c r="G3" s="130"/>
      <c r="H3" s="130"/>
      <c r="I3" s="130"/>
    </row>
    <row r="4" spans="1:9" ht="16.5" thickTop="1" thickBot="1" x14ac:dyDescent="0.3">
      <c r="D4" s="130"/>
      <c r="E4" s="130"/>
      <c r="F4" s="130"/>
      <c r="G4" s="130"/>
      <c r="H4" s="130"/>
      <c r="I4" s="130"/>
    </row>
    <row r="5" spans="1:9" ht="16.5" thickTop="1" thickBot="1" x14ac:dyDescent="0.3">
      <c r="D5" s="130"/>
      <c r="E5" s="130"/>
      <c r="F5" s="130"/>
      <c r="G5" s="130"/>
      <c r="H5" s="130"/>
      <c r="I5" s="130"/>
    </row>
    <row r="6" spans="1:9" ht="16.5" thickTop="1" thickBot="1" x14ac:dyDescent="0.3">
      <c r="D6" s="130"/>
      <c r="E6" s="130"/>
      <c r="F6" s="130"/>
      <c r="G6" s="130"/>
      <c r="H6" s="130"/>
      <c r="I6" s="130"/>
    </row>
    <row r="7" spans="1:9" ht="16.5" thickTop="1" thickBot="1" x14ac:dyDescent="0.3">
      <c r="D7" s="130"/>
      <c r="E7" s="130"/>
      <c r="F7" s="130"/>
      <c r="G7" s="130"/>
      <c r="H7" s="130"/>
      <c r="I7" s="130"/>
    </row>
    <row r="8" spans="1:9" ht="16.5" thickTop="1" thickBot="1" x14ac:dyDescent="0.3">
      <c r="D8" s="130"/>
      <c r="E8" s="130"/>
      <c r="F8" s="130"/>
      <c r="G8" s="130"/>
      <c r="H8" s="130"/>
      <c r="I8" s="130"/>
    </row>
    <row r="9" spans="1:9" ht="16.5" thickTop="1" thickBot="1" x14ac:dyDescent="0.3">
      <c r="D9" s="130"/>
      <c r="E9" s="130"/>
      <c r="F9" s="130"/>
      <c r="G9" s="130"/>
      <c r="H9" s="130"/>
      <c r="I9" s="130"/>
    </row>
    <row r="10" spans="1:9" ht="16.5" thickTop="1" thickBot="1" x14ac:dyDescent="0.3">
      <c r="D10" s="130"/>
      <c r="E10" s="130"/>
      <c r="F10" s="130"/>
      <c r="G10" s="130"/>
      <c r="H10" s="130"/>
      <c r="I10" s="130"/>
    </row>
    <row r="11" spans="1:9" ht="15.75" thickTop="1" x14ac:dyDescent="0.25"/>
  </sheetData>
  <mergeCells count="1">
    <mergeCell ref="A1:B1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6"/>
  <sheetViews>
    <sheetView zoomScaleNormal="100" workbookViewId="0">
      <selection sqref="A1:B1"/>
    </sheetView>
  </sheetViews>
  <sheetFormatPr defaultRowHeight="15" x14ac:dyDescent="0.25"/>
  <cols>
    <col min="1" max="2" width="15.7109375" customWidth="1"/>
  </cols>
  <sheetData>
    <row r="1" spans="1:2" ht="15.75" x14ac:dyDescent="0.25">
      <c r="A1" s="152" t="s">
        <v>160</v>
      </c>
      <c r="B1" s="153"/>
    </row>
    <row r="2" spans="1:2" x14ac:dyDescent="0.25">
      <c r="A2" s="105" t="s">
        <v>161</v>
      </c>
      <c r="B2" s="106" t="s">
        <v>178</v>
      </c>
    </row>
    <row r="3" spans="1:2" x14ac:dyDescent="0.25">
      <c r="A3" s="73"/>
      <c r="B3" s="70"/>
    </row>
    <row r="4" spans="1:2" x14ac:dyDescent="0.25">
      <c r="A4" s="74"/>
      <c r="B4" s="75"/>
    </row>
    <row r="5" spans="1:2" x14ac:dyDescent="0.25">
      <c r="A5" s="73"/>
      <c r="B5" s="70"/>
    </row>
    <row r="6" spans="1:2" x14ac:dyDescent="0.25">
      <c r="A6" s="73"/>
      <c r="B6" s="70"/>
    </row>
  </sheetData>
  <mergeCells count="1">
    <mergeCell ref="A1:B1"/>
  </mergeCells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Budget</vt:lpstr>
      <vt:lpstr>Forecast</vt:lpstr>
      <vt:lpstr>RunRate</vt:lpstr>
      <vt:lpstr>Superdetails</vt:lpstr>
      <vt:lpstr>CN43N</vt:lpstr>
      <vt:lpstr>Pivot_AnnoPrimaMarcatura</vt:lpstr>
      <vt:lpstr>table_tabProjType</vt:lpstr>
      <vt:lpstr>table_tabProjTypeCluster</vt:lpstr>
      <vt:lpstr>table_CommonTable</vt:lpstr>
      <vt:lpstr>table_tabProgettiD</vt:lpstr>
      <vt:lpstr>Powerpoint Configuration</vt:lpstr>
      <vt:lpstr>Alias-Business</vt:lpstr>
      <vt:lpstr>Alias-Categoria</vt:lpstr>
      <vt:lpstr>PP_Template</vt:lpstr>
      <vt:lpstr>PP_01</vt:lpstr>
      <vt:lpstr>PP_02</vt:lpstr>
      <vt:lpstr>PP_03</vt:lpstr>
      <vt:lpstr>PP_04</vt:lpstr>
      <vt:lpstr>PP_05</vt:lpstr>
      <vt:lpstr>PP_06</vt:lpstr>
      <vt:lpstr>PP_07</vt:lpstr>
      <vt:lpstr>PP_08</vt:lpstr>
      <vt:lpstr>PP_09</vt:lpstr>
      <vt:lpstr>PP_10</vt:lpstr>
      <vt:lpstr>PP_11</vt:lpstr>
      <vt:lpstr>PP_12</vt:lpstr>
      <vt:lpstr>PP_13</vt:lpstr>
      <vt:lpstr>PP_14</vt:lpstr>
      <vt:lpstr>PP_15</vt:lpstr>
      <vt:lpstr>PP_16</vt:lpstr>
      <vt:lpstr>PP_17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Perrino, Francesco</dc:creator>
  <cp:lastModifiedBy>Michele Fosco</cp:lastModifiedBy>
  <dcterms:created xsi:type="dcterms:W3CDTF">2015-06-05T18:17:20Z</dcterms:created>
  <dcterms:modified xsi:type="dcterms:W3CDTF">2026-05-13T13:02:52Z</dcterms:modified>
</cp:coreProperties>
</file>